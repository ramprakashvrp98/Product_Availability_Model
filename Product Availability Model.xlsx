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rampr\Downloads\"/>
    </mc:Choice>
  </mc:AlternateContent>
  <xr:revisionPtr revIDLastSave="0" documentId="13_ncr:1_{6451997F-F625-490C-BFBF-0D67410FF021}" xr6:coauthVersionLast="47" xr6:coauthVersionMax="47" xr10:uidLastSave="{00000000-0000-0000-0000-000000000000}"/>
  <bookViews>
    <workbookView xWindow="-108" yWindow="-108" windowWidth="30936" windowHeight="16776" tabRatio="387" firstSheet="2" activeTab="2" xr2:uid="{00000000-000D-0000-FFFF-FFFF00000000}"/>
  </bookViews>
  <sheets>
    <sheet name="FORMULAS" sheetId="45" state="hidden" r:id="rId1"/>
    <sheet name="INSTRUCTIONS " sheetId="40" state="hidden" r:id="rId2"/>
    <sheet name="INVENTORY" sheetId="46" r:id="rId3"/>
    <sheet name="SILICONES" sheetId="51" state="hidden" r:id="rId4"/>
    <sheet name="IN STOCK%" sheetId="49" state="hidden" r:id="rId5"/>
    <sheet name="OOS STOCK% " sheetId="53" state="hidden" r:id="rId6"/>
    <sheet name="WAITING 4'S" sheetId="50" state="hidden" r:id="rId7"/>
    <sheet name="FORMULA" sheetId="54" state="hidden" r:id="rId8"/>
    <sheet name="NOW (NOT ON WEB BUT AVAILABLE)" sheetId="52" state="hidden" r:id="rId9"/>
    <sheet name="DISCO" sheetId="35" state="hidden" r:id="rId10"/>
  </sheets>
  <externalReferences>
    <externalReference r:id="rId11"/>
  </externalReferences>
  <definedNames>
    <definedName name="_xlnm._FilterDatabase" localSheetId="9" hidden="1">DISCO!$A$1:$L$624</definedName>
    <definedName name="_xlnm._FilterDatabase" localSheetId="4" hidden="1">'IN STOCK%'!$A$2:$C$33</definedName>
    <definedName name="_xlnm._FilterDatabase" localSheetId="2" hidden="1">INVENTORY!$A$2:$T$650</definedName>
    <definedName name="_xlnm._FilterDatabase" localSheetId="5" hidden="1">'OOS STOCK% '!$A$2:$C$33</definedName>
    <definedName name="_xlnm._FilterDatabase" localSheetId="3" hidden="1">SILICONES!$A$3:$E$39</definedName>
    <definedName name="Item">#REF!</definedName>
    <definedName name="_xlnm.Print_Area" localSheetId="9">DISCO!$A$1:$H$534</definedName>
    <definedName name="_xlnm.Print_Area" localSheetId="2">INVENTORY!$A$2:$K$475</definedName>
    <definedName name="_xlnm.Print_Titles" localSheetId="9">DISCO!$1:$1</definedName>
    <definedName name="_xlnm.Print_Titles" localSheetId="2">INVENTORY!$2:$2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" i="46" l="1" a="1"/>
  <c r="T5" i="46" a="1"/>
  <c r="T6" i="46" a="1"/>
  <c r="T7" i="46" a="1"/>
  <c r="T8" i="46" a="1"/>
  <c r="T9" i="46" a="1"/>
  <c r="T10" i="46" a="1"/>
  <c r="T11" i="46" a="1"/>
  <c r="T12" i="46" a="1"/>
  <c r="T13" i="46" a="1"/>
  <c r="T14" i="46" a="1"/>
  <c r="T15" i="46" a="1"/>
  <c r="T16" i="46" a="1"/>
  <c r="T17" i="46" a="1"/>
  <c r="T18" i="46" a="1"/>
  <c r="T19" i="46" a="1"/>
  <c r="T20" i="46" a="1"/>
  <c r="T21" i="46" a="1"/>
  <c r="T22" i="46" a="1"/>
  <c r="T23" i="46" a="1"/>
  <c r="T24" i="46" a="1"/>
  <c r="T25" i="46" a="1"/>
  <c r="T26" i="46" a="1"/>
  <c r="T27" i="46" a="1"/>
  <c r="T28" i="46" a="1"/>
  <c r="T29" i="46" a="1"/>
  <c r="T30" i="46" a="1"/>
  <c r="T31" i="46" a="1"/>
  <c r="T32" i="46" a="1"/>
  <c r="T33" i="46" a="1"/>
  <c r="T34" i="46" a="1"/>
  <c r="T35" i="46" a="1"/>
  <c r="T36" i="46" a="1"/>
  <c r="T37" i="46" a="1"/>
  <c r="T38" i="46" a="1"/>
  <c r="T39" i="46" a="1"/>
  <c r="T40" i="46" a="1"/>
  <c r="T41" i="46" a="1"/>
  <c r="T42" i="46" a="1"/>
  <c r="T43" i="46" a="1"/>
  <c r="T44" i="46" a="1"/>
  <c r="T45" i="46" a="1"/>
  <c r="T46" i="46" a="1"/>
  <c r="T47" i="46" a="1"/>
  <c r="T48" i="46" a="1"/>
  <c r="T49" i="46" a="1"/>
  <c r="T50" i="46" a="1"/>
  <c r="T51" i="46" a="1"/>
  <c r="T52" i="46" a="1"/>
  <c r="T53" i="46" a="1"/>
  <c r="T54" i="46" a="1"/>
  <c r="T55" i="46" a="1"/>
  <c r="T56" i="46" a="1"/>
  <c r="T57" i="46" a="1"/>
  <c r="T58" i="46" a="1"/>
  <c r="T59" i="46" a="1"/>
  <c r="T60" i="46" a="1"/>
  <c r="T61" i="46" a="1"/>
  <c r="T62" i="46" a="1"/>
  <c r="T63" i="46" a="1"/>
  <c r="T64" i="46" a="1"/>
  <c r="T65" i="46" a="1"/>
  <c r="T66" i="46" a="1"/>
  <c r="T67" i="46" a="1"/>
  <c r="T68" i="46" a="1"/>
  <c r="T69" i="46" a="1"/>
  <c r="T70" i="46" a="1"/>
  <c r="T71" i="46" a="1"/>
  <c r="T72" i="46" a="1"/>
  <c r="T73" i="46" a="1"/>
  <c r="T74" i="46" a="1"/>
  <c r="T75" i="46" a="1"/>
  <c r="T76" i="46" a="1"/>
  <c r="T77" i="46" a="1"/>
  <c r="T78" i="46" a="1"/>
  <c r="T79" i="46" a="1"/>
  <c r="T80" i="46" a="1"/>
  <c r="T81" i="46" a="1"/>
  <c r="T82" i="46" a="1"/>
  <c r="T83" i="46" a="1"/>
  <c r="T84" i="46" a="1"/>
  <c r="T85" i="46" a="1"/>
  <c r="T86" i="46" a="1"/>
  <c r="T87" i="46" a="1"/>
  <c r="T88" i="46" a="1"/>
  <c r="T89" i="46" a="1"/>
  <c r="T90" i="46" a="1"/>
  <c r="T91" i="46" a="1"/>
  <c r="T92" i="46" a="1"/>
  <c r="T93" i="46" a="1"/>
  <c r="T94" i="46" a="1"/>
  <c r="T95" i="46" a="1"/>
  <c r="T96" i="46" a="1"/>
  <c r="T97" i="46" a="1"/>
  <c r="T98" i="46" a="1"/>
  <c r="T99" i="46" a="1"/>
  <c r="T100" i="46" a="1"/>
  <c r="T101" i="46" a="1"/>
  <c r="T102" i="46" a="1"/>
  <c r="T103" i="46" a="1"/>
  <c r="T104" i="46" a="1"/>
  <c r="T105" i="46" a="1"/>
  <c r="T106" i="46" a="1"/>
  <c r="T107" i="46" a="1"/>
  <c r="T108" i="46" a="1"/>
  <c r="T109" i="46" a="1"/>
  <c r="T110" i="46" a="1"/>
  <c r="T111" i="46" a="1"/>
  <c r="T112" i="46" a="1"/>
  <c r="T113" i="46" a="1"/>
  <c r="T114" i="46" a="1"/>
  <c r="T115" i="46" a="1"/>
  <c r="T116" i="46" a="1"/>
  <c r="T117" i="46" a="1"/>
  <c r="T118" i="46" a="1"/>
  <c r="T119" i="46" a="1"/>
  <c r="T120" i="46" a="1"/>
  <c r="T121" i="46" a="1"/>
  <c r="T122" i="46" a="1"/>
  <c r="T123" i="46" a="1"/>
  <c r="T124" i="46" a="1"/>
  <c r="T125" i="46" a="1"/>
  <c r="T126" i="46" a="1"/>
  <c r="T127" i="46" a="1"/>
  <c r="T128" i="46" a="1"/>
  <c r="T129" i="46" a="1"/>
  <c r="T130" i="46" a="1"/>
  <c r="T131" i="46" a="1"/>
  <c r="T132" i="46" a="1"/>
  <c r="T133" i="46" a="1"/>
  <c r="T134" i="46" a="1"/>
  <c r="T135" i="46" a="1"/>
  <c r="T136" i="46" a="1"/>
  <c r="T137" i="46" a="1"/>
  <c r="T138" i="46" a="1"/>
  <c r="T139" i="46" a="1"/>
  <c r="T140" i="46" a="1"/>
  <c r="T141" i="46" a="1"/>
  <c r="T142" i="46" a="1"/>
  <c r="T143" i="46" a="1"/>
  <c r="T144" i="46" a="1"/>
  <c r="T145" i="46" a="1"/>
  <c r="T146" i="46" a="1"/>
  <c r="T147" i="46" a="1"/>
  <c r="T148" i="46" a="1"/>
  <c r="T149" i="46" a="1"/>
  <c r="T150" i="46" a="1"/>
  <c r="T151" i="46" a="1"/>
  <c r="T152" i="46" a="1"/>
  <c r="T153" i="46" a="1"/>
  <c r="T154" i="46" a="1"/>
  <c r="T155" i="46" a="1"/>
  <c r="T156" i="46" a="1"/>
  <c r="T157" i="46" a="1"/>
  <c r="T158" i="46" a="1"/>
  <c r="T159" i="46" a="1"/>
  <c r="T160" i="46" a="1"/>
  <c r="T161" i="46" a="1"/>
  <c r="T162" i="46" a="1"/>
  <c r="T163" i="46" a="1"/>
  <c r="T164" i="46" a="1"/>
  <c r="T165" i="46" a="1"/>
  <c r="T166" i="46" a="1"/>
  <c r="T167" i="46" a="1"/>
  <c r="T168" i="46" a="1"/>
  <c r="T169" i="46" a="1"/>
  <c r="T170" i="46" a="1"/>
  <c r="T171" i="46" a="1"/>
  <c r="T172" i="46" a="1"/>
  <c r="T173" i="46" a="1"/>
  <c r="T174" i="46" a="1"/>
  <c r="T175" i="46" a="1"/>
  <c r="T176" i="46" a="1"/>
  <c r="T177" i="46" a="1"/>
  <c r="T178" i="46" a="1"/>
  <c r="T179" i="46" a="1"/>
  <c r="T180" i="46" a="1"/>
  <c r="T181" i="46" a="1"/>
  <c r="T182" i="46" a="1"/>
  <c r="T183" i="46" a="1"/>
  <c r="T184" i="46" a="1"/>
  <c r="T185" i="46" a="1"/>
  <c r="T186" i="46" a="1"/>
  <c r="T187" i="46" a="1"/>
  <c r="T188" i="46" a="1"/>
  <c r="T189" i="46" a="1"/>
  <c r="T190" i="46" a="1"/>
  <c r="T191" i="46" a="1"/>
  <c r="T192" i="46" a="1"/>
  <c r="T193" i="46" a="1"/>
  <c r="T194" i="46" a="1"/>
  <c r="T195" i="46" a="1"/>
  <c r="T196" i="46" a="1"/>
  <c r="T197" i="46" a="1"/>
  <c r="T198" i="46" a="1"/>
  <c r="T199" i="46" a="1"/>
  <c r="T200" i="46" a="1"/>
  <c r="T201" i="46" a="1"/>
  <c r="T202" i="46" a="1"/>
  <c r="T203" i="46" a="1"/>
  <c r="T204" i="46" a="1"/>
  <c r="T205" i="46" a="1"/>
  <c r="T206" i="46" a="1"/>
  <c r="T207" i="46" a="1"/>
  <c r="T208" i="46" a="1"/>
  <c r="T209" i="46" a="1"/>
  <c r="T210" i="46" a="1"/>
  <c r="T211" i="46" a="1"/>
  <c r="T212" i="46" a="1"/>
  <c r="T213" i="46" a="1"/>
  <c r="T214" i="46" a="1"/>
  <c r="T215" i="46" a="1"/>
  <c r="T216" i="46" a="1"/>
  <c r="T217" i="46" a="1"/>
  <c r="T218" i="46" a="1"/>
  <c r="T219" i="46" a="1"/>
  <c r="T220" i="46" a="1"/>
  <c r="T221" i="46" a="1"/>
  <c r="T222" i="46" a="1"/>
  <c r="T223" i="46" a="1"/>
  <c r="T224" i="46" a="1"/>
  <c r="T225" i="46" a="1"/>
  <c r="T226" i="46" a="1"/>
  <c r="T227" i="46" a="1"/>
  <c r="T228" i="46" a="1"/>
  <c r="T229" i="46" a="1"/>
  <c r="T230" i="46" a="1"/>
  <c r="T231" i="46" a="1"/>
  <c r="T232" i="46" a="1"/>
  <c r="T233" i="46" a="1"/>
  <c r="T234" i="46" a="1"/>
  <c r="T235" i="46" a="1"/>
  <c r="T236" i="46" a="1"/>
  <c r="T237" i="46" a="1"/>
  <c r="T238" i="46" a="1"/>
  <c r="T239" i="46" a="1"/>
  <c r="T240" i="46" a="1"/>
  <c r="T241" i="46" a="1"/>
  <c r="T242" i="46" a="1"/>
  <c r="T243" i="46" a="1"/>
  <c r="T244" i="46" a="1"/>
  <c r="T245" i="46" a="1"/>
  <c r="T246" i="46" a="1"/>
  <c r="T247" i="46" a="1"/>
  <c r="T248" i="46" a="1"/>
  <c r="T249" i="46" a="1"/>
  <c r="T250" i="46" a="1"/>
  <c r="T251" i="46" a="1"/>
  <c r="T252" i="46" a="1"/>
  <c r="T253" i="46" a="1"/>
  <c r="T254" i="46" a="1"/>
  <c r="T255" i="46" a="1"/>
  <c r="T256" i="46" a="1"/>
  <c r="T257" i="46" a="1"/>
  <c r="T258" i="46" a="1"/>
  <c r="T259" i="46" a="1"/>
  <c r="T260" i="46" a="1"/>
  <c r="T261" i="46" a="1"/>
  <c r="T262" i="46" a="1"/>
  <c r="T263" i="46" a="1"/>
  <c r="T264" i="46" a="1"/>
  <c r="T265" i="46" a="1"/>
  <c r="T266" i="46" a="1"/>
  <c r="T267" i="46" a="1"/>
  <c r="T268" i="46" a="1"/>
  <c r="T269" i="46" a="1"/>
  <c r="T270" i="46" a="1"/>
  <c r="T271" i="46" a="1"/>
  <c r="T272" i="46" a="1"/>
  <c r="T273" i="46" a="1"/>
  <c r="T274" i="46" a="1"/>
  <c r="T275" i="46" a="1"/>
  <c r="T276" i="46" a="1"/>
  <c r="T277" i="46" a="1"/>
  <c r="T278" i="46" a="1"/>
  <c r="T279" i="46" a="1"/>
  <c r="T280" i="46" a="1"/>
  <c r="T281" i="46" a="1"/>
  <c r="T282" i="46" a="1"/>
  <c r="T283" i="46" a="1"/>
  <c r="T284" i="46" a="1"/>
  <c r="T285" i="46" a="1"/>
  <c r="T286" i="46" a="1"/>
  <c r="T287" i="46" a="1"/>
  <c r="T288" i="46" a="1"/>
  <c r="T289" i="46" a="1"/>
  <c r="T290" i="46" a="1"/>
  <c r="T291" i="46" a="1"/>
  <c r="T292" i="46" a="1"/>
  <c r="T293" i="46" a="1"/>
  <c r="T294" i="46" a="1"/>
  <c r="T295" i="46" a="1"/>
  <c r="T296" i="46" a="1"/>
  <c r="T297" i="46" a="1"/>
  <c r="T298" i="46" a="1"/>
  <c r="T299" i="46" a="1"/>
  <c r="T300" i="46" a="1"/>
  <c r="T301" i="46" a="1"/>
  <c r="T302" i="46" a="1"/>
  <c r="T303" i="46" a="1"/>
  <c r="T304" i="46" a="1"/>
  <c r="T305" i="46" a="1"/>
  <c r="T306" i="46" a="1"/>
  <c r="T307" i="46" a="1"/>
  <c r="T308" i="46" a="1"/>
  <c r="T309" i="46" a="1"/>
  <c r="T310" i="46" a="1"/>
  <c r="T311" i="46" a="1"/>
  <c r="T312" i="46" a="1"/>
  <c r="T313" i="46" a="1"/>
  <c r="T314" i="46" a="1"/>
  <c r="T315" i="46" a="1"/>
  <c r="T316" i="46" a="1"/>
  <c r="T317" i="46" a="1"/>
  <c r="T318" i="46" a="1"/>
  <c r="T319" i="46" a="1"/>
  <c r="T320" i="46" a="1"/>
  <c r="T321" i="46" a="1"/>
  <c r="T322" i="46" a="1"/>
  <c r="T323" i="46" a="1"/>
  <c r="T324" i="46" a="1"/>
  <c r="T325" i="46" a="1"/>
  <c r="T326" i="46" a="1"/>
  <c r="T327" i="46" a="1"/>
  <c r="T328" i="46" a="1"/>
  <c r="T329" i="46" a="1"/>
  <c r="T330" i="46" a="1"/>
  <c r="T331" i="46" a="1"/>
  <c r="T332" i="46" a="1"/>
  <c r="T333" i="46" a="1"/>
  <c r="T334" i="46" a="1"/>
  <c r="T335" i="46" a="1"/>
  <c r="T336" i="46" a="1"/>
  <c r="T337" i="46" a="1"/>
  <c r="T338" i="46" a="1"/>
  <c r="T339" i="46" a="1"/>
  <c r="T340" i="46" a="1"/>
  <c r="T341" i="46" a="1"/>
  <c r="T342" i="46" a="1"/>
  <c r="T343" i="46" a="1"/>
  <c r="T344" i="46" a="1"/>
  <c r="T345" i="46" a="1"/>
  <c r="T346" i="46" a="1"/>
  <c r="T347" i="46" a="1"/>
  <c r="T348" i="46" a="1"/>
  <c r="T349" i="46" a="1"/>
  <c r="T350" i="46" a="1"/>
  <c r="T351" i="46" a="1"/>
  <c r="T352" i="46" a="1"/>
  <c r="T353" i="46" a="1"/>
  <c r="T354" i="46" a="1"/>
  <c r="T355" i="46" a="1"/>
  <c r="T356" i="46" a="1"/>
  <c r="T357" i="46" a="1"/>
  <c r="T358" i="46" a="1"/>
  <c r="T359" i="46" a="1"/>
  <c r="T360" i="46" a="1"/>
  <c r="T361" i="46" a="1"/>
  <c r="T362" i="46" a="1"/>
  <c r="T363" i="46" a="1"/>
  <c r="T364" i="46" a="1"/>
  <c r="T365" i="46" a="1"/>
  <c r="T366" i="46" a="1"/>
  <c r="T367" i="46" a="1"/>
  <c r="T368" i="46" a="1"/>
  <c r="T369" i="46" a="1"/>
  <c r="T370" i="46" a="1"/>
  <c r="T371" i="46" a="1"/>
  <c r="T372" i="46" a="1"/>
  <c r="T373" i="46" a="1"/>
  <c r="T374" i="46" a="1"/>
  <c r="T375" i="46" a="1"/>
  <c r="T376" i="46" a="1"/>
  <c r="T377" i="46" a="1"/>
  <c r="T378" i="46" a="1"/>
  <c r="T379" i="46" a="1"/>
  <c r="T380" i="46" a="1"/>
  <c r="T381" i="46" a="1"/>
  <c r="T382" i="46" a="1"/>
  <c r="T383" i="46" a="1"/>
  <c r="T384" i="46" a="1"/>
  <c r="T385" i="46" a="1"/>
  <c r="T386" i="46" a="1"/>
  <c r="T387" i="46" a="1"/>
  <c r="T388" i="46" a="1"/>
  <c r="T389" i="46" a="1"/>
  <c r="T390" i="46" a="1"/>
  <c r="T391" i="46" a="1"/>
  <c r="T392" i="46" a="1"/>
  <c r="T393" i="46" a="1"/>
  <c r="T394" i="46" a="1"/>
  <c r="T395" i="46" a="1"/>
  <c r="T396" i="46" a="1"/>
  <c r="T397" i="46" a="1"/>
  <c r="T398" i="46" a="1"/>
  <c r="T399" i="46" a="1"/>
  <c r="T400" i="46" a="1"/>
  <c r="T401" i="46" a="1"/>
  <c r="T402" i="46" a="1"/>
  <c r="T403" i="46" a="1"/>
  <c r="T404" i="46" a="1"/>
  <c r="T405" i="46" a="1"/>
  <c r="T406" i="46" a="1"/>
  <c r="T407" i="46" a="1"/>
  <c r="T408" i="46" a="1"/>
  <c r="T409" i="46" a="1"/>
  <c r="T410" i="46" a="1"/>
  <c r="T411" i="46" a="1"/>
  <c r="T412" i="46" a="1"/>
  <c r="T413" i="46" a="1"/>
  <c r="T414" i="46" a="1"/>
  <c r="T415" i="46" a="1"/>
  <c r="T416" i="46" a="1"/>
  <c r="T417" i="46" a="1"/>
  <c r="T418" i="46" a="1"/>
  <c r="T419" i="46" a="1"/>
  <c r="T420" i="46" a="1"/>
  <c r="T421" i="46" a="1"/>
  <c r="T422" i="46" a="1"/>
  <c r="T423" i="46" a="1"/>
  <c r="T424" i="46" a="1"/>
  <c r="T425" i="46" a="1"/>
  <c r="T426" i="46" a="1"/>
  <c r="T427" i="46" a="1"/>
  <c r="T428" i="46" a="1"/>
  <c r="T429" i="46" a="1"/>
  <c r="T430" i="46" a="1"/>
  <c r="T431" i="46" a="1"/>
  <c r="T432" i="46" a="1"/>
  <c r="T433" i="46" a="1"/>
  <c r="T434" i="46" a="1"/>
  <c r="T435" i="46" a="1"/>
  <c r="T436" i="46" a="1"/>
  <c r="T437" i="46" a="1"/>
  <c r="T438" i="46" a="1"/>
  <c r="T439" i="46" a="1"/>
  <c r="T440" i="46" a="1"/>
  <c r="T441" i="46" a="1"/>
  <c r="T442" i="46" a="1"/>
  <c r="T443" i="46" a="1"/>
  <c r="T444" i="46" a="1"/>
  <c r="T445" i="46" a="1"/>
  <c r="T446" i="46" a="1"/>
  <c r="T447" i="46" a="1"/>
  <c r="T448" i="46" a="1"/>
  <c r="T449" i="46" a="1"/>
  <c r="T450" i="46" a="1"/>
  <c r="T451" i="46" a="1"/>
  <c r="T452" i="46" a="1"/>
  <c r="T453" i="46" a="1"/>
  <c r="T454" i="46" a="1"/>
  <c r="T455" i="46" a="1"/>
  <c r="T456" i="46" a="1"/>
  <c r="T457" i="46" a="1"/>
  <c r="T458" i="46" a="1"/>
  <c r="T459" i="46" a="1"/>
  <c r="T460" i="46" a="1"/>
  <c r="T461" i="46" a="1"/>
  <c r="T462" i="46" a="1"/>
  <c r="T463" i="46" a="1"/>
  <c r="T464" i="46" a="1"/>
  <c r="T465" i="46" a="1"/>
  <c r="T466" i="46" a="1"/>
  <c r="T467" i="46" a="1"/>
  <c r="T468" i="46" a="1"/>
  <c r="T469" i="46" a="1"/>
  <c r="T470" i="46" a="1"/>
  <c r="T471" i="46" a="1"/>
  <c r="T472" i="46" a="1"/>
  <c r="T473" i="46" a="1"/>
  <c r="T474" i="46" a="1"/>
  <c r="T475" i="46" a="1"/>
  <c r="T476" i="46" a="1"/>
  <c r="T477" i="46" a="1"/>
  <c r="T478" i="46" a="1"/>
  <c r="T479" i="46" a="1"/>
  <c r="T480" i="46" a="1"/>
  <c r="T481" i="46" a="1"/>
  <c r="T482" i="46" a="1"/>
  <c r="T483" i="46" a="1"/>
  <c r="T484" i="46" a="1"/>
  <c r="T485" i="46" a="1"/>
  <c r="T486" i="46" a="1"/>
  <c r="T487" i="46" a="1"/>
  <c r="T488" i="46" a="1"/>
  <c r="T489" i="46" a="1"/>
  <c r="T490" i="46" a="1"/>
  <c r="T491" i="46" a="1"/>
  <c r="T492" i="46" a="1"/>
  <c r="T493" i="46" a="1"/>
  <c r="T494" i="46" a="1"/>
  <c r="T495" i="46" a="1"/>
  <c r="T496" i="46" a="1"/>
  <c r="T497" i="46" a="1"/>
  <c r="T498" i="46" a="1"/>
  <c r="T499" i="46" a="1"/>
  <c r="T500" i="46" a="1"/>
  <c r="T501" i="46" a="1"/>
  <c r="T502" i="46" a="1"/>
  <c r="T503" i="46" a="1"/>
  <c r="T504" i="46" a="1"/>
  <c r="T505" i="46" a="1"/>
  <c r="T506" i="46" a="1"/>
  <c r="T507" i="46" a="1"/>
  <c r="T508" i="46" a="1"/>
  <c r="T509" i="46" a="1"/>
  <c r="T510" i="46" a="1"/>
  <c r="T511" i="46" a="1"/>
  <c r="T512" i="46" a="1"/>
  <c r="T513" i="46" a="1"/>
  <c r="T514" i="46" a="1"/>
  <c r="T515" i="46" a="1"/>
  <c r="T516" i="46" a="1"/>
  <c r="T517" i="46" a="1"/>
  <c r="T518" i="46" a="1"/>
  <c r="T519" i="46" a="1"/>
  <c r="T520" i="46" a="1"/>
  <c r="T521" i="46" a="1"/>
  <c r="T522" i="46" a="1"/>
  <c r="T523" i="46" a="1"/>
  <c r="T524" i="46" a="1"/>
  <c r="T525" i="46" a="1"/>
  <c r="T526" i="46" a="1"/>
  <c r="T527" i="46" a="1"/>
  <c r="T528" i="46" a="1"/>
  <c r="T529" i="46" a="1"/>
  <c r="T530" i="46" a="1"/>
  <c r="T531" i="46" a="1"/>
  <c r="T532" i="46" a="1"/>
  <c r="T533" i="46" a="1"/>
  <c r="T534" i="46" a="1"/>
  <c r="T535" i="46" a="1"/>
  <c r="T536" i="46" a="1"/>
  <c r="T537" i="46" a="1"/>
  <c r="T538" i="46" a="1"/>
  <c r="T539" i="46" a="1"/>
  <c r="T540" i="46" a="1"/>
  <c r="T541" i="46" a="1"/>
  <c r="T542" i="46" a="1"/>
  <c r="T543" i="46" a="1"/>
  <c r="T544" i="46" a="1"/>
  <c r="T545" i="46" a="1"/>
  <c r="T546" i="46" a="1"/>
  <c r="T547" i="46" a="1"/>
  <c r="T548" i="46" a="1"/>
  <c r="T549" i="46" a="1"/>
  <c r="T550" i="46" a="1"/>
  <c r="T551" i="46" a="1"/>
  <c r="T552" i="46" a="1"/>
  <c r="T553" i="46" a="1"/>
  <c r="T554" i="46" a="1"/>
  <c r="T555" i="46" a="1"/>
  <c r="T556" i="46" a="1"/>
  <c r="T557" i="46" a="1"/>
  <c r="T558" i="46" a="1"/>
  <c r="T559" i="46" a="1"/>
  <c r="T560" i="46" a="1"/>
  <c r="T561" i="46" a="1"/>
  <c r="T562" i="46" a="1"/>
  <c r="T563" i="46" a="1"/>
  <c r="T564" i="46" a="1"/>
  <c r="T565" i="46" a="1"/>
  <c r="T566" i="46" a="1"/>
  <c r="T567" i="46" a="1"/>
  <c r="T568" i="46" a="1"/>
  <c r="T569" i="46" a="1"/>
  <c r="T570" i="46" a="1"/>
  <c r="T571" i="46" a="1"/>
  <c r="T572" i="46" a="1"/>
  <c r="T573" i="46" a="1"/>
  <c r="T574" i="46" a="1"/>
  <c r="T575" i="46" a="1"/>
  <c r="T576" i="46" a="1"/>
  <c r="T577" i="46" a="1"/>
  <c r="T578" i="46" a="1"/>
  <c r="T579" i="46" a="1"/>
  <c r="T580" i="46" a="1"/>
  <c r="T581" i="46" a="1"/>
  <c r="T582" i="46" a="1"/>
  <c r="T583" i="46" a="1"/>
  <c r="T584" i="46" a="1"/>
  <c r="T585" i="46" a="1"/>
  <c r="T586" i="46" a="1"/>
  <c r="T587" i="46" a="1"/>
  <c r="T588" i="46" a="1"/>
  <c r="T589" i="46" a="1"/>
  <c r="T590" i="46" a="1"/>
  <c r="T591" i="46" a="1"/>
  <c r="T592" i="46" a="1"/>
  <c r="T593" i="46" a="1"/>
  <c r="T594" i="46" a="1"/>
  <c r="T595" i="46" a="1"/>
  <c r="T596" i="46" a="1"/>
  <c r="T597" i="46" a="1"/>
  <c r="T598" i="46" a="1"/>
  <c r="T599" i="46" a="1"/>
  <c r="T600" i="46" a="1"/>
  <c r="T601" i="46" a="1"/>
  <c r="T602" i="46" a="1"/>
  <c r="T603" i="46" a="1"/>
  <c r="T604" i="46" a="1"/>
  <c r="T605" i="46" a="1"/>
  <c r="T606" i="46" a="1"/>
  <c r="T607" i="46" a="1"/>
  <c r="T608" i="46" a="1"/>
  <c r="T609" i="46" a="1"/>
  <c r="T610" i="46" a="1"/>
  <c r="T611" i="46" a="1"/>
  <c r="T612" i="46" a="1"/>
  <c r="T613" i="46" a="1"/>
  <c r="T614" i="46" a="1"/>
  <c r="T615" i="46" a="1"/>
  <c r="T616" i="46" a="1"/>
  <c r="T617" i="46" a="1"/>
  <c r="T618" i="46" a="1"/>
  <c r="T619" i="46" a="1"/>
  <c r="T620" i="46" a="1"/>
  <c r="T621" i="46" a="1"/>
  <c r="T622" i="46" a="1"/>
  <c r="T623" i="46" a="1"/>
  <c r="T624" i="46" a="1"/>
  <c r="T625" i="46" a="1"/>
  <c r="T626" i="46" a="1"/>
  <c r="T627" i="46" a="1"/>
  <c r="T628" i="46" a="1"/>
  <c r="T629" i="46" a="1"/>
  <c r="T630" i="46" a="1"/>
  <c r="T631" i="46" a="1"/>
  <c r="T632" i="46" a="1"/>
  <c r="T633" i="46" a="1"/>
  <c r="T634" i="46" a="1"/>
  <c r="T635" i="46" a="1"/>
  <c r="T636" i="46" a="1"/>
  <c r="T637" i="46" a="1"/>
  <c r="T638" i="46" a="1"/>
  <c r="T639" i="46" a="1"/>
  <c r="T640" i="46" a="1"/>
  <c r="T641" i="46" a="1"/>
  <c r="T642" i="46" a="1"/>
  <c r="T643" i="46" a="1"/>
  <c r="T644" i="46" a="1"/>
  <c r="T645" i="46" a="1"/>
  <c r="T646" i="46" a="1"/>
  <c r="T647" i="46" a="1"/>
  <c r="T648" i="46" a="1"/>
  <c r="T649" i="46" a="1"/>
  <c r="T650" i="46" a="1"/>
  <c r="T3" i="46" a="1"/>
  <c r="P6" i="46" a="1"/>
  <c r="P7" i="46" a="1"/>
  <c r="P8" i="46" a="1"/>
  <c r="Q8" i="46" s="1" a="1"/>
  <c r="P9" i="46" a="1"/>
  <c r="Q9" i="46" s="1" a="1"/>
  <c r="P10" i="46" a="1"/>
  <c r="P11" i="46" a="1"/>
  <c r="P12" i="46" a="1"/>
  <c r="Q12" i="46" s="1" a="1"/>
  <c r="P13" i="46" a="1"/>
  <c r="Q13" i="46" s="1" a="1"/>
  <c r="P14" i="46" a="1"/>
  <c r="P15" i="46" a="1"/>
  <c r="P16" i="46" a="1"/>
  <c r="P17" i="46" a="1"/>
  <c r="P18" i="46" a="1"/>
  <c r="P19" i="46" a="1"/>
  <c r="P20" i="46" a="1"/>
  <c r="P21" i="46" a="1"/>
  <c r="P22" i="46" a="1"/>
  <c r="P23" i="46" a="1"/>
  <c r="P24" i="46" a="1"/>
  <c r="P25" i="46" a="1"/>
  <c r="P26" i="46" a="1"/>
  <c r="P27" i="46" a="1"/>
  <c r="P28" i="46" a="1"/>
  <c r="P29" i="46" a="1"/>
  <c r="P30" i="46" a="1"/>
  <c r="P31" i="46" a="1"/>
  <c r="P32" i="46" a="1"/>
  <c r="P33" i="46" a="1"/>
  <c r="P34" i="46" a="1"/>
  <c r="P35" i="46" a="1"/>
  <c r="P36" i="46" a="1"/>
  <c r="P37" i="46" a="1"/>
  <c r="Q37" i="46" s="1" a="1"/>
  <c r="P38" i="46" a="1"/>
  <c r="Q38" i="46" s="1" a="1"/>
  <c r="P39" i="46" a="1"/>
  <c r="P40" i="46" a="1"/>
  <c r="Q40" i="46" s="1" a="1"/>
  <c r="P41" i="46" a="1"/>
  <c r="Q41" i="46" s="1" a="1"/>
  <c r="P42" i="46" a="1"/>
  <c r="P43" i="46" a="1"/>
  <c r="P44" i="46" a="1"/>
  <c r="P45" i="46" a="1"/>
  <c r="P46" i="46" a="1"/>
  <c r="P47" i="46" a="1"/>
  <c r="P48" i="46" a="1"/>
  <c r="P49" i="46" a="1"/>
  <c r="P50" i="46" a="1"/>
  <c r="P51" i="46" a="1"/>
  <c r="P52" i="46" a="1"/>
  <c r="P53" i="46" a="1"/>
  <c r="P54" i="46" a="1"/>
  <c r="P55" i="46" a="1"/>
  <c r="P56" i="46" a="1"/>
  <c r="P57" i="46" a="1"/>
  <c r="P58" i="46" a="1"/>
  <c r="P59" i="46" a="1"/>
  <c r="P60" i="46" a="1"/>
  <c r="P61" i="46" a="1"/>
  <c r="P62" i="46" a="1"/>
  <c r="P63" i="46" a="1"/>
  <c r="P64" i="46" a="1"/>
  <c r="P65" i="46" a="1"/>
  <c r="P66" i="46" a="1"/>
  <c r="P67" i="46" a="1"/>
  <c r="P68" i="46" a="1"/>
  <c r="P69" i="46" a="1"/>
  <c r="P70" i="46" a="1"/>
  <c r="P71" i="46" a="1"/>
  <c r="P72" i="46" a="1"/>
  <c r="Q72" i="46" s="1" a="1"/>
  <c r="P73" i="46" a="1"/>
  <c r="P74" i="46" a="1"/>
  <c r="P75" i="46" a="1"/>
  <c r="P76" i="46" a="1"/>
  <c r="P77" i="46" a="1"/>
  <c r="P78" i="46" a="1"/>
  <c r="P79" i="46" a="1"/>
  <c r="P80" i="46" a="1"/>
  <c r="P81" i="46" a="1"/>
  <c r="P82" i="46" a="1"/>
  <c r="P83" i="46" a="1"/>
  <c r="Q83" i="46" s="1" a="1"/>
  <c r="P84" i="46" a="1"/>
  <c r="P85" i="46" a="1"/>
  <c r="Q85" i="46" s="1" a="1"/>
  <c r="P86" i="46" a="1"/>
  <c r="P87" i="46" a="1"/>
  <c r="Q87" i="46" s="1" a="1"/>
  <c r="P88" i="46" a="1"/>
  <c r="P89" i="46" a="1"/>
  <c r="Q89" i="46" s="1" a="1"/>
  <c r="P90" i="46" a="1"/>
  <c r="P91" i="46" a="1"/>
  <c r="P92" i="46" a="1"/>
  <c r="P93" i="46" a="1"/>
  <c r="P94" i="46" a="1"/>
  <c r="P95" i="46" a="1"/>
  <c r="Q95" i="46" s="1" a="1"/>
  <c r="P96" i="46" a="1"/>
  <c r="Q96" i="46" s="1" a="1"/>
  <c r="P97" i="46" a="1"/>
  <c r="P98" i="46" a="1"/>
  <c r="P99" i="46" a="1"/>
  <c r="P100" i="46" a="1"/>
  <c r="P101" i="46" a="1"/>
  <c r="P102" i="46" a="1"/>
  <c r="P103" i="46" a="1"/>
  <c r="P104" i="46" a="1"/>
  <c r="P105" i="46" a="1"/>
  <c r="P106" i="46" a="1"/>
  <c r="P107" i="46" a="1"/>
  <c r="P108" i="46" a="1"/>
  <c r="P109" i="46" a="1"/>
  <c r="P110" i="46" a="1"/>
  <c r="P111" i="46" a="1"/>
  <c r="P112" i="46" a="1"/>
  <c r="P113" i="46" a="1"/>
  <c r="P114" i="46" a="1"/>
  <c r="P115" i="46" a="1"/>
  <c r="P116" i="46" a="1"/>
  <c r="P117" i="46" a="1"/>
  <c r="P118" i="46" a="1"/>
  <c r="P119" i="46" a="1"/>
  <c r="P120" i="46" a="1"/>
  <c r="P121" i="46" a="1"/>
  <c r="P122" i="46" a="1"/>
  <c r="P123" i="46" a="1"/>
  <c r="P124" i="46" a="1"/>
  <c r="P125" i="46" a="1"/>
  <c r="P126" i="46" a="1"/>
  <c r="P127" i="46" a="1"/>
  <c r="P128" i="46" a="1"/>
  <c r="P129" i="46" a="1"/>
  <c r="P130" i="46" a="1"/>
  <c r="P131" i="46" a="1"/>
  <c r="P132" i="46" a="1"/>
  <c r="P133" i="46" a="1"/>
  <c r="P134" i="46" a="1"/>
  <c r="P135" i="46" a="1"/>
  <c r="P136" i="46" a="1"/>
  <c r="P137" i="46" a="1"/>
  <c r="P138" i="46" a="1"/>
  <c r="Q138" i="46" s="1" a="1"/>
  <c r="P139" i="46" a="1"/>
  <c r="Q139" i="46" s="1" a="1"/>
  <c r="P140" i="46" a="1"/>
  <c r="Q140" i="46" s="1" a="1"/>
  <c r="P141" i="46" a="1"/>
  <c r="P142" i="46" a="1"/>
  <c r="P143" i="46" a="1"/>
  <c r="P144" i="46" a="1"/>
  <c r="P145" i="46" a="1"/>
  <c r="P146" i="46" a="1"/>
  <c r="P147" i="46" a="1"/>
  <c r="P148" i="46" a="1"/>
  <c r="P149" i="46" a="1"/>
  <c r="P150" i="46" a="1"/>
  <c r="P151" i="46" a="1"/>
  <c r="P152" i="46" a="1"/>
  <c r="P153" i="46" a="1"/>
  <c r="P154" i="46" a="1"/>
  <c r="P155" i="46" a="1"/>
  <c r="P156" i="46" a="1"/>
  <c r="P157" i="46" a="1"/>
  <c r="P158" i="46" a="1"/>
  <c r="P159" i="46" a="1"/>
  <c r="P160" i="46" a="1"/>
  <c r="P161" i="46" a="1"/>
  <c r="P162" i="46" a="1"/>
  <c r="P163" i="46" a="1"/>
  <c r="P164" i="46" a="1"/>
  <c r="P165" i="46" a="1"/>
  <c r="P166" i="46" a="1"/>
  <c r="P167" i="46" a="1"/>
  <c r="P168" i="46" a="1"/>
  <c r="P169" i="46" a="1"/>
  <c r="P170" i="46" a="1"/>
  <c r="P171" i="46" a="1"/>
  <c r="P172" i="46" a="1"/>
  <c r="P173" i="46" a="1"/>
  <c r="P174" i="46" a="1"/>
  <c r="P175" i="46" a="1"/>
  <c r="P176" i="46" a="1"/>
  <c r="Q176" i="46" s="1" a="1"/>
  <c r="P177" i="46" a="1"/>
  <c r="P178" i="46" a="1"/>
  <c r="P179" i="46" a="1"/>
  <c r="P180" i="46" a="1"/>
  <c r="Q180" i="46" s="1" a="1"/>
  <c r="P181" i="46" a="1"/>
  <c r="P182" i="46" a="1"/>
  <c r="Q182" i="46" s="1" a="1"/>
  <c r="P183" i="46" a="1"/>
  <c r="P184" i="46" a="1"/>
  <c r="P185" i="46" a="1"/>
  <c r="P186" i="46" a="1"/>
  <c r="Q186" i="46" s="1" a="1"/>
  <c r="P187" i="46" a="1"/>
  <c r="Q187" i="46" s="1" a="1"/>
  <c r="P188" i="46" a="1"/>
  <c r="Q188" i="46" s="1" a="1"/>
  <c r="P189" i="46" a="1"/>
  <c r="Q189" i="46" s="1" a="1"/>
  <c r="P190" i="46" a="1"/>
  <c r="Q190" i="46" s="1" a="1"/>
  <c r="P191" i="46" a="1"/>
  <c r="Q191" i="46" s="1" a="1"/>
  <c r="P192" i="46" a="1"/>
  <c r="P193" i="46" a="1"/>
  <c r="P194" i="46" a="1"/>
  <c r="P195" i="46" a="1"/>
  <c r="P196" i="46" a="1"/>
  <c r="P197" i="46" a="1"/>
  <c r="P198" i="46" a="1"/>
  <c r="P199" i="46" a="1"/>
  <c r="P200" i="46" a="1"/>
  <c r="Q200" i="46" s="1" a="1"/>
  <c r="P201" i="46" a="1"/>
  <c r="Q201" i="46" s="1" a="1"/>
  <c r="P202" i="46" a="1"/>
  <c r="Q202" i="46" s="1" a="1"/>
  <c r="P203" i="46" a="1"/>
  <c r="Q203" i="46" s="1" a="1"/>
  <c r="P204" i="46" a="1"/>
  <c r="P205" i="46" a="1"/>
  <c r="P206" i="46" a="1"/>
  <c r="P207" i="46" a="1"/>
  <c r="P208" i="46" a="1"/>
  <c r="P209" i="46" a="1"/>
  <c r="P210" i="46" a="1"/>
  <c r="P211" i="46" a="1"/>
  <c r="P212" i="46" a="1"/>
  <c r="P213" i="46" a="1"/>
  <c r="P214" i="46" a="1"/>
  <c r="P215" i="46" a="1"/>
  <c r="P216" i="46" a="1"/>
  <c r="P217" i="46" a="1"/>
  <c r="P218" i="46" a="1"/>
  <c r="P219" i="46" a="1"/>
  <c r="Q219" i="46" s="1" a="1"/>
  <c r="P220" i="46" a="1"/>
  <c r="Q220" i="46" s="1" a="1"/>
  <c r="P221" i="46" a="1"/>
  <c r="Q221" i="46" s="1" a="1"/>
  <c r="P222" i="46" a="1"/>
  <c r="Q222" i="46" s="1" a="1"/>
  <c r="P223" i="46" a="1"/>
  <c r="Q223" i="46" s="1" a="1"/>
  <c r="P224" i="46" a="1"/>
  <c r="Q224" i="46" s="1" a="1"/>
  <c r="P225" i="46" a="1"/>
  <c r="Q225" i="46" s="1" a="1"/>
  <c r="P226" i="46" a="1"/>
  <c r="Q226" i="46" s="1" a="1"/>
  <c r="P227" i="46" a="1"/>
  <c r="Q227" i="46" s="1" a="1"/>
  <c r="P228" i="46" a="1"/>
  <c r="Q228" i="46" s="1" a="1"/>
  <c r="P229" i="46" a="1"/>
  <c r="Q229" i="46" s="1" a="1"/>
  <c r="P230" i="46" a="1"/>
  <c r="Q230" i="46" s="1" a="1"/>
  <c r="P231" i="46" a="1"/>
  <c r="Q231" i="46" s="1" a="1"/>
  <c r="P232" i="46" a="1"/>
  <c r="Q232" i="46" s="1" a="1"/>
  <c r="P233" i="46" a="1"/>
  <c r="Q233" i="46" s="1" a="1"/>
  <c r="P234" i="46" a="1"/>
  <c r="Q234" i="46" s="1" a="1"/>
  <c r="P235" i="46" a="1"/>
  <c r="Q235" i="46" s="1" a="1"/>
  <c r="P236" i="46" a="1"/>
  <c r="Q236" i="46" s="1" a="1"/>
  <c r="P237" i="46" a="1"/>
  <c r="Q237" i="46" s="1" a="1"/>
  <c r="P238" i="46" a="1"/>
  <c r="P239" i="46" a="1"/>
  <c r="P240" i="46" a="1"/>
  <c r="Q240" i="46" s="1" a="1"/>
  <c r="P241" i="46" a="1"/>
  <c r="P242" i="46" a="1"/>
  <c r="P243" i="46" a="1"/>
  <c r="P244" i="46" a="1"/>
  <c r="P245" i="46" a="1"/>
  <c r="P246" i="46" a="1"/>
  <c r="P247" i="46" a="1"/>
  <c r="P248" i="46" a="1"/>
  <c r="P249" i="46" a="1"/>
  <c r="P250" i="46" a="1"/>
  <c r="P251" i="46" a="1"/>
  <c r="P252" i="46" a="1"/>
  <c r="P253" i="46" a="1"/>
  <c r="P254" i="46" a="1"/>
  <c r="P255" i="46" a="1"/>
  <c r="P256" i="46" a="1"/>
  <c r="P257" i="46" a="1"/>
  <c r="P258" i="46" a="1"/>
  <c r="P259" i="46" a="1"/>
  <c r="P260" i="46" a="1"/>
  <c r="Q260" i="46" s="1" a="1"/>
  <c r="P261" i="46" a="1"/>
  <c r="Q261" i="46" s="1" a="1"/>
  <c r="P262" i="46" a="1"/>
  <c r="Q262" i="46" s="1" a="1"/>
  <c r="P263" i="46" a="1"/>
  <c r="Q263" i="46" s="1" a="1"/>
  <c r="P264" i="46" a="1"/>
  <c r="Q264" i="46" s="1" a="1"/>
  <c r="P265" i="46" a="1"/>
  <c r="Q265" i="46" s="1" a="1"/>
  <c r="P266" i="46" a="1"/>
  <c r="P267" i="46" a="1"/>
  <c r="P268" i="46" a="1"/>
  <c r="P269" i="46" a="1"/>
  <c r="P270" i="46" a="1"/>
  <c r="P271" i="46" a="1"/>
  <c r="P272" i="46" a="1"/>
  <c r="P273" i="46" a="1"/>
  <c r="P274" i="46" a="1"/>
  <c r="P275" i="46" a="1"/>
  <c r="Q275" i="46" s="1" a="1"/>
  <c r="P276" i="46" a="1"/>
  <c r="Q276" i="46" s="1" a="1"/>
  <c r="P277" i="46" a="1"/>
  <c r="Q277" i="46" s="1" a="1"/>
  <c r="P278" i="46" a="1"/>
  <c r="Q278" i="46" s="1" a="1"/>
  <c r="P279" i="46" a="1"/>
  <c r="P280" i="46" a="1"/>
  <c r="P281" i="46" a="1"/>
  <c r="P282" i="46" a="1"/>
  <c r="P283" i="46" a="1"/>
  <c r="P284" i="46" a="1"/>
  <c r="P285" i="46" a="1"/>
  <c r="P286" i="46" a="1"/>
  <c r="P287" i="46" a="1"/>
  <c r="P288" i="46" a="1"/>
  <c r="P289" i="46" a="1"/>
  <c r="P290" i="46" a="1"/>
  <c r="P291" i="46" a="1"/>
  <c r="P292" i="46" a="1"/>
  <c r="P293" i="46" a="1"/>
  <c r="P294" i="46" a="1"/>
  <c r="Q294" i="46" s="1" a="1"/>
  <c r="P295" i="46" a="1"/>
  <c r="Q295" i="46" s="1" a="1"/>
  <c r="P296" i="46" a="1"/>
  <c r="Q296" i="46" s="1" a="1"/>
  <c r="P297" i="46" a="1"/>
  <c r="P298" i="46" a="1"/>
  <c r="Q298" i="46" s="1" a="1"/>
  <c r="P299" i="46" a="1"/>
  <c r="Q299" i="46" s="1" a="1"/>
  <c r="P300" i="46" a="1"/>
  <c r="Q300" i="46" s="1" a="1"/>
  <c r="P301" i="46" a="1"/>
  <c r="Q301" i="46" s="1" a="1"/>
  <c r="P302" i="46" a="1"/>
  <c r="Q302" i="46" s="1" a="1"/>
  <c r="P303" i="46" a="1"/>
  <c r="Q303" i="46" s="1" a="1"/>
  <c r="P304" i="46" a="1"/>
  <c r="Q304" i="46" s="1" a="1"/>
  <c r="P305" i="46" a="1"/>
  <c r="Q305" i="46" s="1" a="1"/>
  <c r="P306" i="46" a="1"/>
  <c r="Q306" i="46" s="1" a="1"/>
  <c r="P307" i="46" a="1"/>
  <c r="Q307" i="46" s="1" a="1"/>
  <c r="P308" i="46" a="1"/>
  <c r="Q308" i="46" s="1" a="1"/>
  <c r="P309" i="46" a="1"/>
  <c r="Q309" i="46" s="1" a="1"/>
  <c r="P310" i="46" a="1"/>
  <c r="Q310" i="46" s="1" a="1"/>
  <c r="P311" i="46" a="1"/>
  <c r="Q311" i="46" s="1" a="1"/>
  <c r="P312" i="46" a="1"/>
  <c r="Q312" i="46" s="1" a="1"/>
  <c r="P313" i="46" a="1"/>
  <c r="Q313" i="46" s="1" a="1"/>
  <c r="P314" i="46" a="1"/>
  <c r="P315" i="46" a="1"/>
  <c r="P316" i="46" a="1"/>
  <c r="P317" i="46" a="1"/>
  <c r="P318" i="46" a="1"/>
  <c r="P319" i="46" a="1"/>
  <c r="P320" i="46" a="1"/>
  <c r="P321" i="46" a="1"/>
  <c r="P322" i="46" a="1"/>
  <c r="P323" i="46" a="1"/>
  <c r="P324" i="46" a="1"/>
  <c r="P325" i="46" a="1"/>
  <c r="P326" i="46" a="1"/>
  <c r="P327" i="46" a="1"/>
  <c r="P328" i="46" a="1"/>
  <c r="P329" i="46" a="1"/>
  <c r="P330" i="46" a="1"/>
  <c r="P331" i="46" a="1"/>
  <c r="P332" i="46" a="1"/>
  <c r="P333" i="46" a="1"/>
  <c r="P334" i="46" a="1"/>
  <c r="P335" i="46" a="1"/>
  <c r="P336" i="46" a="1"/>
  <c r="P337" i="46" a="1"/>
  <c r="P338" i="46" a="1"/>
  <c r="P339" i="46" a="1"/>
  <c r="P340" i="46" a="1"/>
  <c r="P341" i="46" a="1"/>
  <c r="P342" i="46" a="1"/>
  <c r="P343" i="46" a="1"/>
  <c r="P344" i="46" a="1"/>
  <c r="P345" i="46" a="1"/>
  <c r="P346" i="46" a="1"/>
  <c r="P347" i="46" a="1"/>
  <c r="P348" i="46" a="1"/>
  <c r="P349" i="46" a="1"/>
  <c r="P350" i="46" a="1"/>
  <c r="P351" i="46" a="1"/>
  <c r="P352" i="46" a="1"/>
  <c r="P353" i="46" a="1"/>
  <c r="P354" i="46" a="1"/>
  <c r="P355" i="46" a="1"/>
  <c r="Q355" i="46" s="1" a="1"/>
  <c r="P356" i="46" a="1"/>
  <c r="Q356" i="46" s="1" a="1"/>
  <c r="P357" i="46" a="1"/>
  <c r="Q357" i="46" s="1" a="1"/>
  <c r="P358" i="46" a="1"/>
  <c r="Q358" i="46" s="1" a="1"/>
  <c r="P359" i="46" a="1"/>
  <c r="P360" i="46" a="1"/>
  <c r="P361" i="46" a="1"/>
  <c r="P362" i="46" a="1"/>
  <c r="P363" i="46" a="1"/>
  <c r="P364" i="46" a="1"/>
  <c r="Q364" i="46" s="1" a="1"/>
  <c r="P365" i="46" a="1"/>
  <c r="Q365" i="46" s="1" a="1"/>
  <c r="P366" i="46" a="1"/>
  <c r="Q366" i="46" s="1" a="1"/>
  <c r="P367" i="46" a="1"/>
  <c r="Q367" i="46" s="1" a="1"/>
  <c r="P368" i="46" a="1"/>
  <c r="P369" i="46" a="1"/>
  <c r="Q369" i="46" s="1" a="1"/>
  <c r="P370" i="46" a="1"/>
  <c r="P371" i="46" a="1"/>
  <c r="P372" i="46" a="1"/>
  <c r="P373" i="46" a="1"/>
  <c r="P374" i="46" a="1"/>
  <c r="P375" i="46" a="1"/>
  <c r="Q375" i="46" s="1" a="1"/>
  <c r="P376" i="46" a="1"/>
  <c r="Q376" i="46" s="1" a="1"/>
  <c r="P377" i="46" a="1"/>
  <c r="Q377" i="46" s="1" a="1"/>
  <c r="P378" i="46" a="1"/>
  <c r="Q378" i="46" s="1" a="1"/>
  <c r="P379" i="46" a="1"/>
  <c r="Q379" i="46" s="1" a="1"/>
  <c r="P380" i="46" a="1"/>
  <c r="Q380" i="46" s="1" a="1"/>
  <c r="P381" i="46" a="1"/>
  <c r="Q381" i="46" s="1" a="1"/>
  <c r="P382" i="46" a="1"/>
  <c r="Q382" i="46" s="1" a="1"/>
  <c r="P383" i="46" a="1"/>
  <c r="P384" i="46" a="1"/>
  <c r="P385" i="46" a="1"/>
  <c r="P386" i="46" a="1"/>
  <c r="Q386" i="46" s="1" a="1"/>
  <c r="P387" i="46" a="1"/>
  <c r="Q387" i="46" s="1" a="1"/>
  <c r="P388" i="46" a="1"/>
  <c r="Q388" i="46" s="1" a="1"/>
  <c r="P389" i="46" a="1"/>
  <c r="Q389" i="46" s="1" a="1"/>
  <c r="P390" i="46" a="1"/>
  <c r="Q390" i="46" s="1" a="1"/>
  <c r="P391" i="46" a="1"/>
  <c r="P392" i="46" a="1"/>
  <c r="P393" i="46" a="1"/>
  <c r="P394" i="46" a="1"/>
  <c r="P395" i="46" a="1"/>
  <c r="P396" i="46" a="1"/>
  <c r="P397" i="46" a="1"/>
  <c r="P398" i="46" a="1"/>
  <c r="P399" i="46" a="1"/>
  <c r="P400" i="46" a="1"/>
  <c r="P401" i="46" a="1"/>
  <c r="P402" i="46" a="1"/>
  <c r="P403" i="46" a="1"/>
  <c r="P404" i="46" a="1"/>
  <c r="P405" i="46" a="1"/>
  <c r="P406" i="46" a="1"/>
  <c r="P407" i="46" a="1"/>
  <c r="Q407" i="46" s="1" a="1"/>
  <c r="P408" i="46" a="1"/>
  <c r="Q408" i="46" s="1" a="1"/>
  <c r="P409" i="46" a="1"/>
  <c r="Q409" i="46" s="1" a="1"/>
  <c r="P410" i="46" a="1"/>
  <c r="Q410" i="46" s="1" a="1"/>
  <c r="P411" i="46" a="1"/>
  <c r="P412" i="46" a="1"/>
  <c r="P413" i="46" a="1"/>
  <c r="P414" i="46" a="1"/>
  <c r="P415" i="46" a="1"/>
  <c r="P416" i="46" a="1"/>
  <c r="P417" i="46" a="1"/>
  <c r="P418" i="46" a="1"/>
  <c r="P419" i="46" a="1"/>
  <c r="Q419" i="46" s="1" a="1"/>
  <c r="P420" i="46" a="1"/>
  <c r="Q420" i="46" s="1" a="1"/>
  <c r="P421" i="46" a="1"/>
  <c r="Q421" i="46" s="1" a="1"/>
  <c r="P422" i="46" a="1"/>
  <c r="Q422" i="46" s="1" a="1"/>
  <c r="P423" i="46" a="1"/>
  <c r="Q423" i="46" s="1" a="1"/>
  <c r="P424" i="46" a="1"/>
  <c r="Q424" i="46" s="1" a="1"/>
  <c r="P425" i="46" a="1"/>
  <c r="Q425" i="46" s="1" a="1"/>
  <c r="P426" i="46" a="1"/>
  <c r="Q426" i="46" s="1" a="1"/>
  <c r="P427" i="46" a="1"/>
  <c r="Q427" i="46" s="1" a="1"/>
  <c r="P428" i="46" a="1"/>
  <c r="P429" i="46" a="1"/>
  <c r="P430" i="46" a="1"/>
  <c r="P431" i="46" a="1"/>
  <c r="P432" i="46" a="1"/>
  <c r="Q432" i="46" s="1" a="1"/>
  <c r="P433" i="46" a="1"/>
  <c r="Q433" i="46" s="1" a="1"/>
  <c r="P434" i="46" a="1"/>
  <c r="Q434" i="46" s="1" a="1"/>
  <c r="P435" i="46" a="1"/>
  <c r="Q435" i="46" s="1" a="1"/>
  <c r="P436" i="46" a="1"/>
  <c r="Q436" i="46" s="1" a="1"/>
  <c r="P437" i="46" a="1"/>
  <c r="Q437" i="46" s="1" a="1"/>
  <c r="P438" i="46" a="1"/>
  <c r="Q438" i="46" s="1" a="1"/>
  <c r="P439" i="46" a="1"/>
  <c r="Q439" i="46" s="1" a="1"/>
  <c r="P440" i="46" a="1"/>
  <c r="Q440" i="46" s="1" a="1"/>
  <c r="P441" i="46" a="1"/>
  <c r="Q441" i="46" s="1" a="1"/>
  <c r="P442" i="46" a="1"/>
  <c r="Q442" i="46" s="1" a="1"/>
  <c r="P443" i="46" a="1"/>
  <c r="P444" i="46" a="1"/>
  <c r="P445" i="46" a="1"/>
  <c r="P446" i="46" a="1"/>
  <c r="Q446" i="46" s="1" a="1"/>
  <c r="P447" i="46" a="1"/>
  <c r="Q447" i="46" s="1" a="1"/>
  <c r="P448" i="46" a="1"/>
  <c r="Q448" i="46" s="1" a="1"/>
  <c r="P449" i="46" a="1"/>
  <c r="Q449" i="46" s="1" a="1"/>
  <c r="P450" i="46" a="1"/>
  <c r="Q450" i="46" s="1" a="1"/>
  <c r="P451" i="46" a="1"/>
  <c r="P452" i="46" a="1"/>
  <c r="Q452" i="46" s="1" a="1"/>
  <c r="P453" i="46" a="1"/>
  <c r="P454" i="46" a="1"/>
  <c r="Q454" i="46" s="1" a="1"/>
  <c r="P455" i="46" a="1"/>
  <c r="P456" i="46" a="1"/>
  <c r="P457" i="46" a="1"/>
  <c r="P458" i="46" a="1"/>
  <c r="P459" i="46" a="1"/>
  <c r="P460" i="46" a="1"/>
  <c r="P461" i="46" a="1"/>
  <c r="Q461" i="46" s="1" a="1"/>
  <c r="P462" i="46" a="1"/>
  <c r="Q462" i="46" s="1" a="1"/>
  <c r="P463" i="46" a="1"/>
  <c r="P464" i="46" a="1"/>
  <c r="Q464" i="46" s="1" a="1"/>
  <c r="P465" i="46" a="1"/>
  <c r="Q465" i="46" s="1" a="1"/>
  <c r="P466" i="46" a="1"/>
  <c r="Q466" i="46" s="1" a="1"/>
  <c r="P467" i="46" a="1"/>
  <c r="Q467" i="46" s="1" a="1"/>
  <c r="P468" i="46" a="1"/>
  <c r="Q468" i="46" s="1" a="1"/>
  <c r="P469" i="46" a="1"/>
  <c r="Q469" i="46" s="1" a="1"/>
  <c r="P470" i="46" a="1"/>
  <c r="P471" i="46" a="1"/>
  <c r="P472" i="46" a="1"/>
  <c r="P473" i="46" a="1"/>
  <c r="P474" i="46" a="1"/>
  <c r="P475" i="46" a="1"/>
  <c r="P476" i="46" a="1"/>
  <c r="P477" i="46" a="1"/>
  <c r="P478" i="46" a="1"/>
  <c r="P479" i="46" a="1"/>
  <c r="P480" i="46" a="1"/>
  <c r="P481" i="46" a="1"/>
  <c r="P482" i="46" a="1"/>
  <c r="P483" i="46" a="1"/>
  <c r="P484" i="46" a="1"/>
  <c r="P485" i="46" a="1"/>
  <c r="P486" i="46" a="1"/>
  <c r="P487" i="46" a="1"/>
  <c r="Q487" i="46" s="1" a="1"/>
  <c r="P488" i="46" a="1"/>
  <c r="P489" i="46" a="1"/>
  <c r="P490" i="46" a="1"/>
  <c r="P491" i="46" a="1"/>
  <c r="P492" i="46" a="1"/>
  <c r="Q492" i="46" s="1" a="1"/>
  <c r="P493" i="46" a="1"/>
  <c r="Q493" i="46" s="1" a="1"/>
  <c r="P494" i="46" a="1"/>
  <c r="Q494" i="46" s="1" a="1"/>
  <c r="P495" i="46" a="1"/>
  <c r="P496" i="46" a="1"/>
  <c r="P497" i="46" a="1"/>
  <c r="P498" i="46" a="1"/>
  <c r="P499" i="46" a="1"/>
  <c r="P500" i="46" a="1"/>
  <c r="P501" i="46" a="1"/>
  <c r="P502" i="46" a="1"/>
  <c r="P503" i="46" a="1"/>
  <c r="P504" i="46" a="1"/>
  <c r="P505" i="46" a="1"/>
  <c r="P506" i="46" a="1"/>
  <c r="P507" i="46" a="1"/>
  <c r="P508" i="46" a="1"/>
  <c r="P509" i="46" a="1"/>
  <c r="P510" i="46" a="1"/>
  <c r="Q510" i="46" s="1" a="1"/>
  <c r="P511" i="46" a="1"/>
  <c r="Q511" i="46" s="1" a="1"/>
  <c r="P512" i="46" a="1"/>
  <c r="Q512" i="46" s="1" a="1"/>
  <c r="P513" i="46" a="1"/>
  <c r="Q513" i="46" s="1" a="1"/>
  <c r="P514" i="46" a="1"/>
  <c r="Q514" i="46" s="1" a="1"/>
  <c r="P515" i="46" a="1"/>
  <c r="Q515" i="46" s="1" a="1"/>
  <c r="P516" i="46" a="1"/>
  <c r="Q516" i="46" s="1" a="1"/>
  <c r="P517" i="46" a="1"/>
  <c r="Q517" i="46" s="1" a="1"/>
  <c r="P518" i="46" a="1"/>
  <c r="Q518" i="46" s="1" a="1"/>
  <c r="P519" i="46" a="1"/>
  <c r="Q519" i="46" s="1" a="1"/>
  <c r="P520" i="46" a="1"/>
  <c r="Q520" i="46" s="1" a="1"/>
  <c r="P521" i="46" a="1"/>
  <c r="Q521" i="46" s="1" a="1"/>
  <c r="P522" i="46" a="1"/>
  <c r="Q522" i="46" s="1" a="1"/>
  <c r="P523" i="46" a="1"/>
  <c r="Q523" i="46" s="1" a="1"/>
  <c r="P524" i="46" a="1"/>
  <c r="Q524" i="46" s="1" a="1"/>
  <c r="P525" i="46" a="1"/>
  <c r="Q525" i="46" s="1" a="1"/>
  <c r="P526" i="46" a="1"/>
  <c r="Q526" i="46" s="1" a="1"/>
  <c r="P527" i="46" a="1"/>
  <c r="Q527" i="46" s="1" a="1"/>
  <c r="P528" i="46" a="1"/>
  <c r="Q528" i="46" s="1" a="1"/>
  <c r="P529" i="46" a="1"/>
  <c r="P530" i="46" a="1"/>
  <c r="Q530" i="46" s="1" a="1"/>
  <c r="P531" i="46" a="1"/>
  <c r="Q531" i="46" s="1" a="1"/>
  <c r="P532" i="46" a="1"/>
  <c r="Q532" i="46" s="1" a="1"/>
  <c r="P533" i="46" a="1"/>
  <c r="Q533" i="46" s="1" a="1"/>
  <c r="P534" i="46" a="1"/>
  <c r="Q534" i="46" s="1" a="1"/>
  <c r="P535" i="46" a="1"/>
  <c r="Q535" i="46" s="1" a="1"/>
  <c r="P536" i="46" a="1"/>
  <c r="P537" i="46" a="1"/>
  <c r="P538" i="46" a="1"/>
  <c r="P539" i="46" a="1"/>
  <c r="P540" i="46" a="1"/>
  <c r="P541" i="46" a="1"/>
  <c r="P542" i="46" a="1"/>
  <c r="P543" i="46" a="1"/>
  <c r="P544" i="46" a="1"/>
  <c r="Q544" i="46" s="1" a="1"/>
  <c r="P545" i="46" a="1"/>
  <c r="Q545" i="46" s="1" a="1"/>
  <c r="P546" i="46" a="1"/>
  <c r="Q546" i="46" s="1" a="1"/>
  <c r="P547" i="46" a="1"/>
  <c r="Q547" i="46" s="1" a="1"/>
  <c r="P548" i="46" a="1"/>
  <c r="P549" i="46" a="1"/>
  <c r="P550" i="46" a="1"/>
  <c r="P551" i="46" a="1"/>
  <c r="P552" i="46" a="1"/>
  <c r="P553" i="46" a="1"/>
  <c r="P554" i="46" a="1"/>
  <c r="P555" i="46" a="1"/>
  <c r="P556" i="46" a="1"/>
  <c r="P557" i="46" a="1"/>
  <c r="P558" i="46" a="1"/>
  <c r="P559" i="46" a="1"/>
  <c r="P560" i="46" a="1"/>
  <c r="P561" i="46" a="1"/>
  <c r="P562" i="46" a="1"/>
  <c r="P563" i="46" a="1"/>
  <c r="Q563" i="46" s="1" a="1"/>
  <c r="P564" i="46" a="1"/>
  <c r="Q564" i="46" s="1" a="1"/>
  <c r="P565" i="46" a="1"/>
  <c r="Q565" i="46" s="1" a="1"/>
  <c r="P566" i="46" a="1"/>
  <c r="Q566" i="46" s="1" a="1"/>
  <c r="P567" i="46" a="1"/>
  <c r="Q567" i="46" s="1" a="1"/>
  <c r="P568" i="46" a="1"/>
  <c r="Q568" i="46" s="1" a="1"/>
  <c r="P569" i="46" a="1"/>
  <c r="Q569" i="46" s="1" a="1"/>
  <c r="P570" i="46" a="1"/>
  <c r="Q570" i="46" s="1" a="1"/>
  <c r="P571" i="46" a="1"/>
  <c r="Q571" i="46" s="1" a="1"/>
  <c r="P572" i="46" a="1"/>
  <c r="Q572" i="46" s="1" a="1"/>
  <c r="P573" i="46" a="1"/>
  <c r="Q573" i="46" s="1" a="1"/>
  <c r="P574" i="46" a="1"/>
  <c r="Q574" i="46" s="1" a="1"/>
  <c r="P575" i="46" a="1"/>
  <c r="Q575" i="46" s="1" a="1"/>
  <c r="P576" i="46" a="1"/>
  <c r="Q576" i="46" s="1" a="1"/>
  <c r="P577" i="46" a="1"/>
  <c r="Q577" i="46" s="1" a="1"/>
  <c r="P578" i="46" a="1"/>
  <c r="Q578" i="46" s="1" a="1"/>
  <c r="P579" i="46" a="1"/>
  <c r="Q579" i="46" s="1" a="1"/>
  <c r="P580" i="46" a="1"/>
  <c r="Q580" i="46" s="1" a="1"/>
  <c r="P581" i="46" a="1"/>
  <c r="Q581" i="46" s="1" a="1"/>
  <c r="P582" i="46" a="1"/>
  <c r="P583" i="46" a="1"/>
  <c r="Q583" i="46" s="1" a="1"/>
  <c r="P584" i="46" a="1"/>
  <c r="Q584" i="46" s="1" a="1"/>
  <c r="P585" i="46" a="1"/>
  <c r="Q585" i="46" s="1" a="1"/>
  <c r="P586" i="46" a="1"/>
  <c r="Q586" i="46" s="1" a="1"/>
  <c r="P587" i="46" a="1"/>
  <c r="Q587" i="46" s="1" a="1"/>
  <c r="P588" i="46" a="1"/>
  <c r="Q588" i="46" s="1" a="1"/>
  <c r="P589" i="46" a="1"/>
  <c r="P590" i="46" a="1"/>
  <c r="P591" i="46" a="1"/>
  <c r="P592" i="46" a="1"/>
  <c r="P593" i="46" a="1"/>
  <c r="P594" i="46" a="1"/>
  <c r="P595" i="46" a="1"/>
  <c r="P596" i="46" a="1"/>
  <c r="P597" i="46" a="1"/>
  <c r="Q597" i="46" s="1" a="1"/>
  <c r="P598" i="46" a="1"/>
  <c r="Q598" i="46" s="1" a="1"/>
  <c r="P599" i="46" a="1"/>
  <c r="Q599" i="46" s="1" a="1"/>
  <c r="P600" i="46" a="1"/>
  <c r="Q600" i="46" s="1" a="1"/>
  <c r="P601" i="46" a="1"/>
  <c r="P602" i="46" a="1"/>
  <c r="P603" i="46" a="1"/>
  <c r="P604" i="46" a="1"/>
  <c r="P605" i="46" a="1"/>
  <c r="P606" i="46" a="1"/>
  <c r="P607" i="46" a="1"/>
  <c r="P608" i="46" a="1"/>
  <c r="P609" i="46" a="1"/>
  <c r="P610" i="46" a="1"/>
  <c r="P611" i="46" a="1"/>
  <c r="P612" i="46" a="1"/>
  <c r="P613" i="46" a="1"/>
  <c r="P614" i="46" a="1"/>
  <c r="P615" i="46" a="1"/>
  <c r="P616" i="46" a="1"/>
  <c r="Q616" i="46" s="1" a="1"/>
  <c r="P617" i="46" a="1"/>
  <c r="Q617" i="46" s="1" a="1"/>
  <c r="P618" i="46" a="1"/>
  <c r="Q618" i="46" s="1" a="1"/>
  <c r="P619" i="46" a="1"/>
  <c r="Q619" i="46" s="1" a="1"/>
  <c r="P620" i="46" a="1"/>
  <c r="Q620" i="46" s="1" a="1"/>
  <c r="P621" i="46" a="1"/>
  <c r="Q621" i="46" s="1" a="1"/>
  <c r="P622" i="46" a="1"/>
  <c r="Q622" i="46" s="1" a="1"/>
  <c r="P623" i="46" a="1"/>
  <c r="Q623" i="46" s="1" a="1"/>
  <c r="P624" i="46" a="1"/>
  <c r="Q624" i="46" s="1" a="1"/>
  <c r="P625" i="46" a="1"/>
  <c r="Q625" i="46" s="1" a="1"/>
  <c r="P626" i="46" a="1"/>
  <c r="Q626" i="46" s="1" a="1"/>
  <c r="P627" i="46" a="1"/>
  <c r="Q627" i="46" s="1" a="1"/>
  <c r="P628" i="46" a="1"/>
  <c r="Q628" i="46" s="1" a="1"/>
  <c r="P629" i="46" a="1"/>
  <c r="Q629" i="46" s="1" a="1"/>
  <c r="P630" i="46" a="1"/>
  <c r="Q630" i="46" s="1" a="1"/>
  <c r="P631" i="46" a="1"/>
  <c r="Q631" i="46" s="1" a="1"/>
  <c r="P632" i="46" a="1"/>
  <c r="Q632" i="46" s="1" a="1"/>
  <c r="P633" i="46" a="1"/>
  <c r="Q633" i="46" s="1" a="1"/>
  <c r="P634" i="46" a="1"/>
  <c r="Q634" i="46" s="1" a="1"/>
  <c r="P635" i="46" a="1"/>
  <c r="P636" i="46" a="1"/>
  <c r="P637" i="46" a="1"/>
  <c r="P638" i="46" a="1"/>
  <c r="P639" i="46" a="1"/>
  <c r="P640" i="46" a="1"/>
  <c r="P641" i="46" a="1"/>
  <c r="P642" i="46" a="1"/>
  <c r="P643" i="46" a="1"/>
  <c r="P644" i="46" a="1"/>
  <c r="P645" i="46" a="1"/>
  <c r="P646" i="46" a="1"/>
  <c r="P647" i="46" a="1"/>
  <c r="P648" i="46" a="1"/>
  <c r="P649" i="46" a="1"/>
  <c r="P650" i="46" a="1"/>
  <c r="P4" i="46" a="1"/>
  <c r="P5" i="46" a="1"/>
  <c r="P3" i="46" a="1"/>
  <c r="I6" i="46"/>
  <c r="H10" i="49"/>
  <c r="H12" i="49"/>
  <c r="H14" i="49"/>
  <c r="H19" i="49"/>
  <c r="H20" i="49"/>
  <c r="H21" i="49"/>
  <c r="H22" i="49"/>
  <c r="H23" i="49"/>
  <c r="H24" i="49"/>
  <c r="H25" i="49"/>
  <c r="H28" i="49"/>
  <c r="H29" i="49"/>
  <c r="H30" i="49"/>
  <c r="H32" i="49"/>
  <c r="G10" i="49"/>
  <c r="G12" i="49"/>
  <c r="G14" i="49"/>
  <c r="G19" i="49"/>
  <c r="G20" i="49"/>
  <c r="G21" i="49"/>
  <c r="G22" i="49"/>
  <c r="G23" i="49"/>
  <c r="G24" i="49"/>
  <c r="G25" i="49"/>
  <c r="G28" i="49"/>
  <c r="G29" i="49"/>
  <c r="G30" i="49"/>
  <c r="G32" i="49"/>
  <c r="F10" i="49"/>
  <c r="F12" i="49"/>
  <c r="F19" i="49"/>
  <c r="F28" i="49"/>
  <c r="F30" i="49"/>
  <c r="F32" i="49"/>
  <c r="F21" i="49"/>
  <c r="F24" i="49"/>
  <c r="F29" i="49"/>
  <c r="F20" i="49"/>
  <c r="E24" i="49"/>
  <c r="E30" i="49"/>
  <c r="E19" i="49"/>
  <c r="E12" i="49"/>
  <c r="E32" i="49"/>
  <c r="Q650" i="46" a="1"/>
  <c r="Q649" i="46" a="1"/>
  <c r="Q648" i="46" a="1"/>
  <c r="Q647" i="46" a="1"/>
  <c r="Q646" i="46" a="1"/>
  <c r="Q645" i="46" a="1"/>
  <c r="Q644" i="46" a="1"/>
  <c r="Q643" i="46" a="1"/>
  <c r="Q642" i="46" a="1"/>
  <c r="Q641" i="46" a="1"/>
  <c r="Q640" i="46" a="1"/>
  <c r="Q639" i="46" a="1"/>
  <c r="Q638" i="46" a="1"/>
  <c r="Q637" i="46" a="1"/>
  <c r="Q636" i="46" a="1"/>
  <c r="Q635" i="46" a="1"/>
  <c r="Q615" i="46" a="1"/>
  <c r="Q614" i="46" a="1"/>
  <c r="Q613" i="46" a="1"/>
  <c r="Q612" i="46" a="1"/>
  <c r="Q611" i="46" a="1"/>
  <c r="Q610" i="46" a="1"/>
  <c r="Q609" i="46" a="1"/>
  <c r="Q608" i="46" a="1"/>
  <c r="Q607" i="46" a="1"/>
  <c r="Q606" i="46" a="1"/>
  <c r="Q605" i="46" a="1"/>
  <c r="Q604" i="46" a="1"/>
  <c r="Q603" i="46" a="1"/>
  <c r="Q602" i="46" a="1"/>
  <c r="Q601" i="46" a="1"/>
  <c r="Q596" i="46" a="1"/>
  <c r="Q595" i="46" a="1"/>
  <c r="Q594" i="46" a="1"/>
  <c r="Q593" i="46" a="1"/>
  <c r="Q592" i="46" a="1"/>
  <c r="Q591" i="46" a="1"/>
  <c r="Q590" i="46" a="1"/>
  <c r="Q589" i="46" a="1"/>
  <c r="Q582" i="46" a="1"/>
  <c r="Q562" i="46" a="1"/>
  <c r="Q561" i="46" a="1"/>
  <c r="Q560" i="46" a="1"/>
  <c r="Q559" i="46" a="1"/>
  <c r="Q558" i="46" a="1"/>
  <c r="Q557" i="46" a="1"/>
  <c r="Q556" i="46" a="1"/>
  <c r="Q555" i="46" a="1"/>
  <c r="Q554" i="46" a="1"/>
  <c r="Q553" i="46" a="1"/>
  <c r="Q552" i="46" a="1"/>
  <c r="Q551" i="46" a="1"/>
  <c r="Q550" i="46" a="1"/>
  <c r="Q549" i="46" a="1"/>
  <c r="Q548" i="46" a="1"/>
  <c r="Q543" i="46" a="1"/>
  <c r="Q542" i="46" a="1"/>
  <c r="Q541" i="46" a="1"/>
  <c r="Q540" i="46" a="1"/>
  <c r="Q539" i="46" a="1"/>
  <c r="Q538" i="46" a="1"/>
  <c r="Q537" i="46" a="1"/>
  <c r="Q536" i="46" a="1"/>
  <c r="Q529" i="46" a="1"/>
  <c r="Q509" i="46" a="1"/>
  <c r="Q508" i="46" a="1"/>
  <c r="Q507" i="46" a="1"/>
  <c r="Q506" i="46" a="1"/>
  <c r="Q505" i="46" a="1"/>
  <c r="Q504" i="46" a="1"/>
  <c r="Q503" i="46" a="1"/>
  <c r="Q502" i="46" a="1"/>
  <c r="Q501" i="46" a="1"/>
  <c r="Q500" i="46" a="1"/>
  <c r="Q499" i="46" a="1"/>
  <c r="Q498" i="46" a="1"/>
  <c r="Q497" i="46" a="1"/>
  <c r="Q496" i="46" a="1"/>
  <c r="Q495" i="46" a="1"/>
  <c r="Q491" i="46" a="1"/>
  <c r="Q490" i="46" a="1"/>
  <c r="Q489" i="46" a="1"/>
  <c r="Q488" i="46" a="1"/>
  <c r="Q486" i="46" a="1"/>
  <c r="Q485" i="46" a="1"/>
  <c r="Q484" i="46" a="1"/>
  <c r="Q483" i="46" a="1"/>
  <c r="Q482" i="46" a="1"/>
  <c r="Q481" i="46" a="1"/>
  <c r="Q480" i="46" a="1"/>
  <c r="Q479" i="46" a="1"/>
  <c r="Q478" i="46" a="1"/>
  <c r="Q477" i="46" a="1"/>
  <c r="Q476" i="46" a="1"/>
  <c r="Q475" i="46" a="1"/>
  <c r="Q474" i="46" a="1"/>
  <c r="Q473" i="46" a="1"/>
  <c r="Q472" i="46" a="1"/>
  <c r="Q471" i="46" a="1"/>
  <c r="Q470" i="46" a="1"/>
  <c r="Q463" i="46" a="1"/>
  <c r="Q460" i="46" a="1"/>
  <c r="Q459" i="46" a="1"/>
  <c r="Q458" i="46" a="1"/>
  <c r="Q457" i="46" a="1"/>
  <c r="Q456" i="46" a="1"/>
  <c r="Q455" i="46" a="1"/>
  <c r="Q453" i="46" a="1"/>
  <c r="Q451" i="46" a="1"/>
  <c r="Q445" i="46" a="1"/>
  <c r="Q444" i="46" a="1"/>
  <c r="Q443" i="46" a="1"/>
  <c r="Q431" i="46" a="1"/>
  <c r="Q430" i="46" a="1"/>
  <c r="Q429" i="46" a="1"/>
  <c r="Q428" i="46" a="1"/>
  <c r="Q418" i="46" a="1"/>
  <c r="Q417" i="46" a="1"/>
  <c r="Q416" i="46" a="1"/>
  <c r="Q415" i="46" a="1"/>
  <c r="Q414" i="46" a="1"/>
  <c r="Q413" i="46" a="1"/>
  <c r="Q412" i="46" a="1"/>
  <c r="Q411" i="46" a="1"/>
  <c r="Q406" i="46" a="1"/>
  <c r="Q405" i="46" a="1"/>
  <c r="Q404" i="46" a="1"/>
  <c r="Q403" i="46" a="1"/>
  <c r="Q402" i="46" a="1"/>
  <c r="Q401" i="46" a="1"/>
  <c r="Q400" i="46" a="1"/>
  <c r="Q399" i="46" a="1"/>
  <c r="Q398" i="46" a="1"/>
  <c r="Q397" i="46" a="1"/>
  <c r="Q396" i="46" a="1"/>
  <c r="Q395" i="46" a="1"/>
  <c r="Q394" i="46" a="1"/>
  <c r="Q393" i="46" a="1"/>
  <c r="Q392" i="46" a="1"/>
  <c r="Q391" i="46" a="1"/>
  <c r="Q385" i="46" a="1"/>
  <c r="Q384" i="46" a="1"/>
  <c r="Q383" i="46" a="1"/>
  <c r="Q374" i="46" a="1"/>
  <c r="Q373" i="46" a="1"/>
  <c r="Q372" i="46" a="1"/>
  <c r="Q371" i="46" a="1"/>
  <c r="Q370" i="46" a="1"/>
  <c r="Q368" i="46" a="1"/>
  <c r="Q363" i="46" a="1"/>
  <c r="Q362" i="46" a="1"/>
  <c r="Q361" i="46" a="1"/>
  <c r="Q360" i="46" a="1"/>
  <c r="Q359" i="46" a="1"/>
  <c r="Q354" i="46" a="1"/>
  <c r="Q353" i="46" a="1"/>
  <c r="Q352" i="46" a="1"/>
  <c r="Q351" i="46" a="1"/>
  <c r="Q350" i="46" a="1"/>
  <c r="Q349" i="46" a="1"/>
  <c r="Q348" i="46" a="1"/>
  <c r="Q347" i="46" a="1"/>
  <c r="Q346" i="46" a="1"/>
  <c r="Q345" i="46" a="1"/>
  <c r="Q344" i="46" a="1"/>
  <c r="Q343" i="46" a="1"/>
  <c r="Q342" i="46" a="1"/>
  <c r="Q341" i="46" a="1"/>
  <c r="Q340" i="46" a="1"/>
  <c r="Q339" i="46" a="1"/>
  <c r="Q338" i="46" a="1"/>
  <c r="Q337" i="46" a="1"/>
  <c r="Q336" i="46" a="1"/>
  <c r="Q335" i="46" a="1"/>
  <c r="Q334" i="46" a="1"/>
  <c r="Q333" i="46" a="1"/>
  <c r="Q332" i="46" a="1"/>
  <c r="Q331" i="46" a="1"/>
  <c r="Q330" i="46" a="1"/>
  <c r="Q329" i="46" a="1"/>
  <c r="Q328" i="46" a="1"/>
  <c r="Q327" i="46" a="1"/>
  <c r="Q326" i="46" a="1"/>
  <c r="Q325" i="46" a="1"/>
  <c r="Q324" i="46" a="1"/>
  <c r="Q323" i="46" a="1"/>
  <c r="Q322" i="46" a="1"/>
  <c r="Q321" i="46" a="1"/>
  <c r="Q320" i="46" a="1"/>
  <c r="Q319" i="46" a="1"/>
  <c r="Q318" i="46" a="1"/>
  <c r="Q317" i="46" a="1"/>
  <c r="Q316" i="46" a="1"/>
  <c r="Q315" i="46" a="1"/>
  <c r="Q314" i="46" a="1"/>
  <c r="Q297" i="46" a="1"/>
  <c r="Q293" i="46" a="1"/>
  <c r="Q292" i="46" a="1"/>
  <c r="Q291" i="46" a="1"/>
  <c r="Q290" i="46" a="1"/>
  <c r="Q289" i="46" a="1"/>
  <c r="Q288" i="46" a="1"/>
  <c r="Q287" i="46" a="1"/>
  <c r="Q286" i="46" a="1"/>
  <c r="Q285" i="46" a="1"/>
  <c r="Q284" i="46" a="1"/>
  <c r="Q283" i="46" a="1"/>
  <c r="Q282" i="46" a="1"/>
  <c r="Q281" i="46" a="1"/>
  <c r="Q280" i="46" a="1"/>
  <c r="Q279" i="46" a="1"/>
  <c r="Q274" i="46" a="1"/>
  <c r="Q273" i="46" a="1"/>
  <c r="Q272" i="46" a="1"/>
  <c r="Q271" i="46" a="1"/>
  <c r="Q270" i="46" a="1"/>
  <c r="Q269" i="46" a="1"/>
  <c r="Q268" i="46" a="1"/>
  <c r="Q267" i="46" a="1"/>
  <c r="Q266" i="46" a="1"/>
  <c r="Q259" i="46" a="1"/>
  <c r="Q258" i="46" a="1"/>
  <c r="Q257" i="46" a="1"/>
  <c r="Q256" i="46" a="1"/>
  <c r="Q255" i="46" a="1"/>
  <c r="Q254" i="46" a="1"/>
  <c r="Q253" i="46" a="1"/>
  <c r="Q252" i="46" a="1"/>
  <c r="Q251" i="46" a="1"/>
  <c r="Q250" i="46" a="1"/>
  <c r="Q249" i="46" a="1"/>
  <c r="Q248" i="46" a="1"/>
  <c r="Q247" i="46" a="1"/>
  <c r="Q246" i="46" a="1"/>
  <c r="Q245" i="46" a="1"/>
  <c r="Q244" i="46" a="1"/>
  <c r="Q243" i="46" a="1"/>
  <c r="Q242" i="46" a="1"/>
  <c r="Q241" i="46" a="1"/>
  <c r="Q239" i="46" a="1"/>
  <c r="Q238" i="46" a="1"/>
  <c r="Q218" i="46" a="1"/>
  <c r="Q217" i="46" a="1"/>
  <c r="Q216" i="46" a="1"/>
  <c r="Q215" i="46" a="1"/>
  <c r="Q214" i="46" a="1"/>
  <c r="Q213" i="46" a="1"/>
  <c r="Q212" i="46" a="1"/>
  <c r="Q211" i="46" a="1"/>
  <c r="Q210" i="46" a="1"/>
  <c r="Q209" i="46" a="1"/>
  <c r="Q208" i="46" a="1"/>
  <c r="Q207" i="46" a="1"/>
  <c r="Q206" i="46" a="1"/>
  <c r="Q205" i="46" a="1"/>
  <c r="Q204" i="46" a="1"/>
  <c r="Q199" i="46" a="1"/>
  <c r="Q198" i="46" a="1"/>
  <c r="Q197" i="46" a="1"/>
  <c r="Q196" i="46" a="1"/>
  <c r="Q195" i="46" a="1"/>
  <c r="Q194" i="46" a="1"/>
  <c r="Q193" i="46" a="1"/>
  <c r="Q192" i="46" a="1"/>
  <c r="Q185" i="46" a="1"/>
  <c r="Q184" i="46" a="1"/>
  <c r="Q183" i="46" a="1"/>
  <c r="Q181" i="46" a="1"/>
  <c r="Q179" i="46" a="1"/>
  <c r="Q178" i="46" a="1"/>
  <c r="Q177" i="46" a="1"/>
  <c r="Q175" i="46" a="1"/>
  <c r="Q174" i="46" a="1"/>
  <c r="Q173" i="46" a="1"/>
  <c r="Q172" i="46" a="1"/>
  <c r="Q171" i="46" a="1"/>
  <c r="Q170" i="46" a="1"/>
  <c r="Q169" i="46" a="1"/>
  <c r="Q168" i="46" a="1"/>
  <c r="Q167" i="46" a="1"/>
  <c r="Q166" i="46" a="1"/>
  <c r="Q165" i="46" a="1"/>
  <c r="Q164" i="46" a="1"/>
  <c r="Q163" i="46" a="1"/>
  <c r="Q162" i="46" a="1"/>
  <c r="Q161" i="46" a="1"/>
  <c r="Q160" i="46" a="1"/>
  <c r="Q159" i="46" a="1"/>
  <c r="Q158" i="46" a="1"/>
  <c r="Q157" i="46" a="1"/>
  <c r="Q156" i="46" a="1"/>
  <c r="Q155" i="46" a="1"/>
  <c r="Q154" i="46" a="1"/>
  <c r="Q153" i="46" a="1"/>
  <c r="Q152" i="46" a="1"/>
  <c r="Q151" i="46" a="1"/>
  <c r="Q150" i="46" a="1"/>
  <c r="Q149" i="46" a="1"/>
  <c r="Q148" i="46" a="1"/>
  <c r="Q147" i="46" a="1"/>
  <c r="Q146" i="46" a="1"/>
  <c r="Q145" i="46" a="1"/>
  <c r="Q144" i="46" a="1"/>
  <c r="Q143" i="46" a="1"/>
  <c r="Q142" i="46" a="1"/>
  <c r="Q141" i="46" a="1"/>
  <c r="Q137" i="46" a="1"/>
  <c r="Q136" i="46" a="1"/>
  <c r="Q135" i="46" a="1"/>
  <c r="Q134" i="46" a="1"/>
  <c r="Q133" i="46" a="1"/>
  <c r="Q132" i="46" a="1"/>
  <c r="Q131" i="46" a="1"/>
  <c r="Q130" i="46" a="1"/>
  <c r="Q129" i="46" a="1"/>
  <c r="Q128" i="46" a="1"/>
  <c r="Q127" i="46" a="1"/>
  <c r="Q126" i="46" a="1"/>
  <c r="Q125" i="46" a="1"/>
  <c r="Q124" i="46" a="1"/>
  <c r="Q123" i="46" a="1"/>
  <c r="Q122" i="46" a="1"/>
  <c r="Q121" i="46" a="1"/>
  <c r="Q120" i="46" a="1"/>
  <c r="Q119" i="46" a="1"/>
  <c r="Q118" i="46" a="1"/>
  <c r="Q117" i="46" a="1"/>
  <c r="Q116" i="46" a="1"/>
  <c r="Q115" i="46" a="1"/>
  <c r="Q114" i="46" a="1"/>
  <c r="Q113" i="46" a="1"/>
  <c r="Q112" i="46" a="1"/>
  <c r="Q111" i="46" a="1"/>
  <c r="Q110" i="46" a="1"/>
  <c r="Q109" i="46" a="1"/>
  <c r="Q108" i="46" a="1"/>
  <c r="Q107" i="46" a="1"/>
  <c r="Q106" i="46" a="1"/>
  <c r="Q105" i="46" a="1"/>
  <c r="Q104" i="46" a="1"/>
  <c r="Q103" i="46" a="1"/>
  <c r="Q102" i="46" a="1"/>
  <c r="Q101" i="46" a="1"/>
  <c r="Q100" i="46" a="1"/>
  <c r="Q99" i="46" a="1"/>
  <c r="Q98" i="46" a="1"/>
  <c r="Q97" i="46" a="1"/>
  <c r="Q94" i="46" a="1"/>
  <c r="Q93" i="46" a="1"/>
  <c r="Q92" i="46" a="1"/>
  <c r="Q91" i="46" a="1"/>
  <c r="Q90" i="46" a="1"/>
  <c r="Q88" i="46" a="1"/>
  <c r="Q86" i="46" a="1"/>
  <c r="Q84" i="46" a="1"/>
  <c r="Q82" i="46" a="1"/>
  <c r="Q81" i="46" a="1"/>
  <c r="Q80" i="46" a="1"/>
  <c r="Q79" i="46" a="1"/>
  <c r="Q78" i="46" a="1"/>
  <c r="Q77" i="46" a="1"/>
  <c r="Q76" i="46" a="1"/>
  <c r="Q75" i="46" a="1"/>
  <c r="Q74" i="46" a="1"/>
  <c r="Q73" i="46" a="1"/>
  <c r="Q71" i="46" a="1"/>
  <c r="Q70" i="46" a="1"/>
  <c r="Q69" i="46" a="1"/>
  <c r="Q68" i="46" a="1"/>
  <c r="Q67" i="46" a="1"/>
  <c r="Q66" i="46" a="1"/>
  <c r="Q65" i="46" a="1"/>
  <c r="Q64" i="46" a="1"/>
  <c r="Q63" i="46" a="1"/>
  <c r="Q62" i="46" a="1"/>
  <c r="Q61" i="46" a="1"/>
  <c r="Q60" i="46" a="1"/>
  <c r="Q59" i="46" a="1"/>
  <c r="Q58" i="46" a="1"/>
  <c r="Q57" i="46" a="1"/>
  <c r="Q56" i="46" a="1"/>
  <c r="Q55" i="46" a="1"/>
  <c r="Q54" i="46" a="1"/>
  <c r="Q53" i="46" a="1"/>
  <c r="Q52" i="46" a="1"/>
  <c r="Q51" i="46" a="1"/>
  <c r="Q50" i="46" a="1"/>
  <c r="Q49" i="46" a="1"/>
  <c r="Q48" i="46" a="1"/>
  <c r="Q47" i="46" a="1"/>
  <c r="Q46" i="46" a="1"/>
  <c r="Q45" i="46" a="1"/>
  <c r="Q44" i="46" a="1"/>
  <c r="Q43" i="46" a="1"/>
  <c r="Q42" i="46" a="1"/>
  <c r="Q39" i="46" a="1"/>
  <c r="Q36" i="46" a="1"/>
  <c r="Q35" i="46" a="1"/>
  <c r="Q34" i="46" a="1"/>
  <c r="Q33" i="46" a="1"/>
  <c r="Q32" i="46" a="1"/>
  <c r="Q31" i="46" a="1"/>
  <c r="Q30" i="46" a="1"/>
  <c r="Q29" i="46" a="1"/>
  <c r="Q28" i="46" a="1"/>
  <c r="Q27" i="46" a="1"/>
  <c r="Q26" i="46" a="1"/>
  <c r="Q25" i="46" a="1"/>
  <c r="Q24" i="46" a="1"/>
  <c r="Q23" i="46" a="1"/>
  <c r="Q22" i="46" a="1"/>
  <c r="Q21" i="46" a="1"/>
  <c r="Q20" i="46" a="1"/>
  <c r="Q19" i="46" a="1"/>
  <c r="Q18" i="46" a="1"/>
  <c r="Q17" i="46" a="1"/>
  <c r="Q16" i="46" a="1"/>
  <c r="Q15" i="46" a="1"/>
  <c r="Q14" i="46" a="1"/>
  <c r="Q11" i="46" a="1"/>
  <c r="Q10" i="46" a="1"/>
  <c r="Q7" i="46" a="1"/>
  <c r="Q5" i="46" a="1"/>
  <c r="Q4" i="46" a="1"/>
  <c r="Q3" i="46" a="1"/>
  <c r="F25" i="49" l="1"/>
  <c r="F23" i="49"/>
  <c r="F22" i="49"/>
  <c r="F14" i="49"/>
  <c r="E23" i="49"/>
  <c r="E29" i="49"/>
  <c r="E28" i="49"/>
  <c r="E10" i="49"/>
  <c r="E14" i="49"/>
  <c r="E25" i="49"/>
  <c r="E20" i="49"/>
  <c r="E21" i="49"/>
  <c r="E22" i="49"/>
  <c r="D22" i="49"/>
  <c r="D14" i="49"/>
  <c r="D10" i="49"/>
  <c r="D20" i="49"/>
  <c r="D19" i="49"/>
  <c r="D32" i="49"/>
  <c r="D21" i="49"/>
  <c r="D12" i="49"/>
  <c r="D23" i="49"/>
  <c r="D28" i="49"/>
  <c r="D30" i="49"/>
  <c r="D25" i="49"/>
  <c r="D24" i="49"/>
  <c r="D29" i="49"/>
  <c r="I141" i="46" l="1"/>
  <c r="I133" i="46"/>
  <c r="I143" i="46"/>
  <c r="I9" i="46"/>
  <c r="I72" i="46" l="1"/>
  <c r="I140" i="46"/>
  <c r="C26" i="49" l="1"/>
  <c r="H26" i="49" s="1"/>
  <c r="E26" i="49" l="1"/>
  <c r="G26" i="49"/>
  <c r="F26" i="49"/>
  <c r="D26" i="49"/>
  <c r="C4" i="49"/>
  <c r="H4" i="49" s="1"/>
  <c r="C5" i="49"/>
  <c r="H5" i="49" s="1"/>
  <c r="C6" i="49"/>
  <c r="H6" i="49" s="1"/>
  <c r="C7" i="49"/>
  <c r="H7" i="49" s="1"/>
  <c r="C8" i="49"/>
  <c r="H8" i="49" s="1"/>
  <c r="C9" i="49"/>
  <c r="H9" i="49" s="1"/>
  <c r="C11" i="49"/>
  <c r="H11" i="49" s="1"/>
  <c r="C13" i="49"/>
  <c r="H13" i="49" s="1"/>
  <c r="C15" i="49"/>
  <c r="H15" i="49" s="1"/>
  <c r="C16" i="49"/>
  <c r="H16" i="49" s="1"/>
  <c r="C17" i="49"/>
  <c r="H17" i="49" s="1"/>
  <c r="C18" i="49"/>
  <c r="H18" i="49" s="1"/>
  <c r="C27" i="49"/>
  <c r="H27" i="49" s="1"/>
  <c r="C31" i="49"/>
  <c r="H31" i="49" s="1"/>
  <c r="C33" i="49"/>
  <c r="H33" i="49" s="1"/>
  <c r="C3" i="49"/>
  <c r="H3" i="49" s="1"/>
  <c r="E4" i="49" l="1"/>
  <c r="G4" i="49"/>
  <c r="F4" i="49"/>
  <c r="E5" i="49"/>
  <c r="G5" i="49"/>
  <c r="F5" i="49"/>
  <c r="E6" i="49"/>
  <c r="G6" i="49"/>
  <c r="F6" i="49"/>
  <c r="E7" i="49"/>
  <c r="G7" i="49"/>
  <c r="F7" i="49"/>
  <c r="E8" i="49"/>
  <c r="G8" i="49"/>
  <c r="F8" i="49"/>
  <c r="E9" i="49"/>
  <c r="G9" i="49"/>
  <c r="F9" i="49"/>
  <c r="E11" i="49"/>
  <c r="G11" i="49"/>
  <c r="F11" i="49"/>
  <c r="E13" i="49"/>
  <c r="G13" i="49"/>
  <c r="F13" i="49"/>
  <c r="E15" i="49"/>
  <c r="G15" i="49"/>
  <c r="F15" i="49"/>
  <c r="E16" i="49"/>
  <c r="G16" i="49"/>
  <c r="F16" i="49"/>
  <c r="E17" i="49"/>
  <c r="G17" i="49"/>
  <c r="F17" i="49"/>
  <c r="E18" i="49"/>
  <c r="G18" i="49"/>
  <c r="F18" i="49"/>
  <c r="E27" i="49"/>
  <c r="G27" i="49"/>
  <c r="F27" i="49"/>
  <c r="E31" i="49"/>
  <c r="G31" i="49"/>
  <c r="F31" i="49"/>
  <c r="E33" i="49"/>
  <c r="G33" i="49"/>
  <c r="F33" i="49"/>
  <c r="E3" i="49"/>
  <c r="G3" i="49"/>
  <c r="F3" i="49"/>
  <c r="D4" i="49"/>
  <c r="D5" i="49"/>
  <c r="D6" i="49"/>
  <c r="D7" i="49"/>
  <c r="D8" i="49"/>
  <c r="D9" i="49"/>
  <c r="D11" i="49"/>
  <c r="D13" i="49"/>
  <c r="D15" i="49"/>
  <c r="D16" i="49"/>
  <c r="D17" i="49"/>
  <c r="D18" i="49"/>
  <c r="D27" i="49"/>
  <c r="D31" i="49"/>
  <c r="D33" i="49"/>
  <c r="D3" i="49"/>
  <c r="I148" i="46"/>
  <c r="I147" i="46" l="1"/>
  <c r="I145" i="46"/>
  <c r="I146" i="46" l="1"/>
  <c r="I144" i="46"/>
  <c r="I142" i="46"/>
  <c r="I139" i="46"/>
  <c r="I138" i="46"/>
  <c r="I389" i="46" l="1"/>
  <c r="I388" i="46"/>
  <c r="I387" i="46"/>
  <c r="I386" i="46"/>
  <c r="I382" i="46"/>
  <c r="I381" i="46"/>
  <c r="I380" i="46"/>
  <c r="I378" i="46"/>
  <c r="I377" i="46"/>
  <c r="I376" i="46"/>
  <c r="I375" i="46"/>
  <c r="I372" i="46"/>
  <c r="I370" i="46"/>
  <c r="I369" i="46"/>
  <c r="I367" i="46"/>
  <c r="I366" i="46"/>
  <c r="I365" i="46"/>
  <c r="I364" i="46"/>
  <c r="I358" i="46"/>
  <c r="I357" i="46"/>
  <c r="I356" i="46"/>
  <c r="I355" i="46"/>
  <c r="I379" i="46"/>
  <c r="A3" i="54" a="1"/>
  <c r="A2" i="54" a="1"/>
  <c r="I58" i="46"/>
  <c r="H33" i="53" l="1"/>
  <c r="H27" i="53" l="1"/>
  <c r="H4" i="53"/>
  <c r="H11" i="53"/>
  <c r="H7" i="53"/>
  <c r="H9" i="53"/>
  <c r="H30" i="53"/>
  <c r="H10" i="53"/>
  <c r="H28" i="53"/>
  <c r="H12" i="53"/>
  <c r="H22" i="53"/>
  <c r="H6" i="53"/>
  <c r="H8" i="53"/>
  <c r="H24" i="53"/>
  <c r="H32" i="53"/>
  <c r="H5" i="53"/>
  <c r="H23" i="53"/>
  <c r="H21" i="53"/>
  <c r="H31" i="53"/>
  <c r="H25" i="53"/>
  <c r="H26" i="53"/>
  <c r="H29" i="53"/>
  <c r="H20" i="53"/>
  <c r="H19" i="53"/>
  <c r="H18" i="53"/>
  <c r="H17" i="53"/>
  <c r="H16" i="53"/>
  <c r="H15" i="53"/>
  <c r="H3" i="53"/>
  <c r="H14" i="53"/>
  <c r="H13" i="53"/>
  <c r="D33" i="53"/>
  <c r="I390" i="46" l="1"/>
  <c r="D17" i="53" l="1"/>
  <c r="D4" i="53"/>
  <c r="D13" i="53"/>
  <c r="D15" i="53"/>
  <c r="D6" i="53"/>
  <c r="D14" i="53"/>
  <c r="D8" i="53"/>
  <c r="D3" i="53"/>
  <c r="D12" i="53"/>
  <c r="D9" i="53"/>
  <c r="D19" i="53"/>
  <c r="D18" i="53"/>
  <c r="D10" i="53"/>
  <c r="D16" i="53"/>
  <c r="D5" i="53"/>
  <c r="D11" i="53"/>
  <c r="D7" i="53"/>
  <c r="D20" i="53"/>
  <c r="I46" i="46"/>
  <c r="I17" i="46"/>
  <c r="I20" i="46"/>
  <c r="I10" i="46"/>
  <c r="I32" i="46"/>
  <c r="I24" i="46"/>
  <c r="I320" i="46"/>
  <c r="I331" i="46"/>
  <c r="I325" i="46"/>
  <c r="I336" i="46"/>
  <c r="I314" i="46"/>
  <c r="I30" i="46"/>
  <c r="I333" i="46"/>
  <c r="I324" i="46"/>
  <c r="I18" i="46"/>
  <c r="I14" i="46"/>
  <c r="I330" i="46"/>
  <c r="I322" i="46"/>
  <c r="I34" i="46"/>
  <c r="I316" i="46"/>
  <c r="I340" i="46"/>
  <c r="I332" i="46"/>
  <c r="I328" i="46"/>
  <c r="I321" i="46"/>
  <c r="I23" i="46"/>
  <c r="I11" i="46"/>
  <c r="I639" i="46"/>
  <c r="I19" i="46"/>
  <c r="I647" i="46"/>
  <c r="I26" i="46"/>
  <c r="I27" i="46"/>
  <c r="I28" i="46"/>
  <c r="I29" i="46"/>
  <c r="I31" i="46"/>
  <c r="I42" i="46"/>
  <c r="I47" i="46"/>
  <c r="I317" i="46"/>
  <c r="I319" i="46"/>
  <c r="I323" i="46"/>
  <c r="I326" i="46"/>
  <c r="I327" i="46"/>
  <c r="I329" i="46"/>
  <c r="I334" i="46"/>
  <c r="I335" i="46"/>
  <c r="I338" i="46"/>
  <c r="I16" i="46"/>
  <c r="I649" i="46"/>
  <c r="I43" i="46"/>
  <c r="I315" i="46"/>
  <c r="I337" i="46"/>
  <c r="I339" i="46"/>
  <c r="I15" i="46"/>
  <c r="F6" i="45" l="1" a="1"/>
  <c r="F3" i="45" a="1"/>
  <c r="I359" i="46"/>
  <c r="I373" i="46"/>
  <c r="I645" i="46"/>
  <c r="I642" i="46"/>
  <c r="I641" i="46"/>
  <c r="I640" i="46"/>
  <c r="I638" i="46"/>
  <c r="I637" i="46"/>
  <c r="I636" i="46"/>
  <c r="I643" i="46"/>
  <c r="I650" i="46"/>
  <c r="I648" i="46"/>
  <c r="I634" i="46"/>
  <c r="I633" i="46"/>
  <c r="I630" i="46"/>
  <c r="I632" i="46"/>
  <c r="I631" i="46"/>
  <c r="I629" i="46"/>
  <c r="I628" i="46"/>
  <c r="I627" i="46"/>
  <c r="I626" i="46"/>
  <c r="I625" i="46"/>
  <c r="I624" i="46"/>
  <c r="I621" i="46"/>
  <c r="I620" i="46"/>
  <c r="I619" i="46"/>
  <c r="I618" i="46"/>
  <c r="I617" i="46"/>
  <c r="I616" i="46"/>
  <c r="I615" i="46"/>
  <c r="I614" i="46"/>
  <c r="I613" i="46"/>
  <c r="I612" i="46"/>
  <c r="I623" i="46"/>
  <c r="I610" i="46"/>
  <c r="I609" i="46"/>
  <c r="I608" i="46"/>
  <c r="I607" i="46"/>
  <c r="I606" i="46"/>
  <c r="I605" i="46"/>
  <c r="I604" i="46"/>
  <c r="I603" i="46"/>
  <c r="I602" i="46"/>
  <c r="I622" i="46"/>
  <c r="I600" i="46"/>
  <c r="I599" i="46"/>
  <c r="I598" i="46"/>
  <c r="I597" i="46"/>
  <c r="I596" i="46"/>
  <c r="I595" i="46"/>
  <c r="I611" i="46"/>
  <c r="I593" i="46"/>
  <c r="I592" i="46"/>
  <c r="I601" i="46"/>
  <c r="I590" i="46"/>
  <c r="I589" i="46"/>
  <c r="I588" i="46"/>
  <c r="I587" i="46"/>
  <c r="I586" i="46"/>
  <c r="I585" i="46"/>
  <c r="I594" i="46"/>
  <c r="I591" i="46"/>
  <c r="I584" i="46"/>
  <c r="I583" i="46"/>
  <c r="I582" i="46"/>
  <c r="I581" i="46"/>
  <c r="I580" i="46"/>
  <c r="I577" i="46"/>
  <c r="I579" i="46"/>
  <c r="I578" i="46"/>
  <c r="I576" i="46"/>
  <c r="I575" i="46"/>
  <c r="I574" i="46"/>
  <c r="I573" i="46"/>
  <c r="I572" i="46"/>
  <c r="I571" i="46"/>
  <c r="I568" i="46"/>
  <c r="I570" i="46"/>
  <c r="I566" i="46"/>
  <c r="I565" i="46"/>
  <c r="I569" i="46"/>
  <c r="I567" i="46"/>
  <c r="I562" i="46"/>
  <c r="I561" i="46"/>
  <c r="I560" i="46"/>
  <c r="I559" i="46"/>
  <c r="I558" i="46"/>
  <c r="I557" i="46"/>
  <c r="I556" i="46"/>
  <c r="I564" i="46"/>
  <c r="I563" i="46"/>
  <c r="I553" i="46"/>
  <c r="I552" i="46"/>
  <c r="I551" i="46"/>
  <c r="I550" i="46"/>
  <c r="I549" i="46"/>
  <c r="I548" i="46"/>
  <c r="I547" i="46"/>
  <c r="I546" i="46"/>
  <c r="I545" i="46"/>
  <c r="I544" i="46"/>
  <c r="I543" i="46"/>
  <c r="I542" i="46"/>
  <c r="I555" i="46"/>
  <c r="I540" i="46"/>
  <c r="I554" i="46"/>
  <c r="I538" i="46"/>
  <c r="I537" i="46"/>
  <c r="I536" i="46"/>
  <c r="I535" i="46"/>
  <c r="I534" i="46"/>
  <c r="I533" i="46"/>
  <c r="I532" i="46"/>
  <c r="I541" i="46"/>
  <c r="I539" i="46"/>
  <c r="I529" i="46"/>
  <c r="I531" i="46"/>
  <c r="I530" i="46"/>
  <c r="I528" i="46"/>
  <c r="I527" i="46"/>
  <c r="I526" i="46"/>
  <c r="I525" i="46"/>
  <c r="I524" i="46"/>
  <c r="I523" i="46"/>
  <c r="I522" i="46"/>
  <c r="I521" i="46"/>
  <c r="I520" i="46"/>
  <c r="I519" i="46"/>
  <c r="I518" i="46"/>
  <c r="I517" i="46"/>
  <c r="I516" i="46"/>
  <c r="I515" i="46"/>
  <c r="I514" i="46"/>
  <c r="I513" i="46"/>
  <c r="I512" i="46"/>
  <c r="I511" i="46"/>
  <c r="I510" i="46"/>
  <c r="I509" i="46"/>
  <c r="I508" i="46"/>
  <c r="I507" i="46"/>
  <c r="I506" i="46"/>
  <c r="I505" i="46"/>
  <c r="I504" i="46"/>
  <c r="I503" i="46"/>
  <c r="I502" i="46"/>
  <c r="I501" i="46"/>
  <c r="I500" i="46"/>
  <c r="I499" i="46"/>
  <c r="I498" i="46"/>
  <c r="I497" i="46"/>
  <c r="I496" i="46"/>
  <c r="I495" i="46"/>
  <c r="I494" i="46"/>
  <c r="I493" i="46"/>
  <c r="I492" i="46"/>
  <c r="I487" i="46"/>
  <c r="I480" i="46"/>
  <c r="I479" i="46"/>
  <c r="I475" i="46"/>
  <c r="I474" i="46"/>
  <c r="I473" i="46"/>
  <c r="I472" i="46"/>
  <c r="I471" i="46"/>
  <c r="I470" i="46"/>
  <c r="I469" i="46"/>
  <c r="I468" i="46"/>
  <c r="I467" i="46"/>
  <c r="I466" i="46"/>
  <c r="I465" i="46"/>
  <c r="I489" i="46"/>
  <c r="I488" i="46"/>
  <c r="I486" i="46"/>
  <c r="I485" i="46"/>
  <c r="I484" i="46"/>
  <c r="I464" i="46"/>
  <c r="I482" i="46"/>
  <c r="I481" i="46"/>
  <c r="I463" i="46"/>
  <c r="I483" i="46"/>
  <c r="I491" i="46"/>
  <c r="I476" i="46"/>
  <c r="I478" i="46"/>
  <c r="I477" i="46"/>
  <c r="I460" i="46"/>
  <c r="I459" i="46"/>
  <c r="I458" i="46"/>
  <c r="I457" i="46"/>
  <c r="I456" i="46"/>
  <c r="I454" i="46"/>
  <c r="I453" i="46"/>
  <c r="I452" i="46"/>
  <c r="I451" i="46"/>
  <c r="I53" i="46"/>
  <c r="I52" i="46"/>
  <c r="I462" i="46"/>
  <c r="I461" i="46"/>
  <c r="I450" i="46"/>
  <c r="I445" i="46"/>
  <c r="I449" i="46"/>
  <c r="I443" i="46"/>
  <c r="I442" i="46"/>
  <c r="I441" i="46"/>
  <c r="I440" i="46"/>
  <c r="I439" i="46"/>
  <c r="I438" i="46"/>
  <c r="I437" i="46"/>
  <c r="I436" i="46"/>
  <c r="I435" i="46"/>
  <c r="I448" i="46"/>
  <c r="I433" i="46"/>
  <c r="I432" i="46"/>
  <c r="I431" i="46"/>
  <c r="I430" i="46"/>
  <c r="I429" i="46"/>
  <c r="I428" i="46"/>
  <c r="I447" i="46"/>
  <c r="I426" i="46"/>
  <c r="I425" i="46"/>
  <c r="I424" i="46"/>
  <c r="I423" i="46"/>
  <c r="I446" i="46"/>
  <c r="I444" i="46"/>
  <c r="I434" i="46"/>
  <c r="I427" i="46"/>
  <c r="I418" i="46"/>
  <c r="I417" i="46"/>
  <c r="I416" i="46"/>
  <c r="I415" i="46"/>
  <c r="I414" i="46"/>
  <c r="I422" i="46"/>
  <c r="I412" i="46"/>
  <c r="I411" i="46"/>
  <c r="I421" i="46"/>
  <c r="I420" i="46"/>
  <c r="I419" i="46"/>
  <c r="I413" i="46"/>
  <c r="I406" i="46"/>
  <c r="I405" i="46"/>
  <c r="I404" i="46"/>
  <c r="I403" i="46"/>
  <c r="I402" i="46"/>
  <c r="I401" i="46"/>
  <c r="I400" i="46"/>
  <c r="I410" i="46"/>
  <c r="I393" i="46"/>
  <c r="I391" i="46"/>
  <c r="I385" i="46"/>
  <c r="I384" i="46"/>
  <c r="I383" i="46"/>
  <c r="I374" i="46"/>
  <c r="I363" i="46"/>
  <c r="I362" i="46"/>
  <c r="I361" i="46"/>
  <c r="I360" i="46"/>
  <c r="I354" i="46"/>
  <c r="I353" i="46"/>
  <c r="I352" i="46"/>
  <c r="I351" i="46"/>
  <c r="I350" i="46"/>
  <c r="I349" i="46"/>
  <c r="I348" i="46"/>
  <c r="I347" i="46"/>
  <c r="I346" i="46"/>
  <c r="I345" i="46"/>
  <c r="I371" i="46"/>
  <c r="I344" i="46"/>
  <c r="I399" i="46"/>
  <c r="I398" i="46"/>
  <c r="I397" i="46"/>
  <c r="I396" i="46"/>
  <c r="I395" i="46"/>
  <c r="I343" i="46"/>
  <c r="I368" i="46"/>
  <c r="I392" i="46"/>
  <c r="I342" i="46"/>
  <c r="I341" i="46"/>
  <c r="I409" i="46"/>
  <c r="I408" i="46"/>
  <c r="I407" i="46"/>
  <c r="I394" i="46"/>
  <c r="I313" i="46"/>
  <c r="I308" i="46"/>
  <c r="I307" i="46"/>
  <c r="I312" i="46"/>
  <c r="I311" i="46"/>
  <c r="I310" i="46"/>
  <c r="I309" i="46"/>
  <c r="I302" i="46"/>
  <c r="I301" i="46"/>
  <c r="I306" i="46"/>
  <c r="I299" i="46"/>
  <c r="I298" i="46"/>
  <c r="I296" i="46"/>
  <c r="I295" i="46"/>
  <c r="I294" i="46"/>
  <c r="I305" i="46"/>
  <c r="I292" i="46"/>
  <c r="I304" i="46"/>
  <c r="I290" i="46"/>
  <c r="I289" i="46"/>
  <c r="I288" i="46"/>
  <c r="I287" i="46"/>
  <c r="I286" i="46"/>
  <c r="I285" i="46"/>
  <c r="I284" i="46"/>
  <c r="I283" i="46"/>
  <c r="I282" i="46"/>
  <c r="I281" i="46"/>
  <c r="I280" i="46"/>
  <c r="I279" i="46"/>
  <c r="I278" i="46"/>
  <c r="I277" i="46"/>
  <c r="I276" i="46"/>
  <c r="I275" i="46"/>
  <c r="I273" i="46"/>
  <c r="I272" i="46"/>
  <c r="I271" i="46"/>
  <c r="I270" i="46"/>
  <c r="I303" i="46"/>
  <c r="I268" i="46"/>
  <c r="I267" i="46"/>
  <c r="I300" i="46"/>
  <c r="I265" i="46"/>
  <c r="I264" i="46"/>
  <c r="I263" i="46"/>
  <c r="I262" i="46"/>
  <c r="I261" i="46"/>
  <c r="I260" i="46"/>
  <c r="I259" i="46"/>
  <c r="I318" i="46"/>
  <c r="I258" i="46"/>
  <c r="I257" i="46"/>
  <c r="I256" i="46"/>
  <c r="I255" i="46"/>
  <c r="I254" i="46"/>
  <c r="I253" i="46"/>
  <c r="I252" i="46"/>
  <c r="I251" i="46"/>
  <c r="I250" i="46"/>
  <c r="I249" i="46"/>
  <c r="I293" i="46"/>
  <c r="I247" i="46"/>
  <c r="I246" i="46"/>
  <c r="I291" i="46"/>
  <c r="I244" i="46"/>
  <c r="I243" i="46"/>
  <c r="I242" i="46"/>
  <c r="I241" i="46"/>
  <c r="I269" i="46"/>
  <c r="I239" i="46"/>
  <c r="I238" i="46"/>
  <c r="I266" i="46"/>
  <c r="I248" i="46"/>
  <c r="I245" i="46"/>
  <c r="I240" i="46"/>
  <c r="I233" i="46"/>
  <c r="I237" i="46"/>
  <c r="I236" i="46"/>
  <c r="I235" i="46"/>
  <c r="I234" i="46"/>
  <c r="I232" i="46"/>
  <c r="I231" i="46"/>
  <c r="I230" i="46"/>
  <c r="I229" i="46"/>
  <c r="I224" i="46"/>
  <c r="I223" i="46"/>
  <c r="I222" i="46"/>
  <c r="I221" i="46"/>
  <c r="I220" i="46"/>
  <c r="I228" i="46"/>
  <c r="I203" i="46"/>
  <c r="I202" i="46"/>
  <c r="I201" i="46"/>
  <c r="I200" i="46"/>
  <c r="I191" i="46"/>
  <c r="I190" i="46"/>
  <c r="I189" i="46"/>
  <c r="I188" i="46"/>
  <c r="I227" i="46"/>
  <c r="I226" i="46"/>
  <c r="I182" i="46"/>
  <c r="I180" i="46"/>
  <c r="I225" i="46"/>
  <c r="I174" i="46"/>
  <c r="I170" i="46"/>
  <c r="I156" i="46"/>
  <c r="I155" i="46"/>
  <c r="I154" i="46"/>
  <c r="I153" i="46"/>
  <c r="I152" i="46"/>
  <c r="I151" i="46"/>
  <c r="I150" i="46"/>
  <c r="I149" i="46"/>
  <c r="I219" i="46"/>
  <c r="I215" i="46"/>
  <c r="I204" i="46"/>
  <c r="I187" i="46"/>
  <c r="I137" i="46"/>
  <c r="I135" i="46"/>
  <c r="I134" i="46"/>
  <c r="I132" i="46"/>
  <c r="I130" i="46"/>
  <c r="I114" i="46"/>
  <c r="I113" i="46"/>
  <c r="I108" i="46"/>
  <c r="I103" i="46"/>
  <c r="I100" i="46"/>
  <c r="I96" i="46"/>
  <c r="I95" i="46"/>
  <c r="I94" i="46"/>
  <c r="I92" i="46"/>
  <c r="I91" i="46"/>
  <c r="I90" i="46"/>
  <c r="I186" i="46"/>
  <c r="I88" i="46"/>
  <c r="I87" i="46"/>
  <c r="I86" i="46"/>
  <c r="I85" i="46"/>
  <c r="I83" i="46"/>
  <c r="I82" i="46"/>
  <c r="I80" i="46"/>
  <c r="I79" i="46"/>
  <c r="I78" i="46"/>
  <c r="I77" i="46"/>
  <c r="I76" i="46"/>
  <c r="I75" i="46"/>
  <c r="I68" i="46"/>
  <c r="I66" i="46"/>
  <c r="I64" i="46"/>
  <c r="I63" i="46"/>
  <c r="I50" i="46"/>
  <c r="I49" i="46"/>
  <c r="I48" i="46"/>
  <c r="I185" i="46"/>
  <c r="I183" i="46"/>
  <c r="I181" i="46"/>
  <c r="I179" i="46"/>
  <c r="I178" i="46"/>
  <c r="I177" i="46"/>
  <c r="I74" i="46"/>
  <c r="I173" i="46"/>
  <c r="I175" i="46"/>
  <c r="I171" i="46"/>
  <c r="I172" i="46"/>
  <c r="I176" i="46"/>
  <c r="I73" i="46"/>
  <c r="I167" i="46"/>
  <c r="I166" i="46"/>
  <c r="I165" i="46"/>
  <c r="I168" i="46"/>
  <c r="I163" i="46"/>
  <c r="I164" i="46"/>
  <c r="I162" i="46"/>
  <c r="I160" i="46"/>
  <c r="I159" i="46"/>
  <c r="I158" i="46"/>
  <c r="I157" i="46"/>
  <c r="I136" i="46"/>
  <c r="I129" i="46"/>
  <c r="I161" i="46"/>
  <c r="I128" i="46"/>
  <c r="I126" i="46"/>
  <c r="I125" i="46"/>
  <c r="I124" i="46"/>
  <c r="I123" i="46"/>
  <c r="I122" i="46"/>
  <c r="I121" i="46"/>
  <c r="I119" i="46"/>
  <c r="I118" i="46"/>
  <c r="I117" i="46"/>
  <c r="I116" i="46"/>
  <c r="I115" i="46"/>
  <c r="I127" i="46"/>
  <c r="I112" i="46"/>
  <c r="I110" i="46"/>
  <c r="I109" i="46"/>
  <c r="I70" i="46"/>
  <c r="I107" i="46"/>
  <c r="I106" i="46"/>
  <c r="I274" i="46"/>
  <c r="I104" i="46"/>
  <c r="I69" i="46"/>
  <c r="I102" i="46"/>
  <c r="I101" i="46"/>
  <c r="I67" i="46"/>
  <c r="I99" i="46"/>
  <c r="I97" i="46"/>
  <c r="I635" i="46"/>
  <c r="I644" i="46"/>
  <c r="I208" i="46"/>
  <c r="I209" i="46"/>
  <c r="I195" i="46"/>
  <c r="I206" i="46"/>
  <c r="I211" i="46"/>
  <c r="I205" i="46"/>
  <c r="I71" i="46"/>
  <c r="I98" i="46"/>
  <c r="I198" i="46"/>
  <c r="I111" i="46"/>
  <c r="I217" i="46"/>
  <c r="I194" i="46"/>
  <c r="I196" i="46"/>
  <c r="I199" i="46"/>
  <c r="I192" i="46"/>
  <c r="I218" i="46"/>
  <c r="I197" i="46"/>
  <c r="I214" i="46"/>
  <c r="I212" i="46"/>
  <c r="I193" i="46"/>
  <c r="I216" i="46"/>
  <c r="I213" i="46"/>
  <c r="I210" i="46"/>
  <c r="I646" i="46"/>
  <c r="I54" i="46"/>
  <c r="I490" i="46"/>
  <c r="I207" i="46"/>
  <c r="I89" i="46"/>
  <c r="I184" i="46"/>
  <c r="I51" i="46"/>
  <c r="I169" i="46"/>
  <c r="I120" i="46"/>
  <c r="I297" i="46"/>
  <c r="I105" i="46"/>
  <c r="I8" i="46"/>
  <c r="I62" i="46"/>
  <c r="I61" i="46"/>
  <c r="I65" i="46"/>
  <c r="I59" i="46"/>
  <c r="I57" i="46"/>
  <c r="I13" i="46"/>
  <c r="I56" i="46"/>
  <c r="I60" i="46"/>
  <c r="I7" i="46"/>
  <c r="I84" i="46"/>
  <c r="I45" i="46"/>
  <c r="I44" i="46"/>
  <c r="I81" i="46"/>
  <c r="I41" i="46"/>
  <c r="I40" i="46"/>
  <c r="I38" i="46"/>
  <c r="I37" i="46"/>
  <c r="I35" i="46"/>
  <c r="I33" i="46"/>
  <c r="I12" i="46"/>
  <c r="I25" i="46"/>
  <c r="I22" i="46"/>
  <c r="I93" i="46"/>
  <c r="I21" i="46"/>
  <c r="I55" i="46"/>
  <c r="I5" i="46"/>
  <c r="I39" i="46"/>
  <c r="I4" i="46"/>
  <c r="I3" i="46"/>
  <c r="I36" i="46"/>
  <c r="A3" i="45" l="1" a="1"/>
  <c r="D21" i="53" l="1"/>
  <c r="D30" i="53"/>
  <c r="D31" i="53"/>
  <c r="D27" i="53"/>
  <c r="D26" i="53"/>
  <c r="D29" i="53"/>
  <c r="D32" i="53"/>
  <c r="D28" i="53"/>
  <c r="D25" i="53" l="1"/>
  <c r="D24" i="53"/>
  <c r="D22" i="53"/>
  <c r="D23" i="53"/>
  <c r="F40" i="35" l="1"/>
  <c r="F552" i="35"/>
  <c r="F587" i="35"/>
  <c r="F23" i="35"/>
  <c r="F586" i="35"/>
  <c r="F99" i="35"/>
  <c r="F545" i="35"/>
  <c r="F542" i="35"/>
  <c r="F47" i="35"/>
  <c r="F507" i="35"/>
  <c r="F506" i="35"/>
  <c r="F100" i="35"/>
  <c r="F471" i="35"/>
  <c r="F469" i="35"/>
  <c r="F434" i="35"/>
  <c r="F431" i="35"/>
  <c r="F360" i="35"/>
  <c r="F394" i="35"/>
  <c r="F393" i="35"/>
  <c r="F359" i="35"/>
  <c r="F324" i="35"/>
  <c r="F320" i="35"/>
  <c r="F286" i="35"/>
  <c r="F280" i="35"/>
  <c r="F248" i="35"/>
  <c r="F197" i="35"/>
  <c r="F244" i="35"/>
  <c r="F216" i="35"/>
  <c r="F432" i="35"/>
  <c r="F196" i="35"/>
  <c r="F178" i="35"/>
  <c r="F132" i="35"/>
  <c r="F131" i="35"/>
  <c r="F466" i="35"/>
  <c r="F161" i="35"/>
  <c r="F502" i="35"/>
  <c r="F389" i="35"/>
  <c r="F160" i="35"/>
  <c r="F577" i="35"/>
  <c r="F501" i="35"/>
  <c r="F428" i="35"/>
  <c r="F354" i="35"/>
  <c r="F159" i="35"/>
  <c r="F54" i="35"/>
  <c r="F18" i="35"/>
  <c r="F387" i="35"/>
  <c r="F243" i="35"/>
  <c r="F424" i="35"/>
  <c r="F294" i="35"/>
  <c r="F51" i="35"/>
  <c r="F456" i="35"/>
  <c r="F274" i="35"/>
  <c r="F92" i="35"/>
  <c r="F457" i="35"/>
  <c r="F228" i="35"/>
  <c r="F531" i="35"/>
  <c r="F495" i="35"/>
  <c r="F346" i="35"/>
  <c r="F235" i="35"/>
  <c r="F169" i="35"/>
  <c r="F118" i="35"/>
  <c r="F94" i="35"/>
  <c r="F45" i="35"/>
  <c r="F530" i="35"/>
  <c r="F419" i="35"/>
  <c r="F298" i="35"/>
  <c r="F232" i="35"/>
  <c r="F12" i="35"/>
  <c r="F604" i="35"/>
  <c r="F570" i="35"/>
  <c r="F529" i="35"/>
  <c r="F492" i="35"/>
  <c r="F418" i="35"/>
  <c r="F302" i="35"/>
  <c r="F234" i="35"/>
  <c r="F116" i="35"/>
  <c r="F81" i="35"/>
  <c r="F603" i="35"/>
  <c r="F490" i="35"/>
  <c r="F417" i="35"/>
  <c r="F342" i="35"/>
  <c r="F304" i="35"/>
  <c r="F258" i="35"/>
  <c r="F233" i="35"/>
  <c r="F115" i="35"/>
  <c r="F598" i="35"/>
  <c r="F564" i="35"/>
  <c r="F523" i="35"/>
  <c r="F486" i="35"/>
  <c r="F449" i="35"/>
  <c r="F405" i="35"/>
  <c r="F371" i="35"/>
  <c r="F335" i="35"/>
  <c r="F300" i="35"/>
  <c r="F264" i="35"/>
  <c r="F219" i="35"/>
  <c r="F187" i="35"/>
  <c r="F143" i="35"/>
  <c r="F110" i="35"/>
  <c r="F75" i="35"/>
  <c r="F42" i="35"/>
  <c r="F27" i="35"/>
  <c r="F332" i="35"/>
  <c r="F261" i="35"/>
  <c r="F221" i="35"/>
  <c r="F140" i="35"/>
  <c r="F108" i="35"/>
  <c r="F19" i="35"/>
  <c r="F559" i="35"/>
  <c r="F519" i="35"/>
  <c r="F204" i="35"/>
  <c r="F331" i="35"/>
  <c r="F184" i="35"/>
  <c r="F594" i="35"/>
  <c r="F555" i="35"/>
  <c r="F518" i="35"/>
  <c r="F440" i="35"/>
  <c r="F403" i="35"/>
  <c r="F321" i="35"/>
  <c r="F292" i="35"/>
  <c r="F218" i="35"/>
  <c r="F106" i="35"/>
  <c r="F30" i="35"/>
  <c r="F593" i="35"/>
  <c r="F551" i="35"/>
  <c r="F517" i="35"/>
  <c r="F476" i="35"/>
  <c r="F439" i="35"/>
  <c r="F402" i="35"/>
  <c r="F367" i="35"/>
  <c r="F291" i="35"/>
  <c r="F257" i="35"/>
  <c r="F407" i="35"/>
  <c r="F182" i="35"/>
  <c r="F137" i="35"/>
  <c r="F105" i="35"/>
  <c r="F69" i="35"/>
  <c r="F592" i="35"/>
  <c r="F550" i="35"/>
  <c r="F516" i="35"/>
  <c r="F475" i="35"/>
  <c r="F458" i="35"/>
  <c r="F401" i="35"/>
  <c r="F364" i="35"/>
  <c r="F329" i="35"/>
  <c r="F289" i="35"/>
  <c r="F255" i="35"/>
  <c r="F217" i="35"/>
  <c r="F181" i="35"/>
  <c r="F136" i="35"/>
  <c r="F104" i="35"/>
  <c r="F68" i="35"/>
  <c r="F28" i="35"/>
  <c r="F591" i="35"/>
  <c r="F549" i="35"/>
  <c r="F515" i="35"/>
  <c r="F474" i="35"/>
  <c r="F438" i="35"/>
  <c r="F400" i="35"/>
  <c r="F29" i="35"/>
  <c r="F323" i="35"/>
  <c r="F285" i="35"/>
  <c r="F251" i="35"/>
  <c r="F201" i="35"/>
  <c r="F180" i="35"/>
  <c r="F135" i="35"/>
  <c r="F103" i="35"/>
  <c r="F67" i="35"/>
  <c r="F590" i="35"/>
  <c r="F548" i="35"/>
  <c r="F510" i="35"/>
  <c r="F472" i="35"/>
  <c r="F437" i="35"/>
  <c r="F399" i="35"/>
  <c r="F363" i="35"/>
  <c r="F327" i="35"/>
  <c r="F288" i="35"/>
  <c r="F250" i="35"/>
  <c r="F199" i="35"/>
  <c r="F179" i="35"/>
  <c r="F134" i="35"/>
  <c r="F102" i="35"/>
  <c r="F66" i="35"/>
  <c r="F26" i="35"/>
  <c r="F505" i="35"/>
  <c r="F322" i="35"/>
  <c r="F130" i="35"/>
  <c r="F430" i="35"/>
  <c r="F129" i="35"/>
  <c r="F539" i="35"/>
  <c r="F242" i="35"/>
  <c r="F56" i="35"/>
  <c r="F597" i="35"/>
  <c r="F563" i="35"/>
  <c r="F522" i="35"/>
  <c r="F485" i="35"/>
  <c r="F473" i="35"/>
  <c r="F396" i="35"/>
  <c r="F370" i="35"/>
  <c r="F334" i="35"/>
  <c r="F297" i="35"/>
  <c r="F262" i="35"/>
  <c r="F220" i="35"/>
  <c r="F186" i="35"/>
  <c r="F142" i="35"/>
  <c r="F109" i="35"/>
  <c r="F74" i="35"/>
  <c r="F41" i="35"/>
  <c r="F596" i="35"/>
  <c r="F562" i="35"/>
  <c r="F521" i="35"/>
  <c r="F484" i="35"/>
  <c r="F443" i="35"/>
  <c r="F406" i="35"/>
  <c r="F369" i="35"/>
  <c r="F333" i="35"/>
  <c r="F296" i="35"/>
  <c r="F263" i="35"/>
  <c r="F227" i="35"/>
  <c r="F176" i="35"/>
  <c r="F141" i="35"/>
  <c r="F87" i="35"/>
  <c r="F73" i="35"/>
  <c r="F35" i="35"/>
  <c r="F595" i="35"/>
  <c r="F561" i="35"/>
  <c r="F520" i="35"/>
  <c r="F483" i="35"/>
  <c r="F442" i="35"/>
  <c r="F404" i="35"/>
  <c r="F368" i="35"/>
  <c r="F295" i="35"/>
  <c r="F185" i="35"/>
  <c r="F72" i="35"/>
  <c r="F556" i="35"/>
  <c r="F482" i="35"/>
  <c r="F441" i="35"/>
  <c r="F366" i="35"/>
  <c r="F435" i="35"/>
  <c r="F260" i="35"/>
  <c r="F208" i="35"/>
  <c r="F139" i="35"/>
  <c r="F107" i="35"/>
  <c r="F71" i="35"/>
  <c r="F36" i="35"/>
  <c r="F477" i="35"/>
  <c r="F365" i="35"/>
  <c r="F256" i="35"/>
  <c r="F183" i="35"/>
  <c r="F138" i="35"/>
  <c r="F70" i="35"/>
  <c r="F330" i="35"/>
  <c r="F39" i="35"/>
  <c r="F589" i="35"/>
  <c r="F547" i="35"/>
  <c r="F509" i="35"/>
  <c r="F343" i="35"/>
  <c r="F436" i="35"/>
  <c r="F398" i="35"/>
  <c r="F362" i="35"/>
  <c r="F326" i="35"/>
  <c r="F287" i="35"/>
  <c r="F246" i="35"/>
  <c r="F198" i="35"/>
  <c r="F163" i="35"/>
  <c r="F133" i="35"/>
  <c r="F328" i="35"/>
  <c r="F61" i="35"/>
  <c r="F38" i="35"/>
  <c r="F585" i="35"/>
  <c r="F238" i="35"/>
  <c r="F584" i="35"/>
  <c r="F588" i="35"/>
  <c r="F546" i="35"/>
  <c r="F508" i="35"/>
  <c r="F470" i="35"/>
  <c r="F433" i="35"/>
  <c r="F397" i="35"/>
  <c r="F361" i="35"/>
  <c r="F325" i="35"/>
  <c r="F290" i="35"/>
  <c r="F245" i="35"/>
  <c r="F202" i="35"/>
  <c r="F166" i="35"/>
  <c r="F95" i="35"/>
  <c r="F101" i="35"/>
  <c r="F50" i="35"/>
  <c r="F205" i="35"/>
  <c r="F575" i="35"/>
  <c r="F499" i="35"/>
  <c r="F353" i="35"/>
  <c r="F239" i="35"/>
  <c r="F157" i="35"/>
  <c r="F59" i="35"/>
  <c r="F386" i="35"/>
  <c r="F117" i="35"/>
  <c r="F358" i="35"/>
  <c r="F58" i="35"/>
  <c r="F540" i="35"/>
  <c r="F319" i="35"/>
  <c r="F57" i="35"/>
  <c r="F390" i="35"/>
  <c r="F34" i="35"/>
  <c r="F355" i="35"/>
  <c r="F155" i="35"/>
  <c r="F293" i="35"/>
  <c r="F536" i="35"/>
  <c r="F311" i="35"/>
  <c r="F60" i="35"/>
  <c r="F461" i="35"/>
  <c r="F119" i="35"/>
  <c r="F534" i="35"/>
  <c r="F88" i="35"/>
  <c r="F533" i="35"/>
  <c r="F348" i="35"/>
  <c r="F314" i="35"/>
  <c r="F272" i="35"/>
  <c r="F572" i="35"/>
  <c r="F271" i="35"/>
  <c r="F494" i="35"/>
  <c r="F82" i="35"/>
  <c r="F453" i="35"/>
  <c r="F203" i="35"/>
  <c r="F11" i="35"/>
  <c r="F392" i="35"/>
  <c r="F98" i="35"/>
  <c r="F391" i="35"/>
  <c r="F162" i="35"/>
  <c r="F21" i="35"/>
  <c r="F504" i="35"/>
  <c r="F214" i="35"/>
  <c r="F578" i="35"/>
  <c r="F313" i="35"/>
  <c r="F55" i="35"/>
  <c r="F277" i="35"/>
  <c r="F462" i="35"/>
  <c r="F158" i="35"/>
  <c r="F535" i="35"/>
  <c r="F349" i="35"/>
  <c r="F171" i="35"/>
  <c r="F17" i="35"/>
  <c r="F165" i="35"/>
  <c r="F532" i="35"/>
  <c r="F306" i="35"/>
  <c r="F84" i="35"/>
  <c r="F422" i="35"/>
  <c r="F13" i="35"/>
  <c r="F193" i="35"/>
  <c r="F173" i="35"/>
  <c r="F10" i="35"/>
  <c r="F89" i="35"/>
  <c r="F357" i="35"/>
  <c r="F152" i="35"/>
  <c r="F318" i="35"/>
  <c r="F538" i="35"/>
  <c r="F278" i="35"/>
  <c r="F463" i="35"/>
  <c r="F126" i="35"/>
  <c r="F576" i="35"/>
  <c r="F276" i="35"/>
  <c r="F310" i="35"/>
  <c r="F52" i="35"/>
  <c r="F498" i="35"/>
  <c r="F497" i="35"/>
  <c r="F308" i="35"/>
  <c r="F85" i="35"/>
  <c r="F496" i="35"/>
  <c r="F91" i="35"/>
  <c r="F307" i="35"/>
  <c r="F455" i="35"/>
  <c r="F93" i="35"/>
  <c r="F451" i="35"/>
  <c r="F210" i="35"/>
  <c r="F602" i="35"/>
  <c r="F568" i="35"/>
  <c r="F527" i="35"/>
  <c r="F493" i="35"/>
  <c r="F452" i="35"/>
  <c r="F415" i="35"/>
  <c r="F376" i="35"/>
  <c r="F341" i="35"/>
  <c r="F299" i="35"/>
  <c r="F267" i="35"/>
  <c r="F25" i="35"/>
  <c r="F209" i="35"/>
  <c r="F147" i="35"/>
  <c r="F114" i="35"/>
  <c r="F79" i="35"/>
  <c r="F48" i="35"/>
  <c r="F9" i="35"/>
  <c r="F541" i="35"/>
  <c r="F282" i="35"/>
  <c r="F22" i="35"/>
  <c r="F273" i="35"/>
  <c r="F427" i="35"/>
  <c r="F128" i="35"/>
  <c r="F237" i="35"/>
  <c r="F388" i="35"/>
  <c r="F46" i="35"/>
  <c r="F460" i="35"/>
  <c r="F240" i="35"/>
  <c r="F31" i="35"/>
  <c r="F177" i="35"/>
  <c r="F574" i="35"/>
  <c r="F226" i="35"/>
  <c r="F423" i="35"/>
  <c r="F557" i="35"/>
  <c r="F347" i="35"/>
  <c r="F413" i="35"/>
  <c r="F454" i="35"/>
  <c r="F83" i="35"/>
  <c r="F571" i="35"/>
  <c r="F270" i="35"/>
  <c r="F378" i="35"/>
  <c r="F528" i="35"/>
  <c r="F80" i="35"/>
  <c r="F601" i="35"/>
  <c r="F567" i="35"/>
  <c r="F526" i="35"/>
  <c r="F489" i="35"/>
  <c r="F448" i="35"/>
  <c r="F410" i="35"/>
  <c r="F374" i="35"/>
  <c r="F339" i="35"/>
  <c r="F303" i="35"/>
  <c r="F268" i="35"/>
  <c r="F236" i="35"/>
  <c r="F200" i="35"/>
  <c r="F146" i="35"/>
  <c r="F113" i="35"/>
  <c r="F78" i="35"/>
  <c r="F553" i="35"/>
  <c r="F6" i="35"/>
  <c r="F468" i="35"/>
  <c r="F207" i="35"/>
  <c r="F503" i="35"/>
  <c r="F247" i="35"/>
  <c r="F583" i="35"/>
  <c r="F338" i="35"/>
  <c r="F156" i="35"/>
  <c r="F429" i="35"/>
  <c r="F127" i="35"/>
  <c r="F241" i="35"/>
  <c r="F500" i="35"/>
  <c r="F426" i="35"/>
  <c r="F172" i="35"/>
  <c r="F53" i="35"/>
  <c r="F491" i="35"/>
  <c r="F309" i="35"/>
  <c r="F465" i="35"/>
  <c r="F573" i="35"/>
  <c r="F229" i="35"/>
  <c r="F384" i="35"/>
  <c r="F212" i="35"/>
  <c r="F14" i="35"/>
  <c r="F211" i="35"/>
  <c r="F345" i="35"/>
  <c r="F90" i="35"/>
  <c r="F269" i="35"/>
  <c r="F569" i="35"/>
  <c r="F377" i="35"/>
  <c r="F148" i="35"/>
  <c r="F600" i="35"/>
  <c r="F566" i="35"/>
  <c r="F525" i="35"/>
  <c r="F488" i="35"/>
  <c r="F450" i="35"/>
  <c r="F409" i="35"/>
  <c r="F373" i="35"/>
  <c r="F337" i="35"/>
  <c r="F305" i="35"/>
  <c r="F266" i="35"/>
  <c r="F231" i="35"/>
  <c r="F189" i="35"/>
  <c r="F145" i="35"/>
  <c r="F112" i="35"/>
  <c r="F77" i="35"/>
  <c r="F24" i="35"/>
  <c r="F44" i="35"/>
  <c r="F467" i="35"/>
  <c r="F215" i="35"/>
  <c r="F356" i="35"/>
  <c r="F464" i="35"/>
  <c r="F206" i="35"/>
  <c r="F32" i="35"/>
  <c r="F537" i="35"/>
  <c r="F195" i="35"/>
  <c r="F125" i="35"/>
  <c r="F425" i="35"/>
  <c r="F16" i="35"/>
  <c r="F459" i="35"/>
  <c r="F213" i="35"/>
  <c r="F385" i="35"/>
  <c r="F194" i="35"/>
  <c r="F15" i="35"/>
  <c r="F421" i="35"/>
  <c r="F170" i="35"/>
  <c r="F383" i="35"/>
  <c r="F375" i="35"/>
  <c r="F149" i="35"/>
  <c r="F344" i="35"/>
  <c r="F49" i="35"/>
  <c r="F599" i="35"/>
  <c r="F565" i="35"/>
  <c r="F524" i="35"/>
  <c r="F487" i="35"/>
  <c r="F420" i="35"/>
  <c r="F408" i="35"/>
  <c r="F372" i="35"/>
  <c r="F336" i="35"/>
  <c r="F301" i="35"/>
  <c r="F265" i="35"/>
  <c r="F230" i="35"/>
  <c r="F188" i="35"/>
  <c r="F144" i="35"/>
  <c r="F111" i="35"/>
  <c r="F76" i="35"/>
  <c r="F20" i="35"/>
  <c r="F43" i="35"/>
  <c r="F259" i="35"/>
  <c r="F225" i="35"/>
  <c r="F175" i="35"/>
  <c r="F168" i="35"/>
  <c r="F124" i="35"/>
  <c r="F97" i="35"/>
  <c r="F37" i="35"/>
  <c r="F8" i="35"/>
  <c r="F5" i="35"/>
  <c r="F582" i="35"/>
  <c r="F544" i="35"/>
  <c r="F514" i="35"/>
  <c r="F481" i="35"/>
  <c r="F447" i="35"/>
  <c r="F416" i="35"/>
  <c r="F382" i="35"/>
  <c r="F340" i="35"/>
  <c r="F317" i="35"/>
  <c r="F283" i="35"/>
  <c r="F249" i="35"/>
  <c r="F224" i="35"/>
  <c r="F174" i="35"/>
  <c r="F151" i="35"/>
  <c r="F123" i="35"/>
  <c r="F86" i="35"/>
  <c r="F65" i="35"/>
  <c r="F33" i="35"/>
  <c r="F3" i="35"/>
  <c r="F581" i="35"/>
  <c r="F554" i="35"/>
  <c r="F513" i="35"/>
  <c r="F478" i="35"/>
  <c r="F445" i="35"/>
  <c r="F414" i="35"/>
  <c r="F381" i="35"/>
  <c r="F352" i="35"/>
  <c r="F316" i="35"/>
  <c r="F284" i="35"/>
  <c r="F253" i="35"/>
  <c r="F223" i="35"/>
  <c r="F192" i="35"/>
  <c r="F150" i="35"/>
  <c r="F122" i="35"/>
  <c r="F96" i="35"/>
  <c r="F64" i="35"/>
  <c r="F7" i="35"/>
  <c r="F580" i="35"/>
  <c r="F560" i="35"/>
  <c r="F512" i="35"/>
  <c r="F480" i="35"/>
  <c r="F446" i="35"/>
  <c r="F412" i="35"/>
  <c r="F379" i="35"/>
  <c r="F351" i="35"/>
  <c r="F315" i="35"/>
  <c r="F281" i="35"/>
  <c r="F252" i="35"/>
  <c r="F222" i="35"/>
  <c r="F191" i="35"/>
  <c r="F167" i="35"/>
  <c r="F121" i="35"/>
  <c r="F154" i="35"/>
  <c r="F63" i="35"/>
  <c r="F4" i="35"/>
  <c r="F275" i="35"/>
  <c r="F579" i="35"/>
  <c r="F543" i="35"/>
  <c r="F511" i="35"/>
  <c r="F479" i="35"/>
  <c r="F444" i="35"/>
  <c r="F411" i="35"/>
  <c r="F380" i="35"/>
  <c r="F350" i="35"/>
  <c r="F312" i="35"/>
  <c r="F279" i="35"/>
  <c r="F254" i="35"/>
  <c r="F395" i="35"/>
  <c r="F190" i="35"/>
  <c r="F164" i="35"/>
  <c r="F120" i="35"/>
  <c r="F153" i="35"/>
  <c r="F62" i="35"/>
  <c r="F558" i="35"/>
  <c r="F605" i="35"/>
  <c r="F608" i="35"/>
  <c r="F609" i="35"/>
  <c r="F610" i="35"/>
  <c r="F613" i="35"/>
  <c r="F615" i="35"/>
  <c r="F617" i="35"/>
  <c r="F621" i="35"/>
  <c r="F623" i="35"/>
  <c r="F606" i="35"/>
  <c r="F607" i="35"/>
  <c r="F611" i="35"/>
  <c r="F612" i="35"/>
  <c r="F614" i="35"/>
  <c r="F616" i="35"/>
  <c r="F618" i="35"/>
  <c r="F619" i="35"/>
  <c r="F620" i="35"/>
  <c r="F622" i="35"/>
  <c r="F2" i="35"/>
  <c r="F624" i="3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Ram Prakash</author>
  </authors>
  <commentList>
    <comment ref="D2" authorId="0" shapeId="0" xr:uid="{67F983D9-B158-4CDE-A144-0EE5D3870785}">
      <text>
        <r>
          <rPr>
            <b/>
            <sz val="9"/>
            <color indexed="81"/>
            <rFont val="Tahoma"/>
            <family val="2"/>
          </rPr>
          <t>Ram Prakash:</t>
        </r>
        <r>
          <rPr>
            <sz val="9"/>
            <color indexed="81"/>
            <rFont val="Tahoma"/>
            <family val="2"/>
          </rPr>
          <t xml:space="preserve">
Each or Set</t>
        </r>
      </text>
    </comment>
    <comment ref="E2" authorId="0" shapeId="0" xr:uid="{C5CFA115-966C-47B5-A1F4-EE565567DC7C}">
      <text>
        <r>
          <rPr>
            <b/>
            <sz val="9"/>
            <color indexed="81"/>
            <rFont val="Tahoma"/>
            <family val="2"/>
          </rPr>
          <t>Ram Prakash:</t>
        </r>
        <r>
          <rPr>
            <sz val="9"/>
            <color indexed="81"/>
            <rFont val="Tahoma"/>
            <family val="2"/>
          </rPr>
          <t xml:space="preserve">
Manufactured / Purchased</t>
        </r>
      </text>
    </comment>
    <comment ref="I2" authorId="0" shapeId="0" xr:uid="{6261F64A-AE2D-4155-8ECF-D71D8B230418}">
      <text>
        <r>
          <rPr>
            <b/>
            <sz val="9"/>
            <color indexed="81"/>
            <rFont val="Tahoma"/>
            <family val="2"/>
          </rPr>
          <t>Ram Prakash:</t>
        </r>
        <r>
          <rPr>
            <sz val="9"/>
            <color indexed="81"/>
            <rFont val="Tahoma"/>
            <family val="2"/>
          </rPr>
          <t xml:space="preserve">
Text filter to look up using key words</t>
        </r>
      </text>
    </comment>
    <comment ref="O2" authorId="0" shapeId="0" xr:uid="{102EBCA6-D42C-469E-883A-1D909214B744}">
      <text>
        <r>
          <rPr>
            <b/>
            <sz val="9"/>
            <color indexed="81"/>
            <rFont val="Tahoma"/>
            <family val="2"/>
          </rPr>
          <t>Ram Prakash:</t>
        </r>
        <r>
          <rPr>
            <sz val="9"/>
            <color indexed="81"/>
            <rFont val="Tahoma"/>
            <family val="2"/>
          </rPr>
          <t xml:space="preserve">
PHYSICAL COUNT AS PER THE DAY</t>
        </r>
      </text>
    </comment>
    <comment ref="P2" authorId="0" shapeId="0" xr:uid="{15CF4CF4-0671-4D37-859C-555AAC75DEE2}">
      <text>
        <r>
          <rPr>
            <b/>
            <sz val="9"/>
            <color indexed="81"/>
            <rFont val="Tahoma"/>
            <family val="2"/>
          </rPr>
          <t>Ram Prakash:</t>
        </r>
        <r>
          <rPr>
            <sz val="9"/>
            <color indexed="81"/>
            <rFont val="Tahoma"/>
            <family val="2"/>
          </rPr>
          <t xml:space="preserve">
SETS READY IN THE WAREHOUSE</t>
        </r>
      </text>
    </comment>
    <comment ref="Q2" authorId="0" shapeId="0" xr:uid="{F2214948-B9D0-4C09-A661-73CA0CCFC223}">
      <text>
        <r>
          <rPr>
            <b/>
            <sz val="9"/>
            <color indexed="81"/>
            <rFont val="Tahoma"/>
            <family val="2"/>
          </rPr>
          <t>Ram Prakash:</t>
        </r>
        <r>
          <rPr>
            <sz val="9"/>
            <color indexed="81"/>
            <rFont val="Tahoma"/>
            <family val="2"/>
          </rPr>
          <t xml:space="preserve">
GOES TO THE WEB</t>
        </r>
      </text>
    </comment>
    <comment ref="T2" authorId="0" shapeId="0" xr:uid="{4C70EE7D-FA92-403C-9279-BDC6CFBB04E3}">
      <text>
        <r>
          <rPr>
            <b/>
            <sz val="9"/>
            <color indexed="81"/>
            <rFont val="Tahoma"/>
            <family val="2"/>
          </rPr>
          <t>SHOWS ITEMS THAT ARE USED TO BUILD THE CORRESPONDING SET THAT HAS CURRENT INVENTORY&lt;=5</t>
        </r>
      </text>
    </comment>
    <comment ref="H41" authorId="0" shapeId="0" xr:uid="{0E6B7E8C-3910-4D50-BE66-1273730C8A59}">
      <text>
        <r>
          <rPr>
            <b/>
            <sz val="9"/>
            <color indexed="81"/>
            <rFont val="Tahoma"/>
            <family val="2"/>
          </rPr>
          <t>Ram Prakash:</t>
        </r>
        <r>
          <rPr>
            <sz val="9"/>
            <color indexed="81"/>
            <rFont val="Tahoma"/>
            <family val="2"/>
          </rPr>
          <t xml:space="preserve">
4 X 5014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Ram Prakash</author>
  </authors>
  <commentList>
    <comment ref="A1" authorId="0" shapeId="0" xr:uid="{929647E4-900D-4B1D-BE0A-2F901FAC0436}">
      <text>
        <r>
          <rPr>
            <b/>
            <sz val="9"/>
            <color indexed="81"/>
            <rFont val="Tahoma"/>
            <family val="2"/>
          </rPr>
          <t>Ram Prakash:</t>
        </r>
        <r>
          <rPr>
            <sz val="9"/>
            <color indexed="81"/>
            <rFont val="Tahoma"/>
            <family val="2"/>
          </rPr>
          <t xml:space="preserve">
SHOWS IN STOCK % FOR VARIOUS CATEGORIES</t>
        </r>
      </text>
    </comment>
    <comment ref="C2" authorId="0" shapeId="0" xr:uid="{CBD12845-A1A9-4DA1-8534-0B53B316581B}">
      <text>
        <r>
          <rPr>
            <b/>
            <sz val="9"/>
            <color indexed="81"/>
            <rFont val="Tahoma"/>
            <family val="2"/>
          </rPr>
          <t>Ram Prakash:</t>
        </r>
        <r>
          <rPr>
            <sz val="9"/>
            <color indexed="81"/>
            <rFont val="Tahoma"/>
            <family val="2"/>
          </rPr>
          <t xml:space="preserve">
Number of items - EA or Set based on distinct categories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Ram Prakash</author>
  </authors>
  <commentList>
    <comment ref="A1" authorId="0" shapeId="0" xr:uid="{8425614C-B3C8-4EE5-984B-6745D0ED6C60}">
      <text>
        <r>
          <rPr>
            <b/>
            <sz val="9"/>
            <color indexed="81"/>
            <rFont val="Tahoma"/>
            <family val="2"/>
          </rPr>
          <t>Ram Prakash:</t>
        </r>
        <r>
          <rPr>
            <sz val="9"/>
            <color indexed="81"/>
            <rFont val="Tahoma"/>
            <family val="2"/>
          </rPr>
          <t xml:space="preserve">
SHOWS IN STOCK % FOR VARIOUS CATEGORIES</t>
        </r>
      </text>
    </comment>
    <comment ref="C2" authorId="0" shapeId="0" xr:uid="{B50E699E-8D3B-4474-846C-7CA04D52B794}">
      <text>
        <r>
          <rPr>
            <b/>
            <sz val="9"/>
            <color indexed="81"/>
            <rFont val="Tahoma"/>
            <family val="2"/>
          </rPr>
          <t>Ram Prakash:</t>
        </r>
        <r>
          <rPr>
            <sz val="9"/>
            <color indexed="81"/>
            <rFont val="Tahoma"/>
            <family val="2"/>
          </rPr>
          <t xml:space="preserve">
Number of items - EA or Set based on distinct categories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<sst xmlns="http://schemas.openxmlformats.org/spreadsheetml/2006/main" count="11038" uniqueCount="1754">
  <si>
    <t>DESCRIPTION</t>
  </si>
  <si>
    <t>FAMILY</t>
  </si>
  <si>
    <t>BBQ Premier Walnut Fork 20"</t>
  </si>
  <si>
    <t>BBQ</t>
  </si>
  <si>
    <t>BBQ Premier Walnut Turner 20"</t>
  </si>
  <si>
    <t>BBQ Premier Walnut Tongs 20"</t>
  </si>
  <si>
    <t>7" Granny Fork, 2-Tine, Walnut</t>
  </si>
  <si>
    <t>10" Granny Fork, 2-Tine, Walnut</t>
  </si>
  <si>
    <t>7" Granny Fork, 3-Tine, Walnut</t>
  </si>
  <si>
    <t>10" Granny Fork, 3-Tine, Walnut</t>
  </si>
  <si>
    <t>Shears</t>
  </si>
  <si>
    <t>2.5" x 4.5" Flared Turner, Walnut</t>
  </si>
  <si>
    <t>3" x 6" Dough Scraper, Walnut</t>
  </si>
  <si>
    <t>7.25" Meat Cleaver, Walnut</t>
  </si>
  <si>
    <t>BBQ Set</t>
  </si>
  <si>
    <t>Specialty</t>
  </si>
  <si>
    <t>Chopper</t>
  </si>
  <si>
    <t>6" Frosting Spatula, Walnut</t>
  </si>
  <si>
    <t xml:space="preserve">8" Chinese Vegetable Cleaver, Walnut </t>
  </si>
  <si>
    <t>FIRE Forged 2.5" Bird’s Beak Paring Knife</t>
  </si>
  <si>
    <t>FIRE 10" Sharpening Steel</t>
  </si>
  <si>
    <t xml:space="preserve">TreeSpirit™ 12" Angled Slotted Spatula   </t>
  </si>
  <si>
    <t xml:space="preserve">TreeSpirit™ 12" Regular Spoon             </t>
  </si>
  <si>
    <t xml:space="preserve">TreeSpirit™ 12" Slotted Spoon             </t>
  </si>
  <si>
    <t xml:space="preserve">TreeSpirit™ 13" Bent Turner                </t>
  </si>
  <si>
    <t>TreeSpirit™ 14" Heavy Duty Edge Scraper</t>
  </si>
  <si>
    <t xml:space="preserve">TreeSpirit™ 14" Heavy Duty Slotted Spoon           </t>
  </si>
  <si>
    <t xml:space="preserve">TreeSpirit™ 14" Heavy Duty Spoon          </t>
  </si>
  <si>
    <t xml:space="preserve">TreeSpirit™ 5" Jam Spoon                   </t>
  </si>
  <si>
    <t xml:space="preserve">TreeSpirit™ 6" Condiment Paddle            </t>
  </si>
  <si>
    <t>TreeSpirit™ 7" Knife Spreader</t>
  </si>
  <si>
    <t>MIDNIGHT Forged 2.5" Bird’s Beak Paring Knife</t>
  </si>
  <si>
    <t>MIDNIGHT Forged 5" Steak Knife, Fine edge</t>
  </si>
  <si>
    <t>MIDNIGHT Forged 5" Tomato Knife, Serrated</t>
  </si>
  <si>
    <t>MIDNIGHT Forged 5" Steak Knife, Serrated</t>
  </si>
  <si>
    <t>MIDNIGHT Forged 6" Fillet/Boning Knife</t>
  </si>
  <si>
    <t>MIDNIGHT Forged 6" Utility Knife</t>
  </si>
  <si>
    <t xml:space="preserve">MIDNIGHT Forged 4-Pc Steak Knife Set, Fine Edge </t>
  </si>
  <si>
    <t>WALNUT Vintage 5" Steak Knife, Serrated</t>
  </si>
  <si>
    <t>WALNUT Vintage 5" Steak Knife, Fine Edge</t>
  </si>
  <si>
    <t>WALNUT Vintage 6" Utility Knife</t>
  </si>
  <si>
    <t>WALNUT Vintage 6" Boning Knife</t>
  </si>
  <si>
    <t>WALNUT Vintage 8" Chef Knife</t>
  </si>
  <si>
    <t>WALNUT Vintage 8" Bread Knife</t>
  </si>
  <si>
    <t>WALNUT Vintage 4-Pc Steak Knife Set, Serrated</t>
  </si>
  <si>
    <t>WALNUT Forged 2.5" Bird’s Beak Paring Knife</t>
  </si>
  <si>
    <t>WALNUT Forged 5" Steak Knife, Fine Edge</t>
  </si>
  <si>
    <t>WALNUT Forged 5" Tomato Knife, Serrated</t>
  </si>
  <si>
    <t>WALNUT Forged 5" Steak Knife, Serrated</t>
  </si>
  <si>
    <t>WALNUT Forged 6" Fillet/Boning Knife</t>
  </si>
  <si>
    <t>WALNUT Forged 6" Utility Knife</t>
  </si>
  <si>
    <t xml:space="preserve">WALNUT Forged 7" Offset Bread Knife, Serrated  </t>
  </si>
  <si>
    <t>WALNUT Forged 7" Nakiri Knife, Kullenschliff Edge</t>
  </si>
  <si>
    <t>WALNUT Forged 8" Bread Knife, Serrated</t>
  </si>
  <si>
    <t>WALNUT Forged 10" Bread Knife, Serrated</t>
  </si>
  <si>
    <t>WALNUT Forged 4-Pc Steak Knife Set, Serrated</t>
  </si>
  <si>
    <t xml:space="preserve">WALNUT Forged 4-Pc Steak Knife Set, Fine Edge </t>
  </si>
  <si>
    <t>MIDNIGHT Forged 2.875" Trimming Paring Knife</t>
  </si>
  <si>
    <t>WALNUT Forged 2.875" Trimming Paring Knife</t>
  </si>
  <si>
    <t>FIRE Forged 2.875" Trimming Paring Knife</t>
  </si>
  <si>
    <t xml:space="preserve">FIRE Forged 5" Steak, Fine Edge </t>
  </si>
  <si>
    <t>FIRE Forged 5" Steak Knife, Serrated</t>
  </si>
  <si>
    <t>FIRE Forged 6" Fillet/Boning Knife</t>
  </si>
  <si>
    <t>FIRE Forged 6" Utility Knife</t>
  </si>
  <si>
    <t>FIRE Forged 7" Offset Bread, Serrated  Knife</t>
  </si>
  <si>
    <t>MIDNIGHT Forged 7" Offset Bread Knife, Serrated Knife</t>
  </si>
  <si>
    <t>FIRE Forged 7" Nakiri Knife, Kullenschliff Edge</t>
  </si>
  <si>
    <t>MIDNIGHT Forged 7" Nakiri Knife, Kullenschliff Edge</t>
  </si>
  <si>
    <t>MIDNIGHT Forged 8" Bread Knife, Serrated</t>
  </si>
  <si>
    <t>FIRE Forged 8" Bread Knife, Serrated</t>
  </si>
  <si>
    <t>MIDNIGHT Forged 10" Bread Knife, Serrated</t>
  </si>
  <si>
    <t>FIRE Forged 10" Bread Knife, Serrated</t>
  </si>
  <si>
    <t>FIRE Forged 4-Pc Steak Knife Set, Serrated</t>
  </si>
  <si>
    <t xml:space="preserve">FIRE Forged 4-Pc Steak Knife Set, Fine Edge </t>
  </si>
  <si>
    <t>4" x 6" Dough Scraper, Extra Long, Walnut</t>
  </si>
  <si>
    <t>WALNUT Vintage 7" Nakiri Knife, Kullenschliff Edge</t>
  </si>
  <si>
    <t>FIRE Forged 3.5" Spear Tip Paring Knife</t>
  </si>
  <si>
    <t>MIDNIGHT Forged 3.5" Spear Tip Paring Knife</t>
  </si>
  <si>
    <t>WALNUT Forged 3.5" Spear Tip Paring Knife</t>
  </si>
  <si>
    <t>WALNUT Vintage 3.5" Spear Tip Paring Knife</t>
  </si>
  <si>
    <t>WALNUT 10" Sharpening Steel</t>
  </si>
  <si>
    <t>MIDNIGHT 10" Sharpening Steel</t>
  </si>
  <si>
    <t>FIRE Forged 5" Tomato Knife, Serrated</t>
  </si>
  <si>
    <t>FIRE Forged 5" Santoku Knife, Kullenschliff Edge</t>
  </si>
  <si>
    <t>FIRE Forged 10" Roast Knife, Kullenschliff Edge</t>
  </si>
  <si>
    <t>FIRE Forged 7" Santoku Knife, Kullenschliff Edge</t>
  </si>
  <si>
    <t>MIDNIGHT Forged 10" Roast Knife, Kullenschliff Edge</t>
  </si>
  <si>
    <t>MIDNIGHT Forged 5" Santoku Knife, Kullenschliff Edge</t>
  </si>
  <si>
    <t>MIDNIGHT Forged 7" Santoku Knife, Kullenschliff Edge</t>
  </si>
  <si>
    <t>WALNUT Forged 10" Roast Knife, Kullenschliff Edge</t>
  </si>
  <si>
    <t>WALNUT Forged 5" Santoku Knife, Kullenschliff Edge</t>
  </si>
  <si>
    <t>WALNUT Forged 7" Santoku Knife, Kullenschliff Edge</t>
  </si>
  <si>
    <t xml:space="preserve">FIRE Forged 10" Chef Knife </t>
  </si>
  <si>
    <t>FIRE Forged 4" Chef Knife</t>
  </si>
  <si>
    <t>FIRE Forged 6" Chef Knife</t>
  </si>
  <si>
    <t>FIRE Forged 8" Chef Knife</t>
  </si>
  <si>
    <t>MIDNIGHT Forged 10" Chef Knife</t>
  </si>
  <si>
    <t>MIDNIGHT Forged 4" Chef Knife</t>
  </si>
  <si>
    <t xml:space="preserve">MIDNIGHT Forged 6" Chef Knife </t>
  </si>
  <si>
    <t xml:space="preserve">MIDNIGHT Forged 8" Chef Knife </t>
  </si>
  <si>
    <t>WALNUT Forged 6" Chef Knife</t>
  </si>
  <si>
    <t>WALNUT Forged 4" Chef Knife</t>
  </si>
  <si>
    <t>WALNUT Forged 10" Chef Knife</t>
  </si>
  <si>
    <t>TreeSpirit™ 5.5" Dough Scraper</t>
  </si>
  <si>
    <t xml:space="preserve">TreeSpirit™ 7" Honey Dipper                  </t>
  </si>
  <si>
    <t xml:space="preserve">   6" - KnifeSafe™ Blade Protector</t>
  </si>
  <si>
    <t xml:space="preserve">   8" - KnifeSafe™ Blade Protector</t>
  </si>
  <si>
    <t>4.5" - KnifeSafe™ Blade Protector</t>
  </si>
  <si>
    <t xml:space="preserve"> 10" - KnifeSafe™ Blade Protector</t>
  </si>
  <si>
    <t>8" Chinese Santoku Cleaver, Walnut</t>
  </si>
  <si>
    <t>Bar Keepers Friend Soft Cleanser, 26 oz.</t>
  </si>
  <si>
    <t>WALNUT Vintage 6" Mini Masher</t>
  </si>
  <si>
    <t>WALNUT Vintage 10" Fork</t>
  </si>
  <si>
    <t>WALNUT Vintage 8" Chinese Santoku Cleaver</t>
  </si>
  <si>
    <t>WALNUT Vintage 6" Chinese Santoku Cleaver</t>
  </si>
  <si>
    <t>1" Chestnut Knife, Walnut</t>
  </si>
  <si>
    <t>6" Grandma’s Mini Masher, Walnut</t>
  </si>
  <si>
    <t>4" Pie/Cake Server, Walnut</t>
  </si>
  <si>
    <t>Granny Set</t>
  </si>
  <si>
    <t>TreeSpirit™</t>
  </si>
  <si>
    <t>Leather Paddle Strop for Knife Sharpening</t>
  </si>
  <si>
    <t xml:space="preserve">TreeSpirit™ Mineral Oil 12 oz bottle        </t>
  </si>
  <si>
    <t xml:space="preserve">TreeSpirit™ Mineral Oil 8 oz bottle           </t>
  </si>
  <si>
    <t xml:space="preserve">TreeSpirit™ 6" Olive Fork with 2 Tines        </t>
  </si>
  <si>
    <t xml:space="preserve">TreeSpirit™ 6" Olive Spoon with Holes      </t>
  </si>
  <si>
    <t>Leather Sheath for 8" Chinese Santoku Cleavers</t>
  </si>
  <si>
    <t>Leather Sheath for 6" Chinese Santoku Cleavers</t>
  </si>
  <si>
    <t>WALNUT Vintage 7" Santoku Knife, Kullenschliff Edge</t>
  </si>
  <si>
    <t>MIDNIGHT Forged 3-Pc Chef Knife Set (39210, 39235, 39250)</t>
  </si>
  <si>
    <t>MIDNIGHT Forged 3-Pc Cook Knife Set (39210, 39223, 39250)</t>
  </si>
  <si>
    <t>MIDNIGHT Forged 4-Pc Cook Knife Set (39210, 39250, 39225, 39240)</t>
  </si>
  <si>
    <t>WALNUT Forged 3-Pc Chef Knife Set (39810, 39835, 39850)</t>
  </si>
  <si>
    <t>WALNUT Forged 3-Pc Cook Knife Set (39810, 39823, 39850)</t>
  </si>
  <si>
    <t>WALNUT Forged 4-Pc Cook Knife Set (39810, 39825, 39840, 39850)</t>
  </si>
  <si>
    <t xml:space="preserve">BBQ Tail-gater™ Walnut Fork 15"                </t>
  </si>
  <si>
    <t xml:space="preserve">BBQ Tail-gater™ Walnut Knife 15"  </t>
  </si>
  <si>
    <t xml:space="preserve">BBQ Tail-gater™ Walnut Tongs 15"       </t>
  </si>
  <si>
    <t xml:space="preserve">BBQ Tail-gater™ Walnut Turner 15"      </t>
  </si>
  <si>
    <t>WALNUT Vintage 2-Pc Carving Knife Set (56512, 56560)</t>
  </si>
  <si>
    <t>WALNUT Vintage 3-Pc Cook Knife Set (56501, 56504, 56510)</t>
  </si>
  <si>
    <t>WALNUT Vintage 3-pc Essential Set (56504, 56510, 56513)</t>
  </si>
  <si>
    <t>WALNUT Vintage 4-pc Chef Set (56501, 56504, 56510, 56556)</t>
  </si>
  <si>
    <t>WALNUT Vintage 4-pc Deluxe Cook Set (56501, 56504, 56510, 56513)</t>
  </si>
  <si>
    <t>WALNUT Vintage 5-Pc Deluxe Chef Set  (56501, 56504, 56510, 56513, 56556)</t>
  </si>
  <si>
    <t>2-Pc Kitchen Set, POM (39574, 39577)</t>
  </si>
  <si>
    <t>2-Pc Turner Kitchen Set, POM (39571, 39574)</t>
  </si>
  <si>
    <t xml:space="preserve">TreeSpirit™ 12" Square Edge Scraper </t>
  </si>
  <si>
    <t>WALNUT Vintage 2-Pc Chinese Santoku Set (56556, 56557)</t>
  </si>
  <si>
    <t>SIERRA Forged 2.5" Bird’s Beak Paring Knife</t>
  </si>
  <si>
    <t>SIERRA Forged 2.875" Trimming Paring Knife</t>
  </si>
  <si>
    <t>SIERRA Forged 3.5" Spear Tip Paring Knife</t>
  </si>
  <si>
    <t>SIERRA Forged 4" Chef Knife</t>
  </si>
  <si>
    <t>SIERRA Forged 5" Santoku Knife, Kullenschliff Edge</t>
  </si>
  <si>
    <t>SIERRA Forged 5" Steak Knife, Serrated</t>
  </si>
  <si>
    <t>SIERRA Forged 5" Steak Knife, Fine Edge</t>
  </si>
  <si>
    <t>SIERRA Forged 5" Tomato Knife, Serrated</t>
  </si>
  <si>
    <t>SIERRA Forged 6" Fillet/Boning Knife</t>
  </si>
  <si>
    <t>SIERRA Forged 6" Utility Knife</t>
  </si>
  <si>
    <t xml:space="preserve">SIERRA Forged 7" Offset Bread Knife, Serrated  </t>
  </si>
  <si>
    <t>SIERRA Forged 7" Nakiri Knife, Kullenschliff Edge</t>
  </si>
  <si>
    <t>SIERRA Forged 6" Chef Knife</t>
  </si>
  <si>
    <t>SIERRA Forged 8" Wide Knife</t>
  </si>
  <si>
    <t>SIERRA Forged 7" Santoku Knife, Kullenschliff Edge</t>
  </si>
  <si>
    <t>SIERRA Forged 8" Bread Knife, Serrated</t>
  </si>
  <si>
    <t>SIERRA 10" Sharpening Steel</t>
  </si>
  <si>
    <t>SIERRA Forged 10" Chef Knife</t>
  </si>
  <si>
    <t>SIERRA Forged 10" Bread Knife, Serrated</t>
  </si>
  <si>
    <t>SIERRA Forged 10" Roast Knife, Kullenschliff Edge</t>
  </si>
  <si>
    <t>SIERRA Forged 3-Pc Chef Knife Set (79910, 79935, 79950)</t>
  </si>
  <si>
    <t>SIERRA Forged 3-Pc Cook Knife Set (79910, 79923, 79950)</t>
  </si>
  <si>
    <t>SIERRA Forged 4-Pc Cook Knife Set (79910, 79925, 79940, 79950)</t>
  </si>
  <si>
    <t>SIERRA Forged 4-Pc Steak Knife Set, Serrated</t>
  </si>
  <si>
    <t xml:space="preserve">SIERRA Forged 4-Pc Steak Knife Set, Fine Edge </t>
  </si>
  <si>
    <t>WALNUT Vintage 5" Santoku Knife, Kullenschliff Edge</t>
  </si>
  <si>
    <t>WALNUT Vintage 4" Pie &amp; Cake Server, Wave Edge</t>
  </si>
  <si>
    <t>WALNUT Vintage 2.5" x 4" Easy-Entry Turner</t>
  </si>
  <si>
    <t>FIRE Forged 8" Carving Knife</t>
  </si>
  <si>
    <t>MIDNIGHT Forged 8" Carving Knife</t>
  </si>
  <si>
    <t>WALNUT Forged 8" Carving Knife</t>
  </si>
  <si>
    <t>SIERRA Forged 8" Carving Knife</t>
  </si>
  <si>
    <t>MIDNIGHT Forged 2-Pc Carving Knife Set (39245, 39260)</t>
  </si>
  <si>
    <t>WALNUT Forged 2-Pc Carving Knife Set (39845, 39860)</t>
  </si>
  <si>
    <t>WALNUT Forged 2-Pc Roast Knife Set, K-edge (39859, 39860)</t>
  </si>
  <si>
    <t>SIERRA Forged 2-Pc Carving Knife Set (79945, 79960)</t>
  </si>
  <si>
    <t>SIERRA Forged 2-Pc Roast Knife Set, K-edge (79959, 79960)</t>
  </si>
  <si>
    <t>WALNUT Vintage 9" Slicing Knife</t>
  </si>
  <si>
    <t xml:space="preserve">FIRE Forged 10" Slicing Knife </t>
  </si>
  <si>
    <t>MIDNIGHT Forged 10" Slicing Knife</t>
  </si>
  <si>
    <t>WALNUT Forged 10" Slicing Knife</t>
  </si>
  <si>
    <t>SIERRA Forged 10" Slicing Knife</t>
  </si>
  <si>
    <t>Leather Sheath for 7.25" Meat Cleavers</t>
  </si>
  <si>
    <t>Leather Sheath for 6" Ulu Knife (34270)</t>
  </si>
  <si>
    <t>Leather Sheath for 7" Ulu Knife (34271)</t>
  </si>
  <si>
    <t>7.25" Meat Cleaver, Black Poly</t>
  </si>
  <si>
    <t>7.25" Meat Cleaver, White Poly</t>
  </si>
  <si>
    <t>4.6" x 6" Turner, Stiff, Walnut</t>
  </si>
  <si>
    <t>5" x 6" Hamburger Turner, Stiff, Walnut</t>
  </si>
  <si>
    <t>FIRE Forged 8" Santoku Cleaver</t>
  </si>
  <si>
    <t>MIDNIGHT Forged 8" Santoku Cleaver</t>
  </si>
  <si>
    <t>WALNUT Forged 8" Santoku Cleaver</t>
  </si>
  <si>
    <t>SIERRA Forged 8" Santoku Cleaver</t>
  </si>
  <si>
    <t>WALNUT Forged 8" Chef Knife</t>
  </si>
  <si>
    <t>TreeSpirit™ 2" Condiment Cups (2.5" x 1.125") Bag of 4</t>
  </si>
  <si>
    <t>TreeSpirit™ 2" Condiment Cups (2.5" x 1.125") Bulk Each</t>
  </si>
  <si>
    <t>3.5" Grandma’s Paring Knife, Walnut</t>
  </si>
  <si>
    <t>Big HotSpot™ (11.5" x 11.5") - Black</t>
  </si>
  <si>
    <t>Big HotSpot™ (11.5" x 11.5") - Blue</t>
  </si>
  <si>
    <t>Big HotSpot™ (11.5" x 11.5") - Clear</t>
  </si>
  <si>
    <t>Big HotSpot™ (11.5" x 11.5") - Red</t>
  </si>
  <si>
    <t>HotSpot™  Collapsible Funnel (3.25" Diameter) - Black</t>
  </si>
  <si>
    <t>HotSpot™  Collapsible Funnel (3.25" Diameter) - Clear</t>
  </si>
  <si>
    <t>HotSpot™  Collapsible Funnel (3.25" Diameter) - Pink</t>
  </si>
  <si>
    <t>HotSpot™  Collapsible Funnel (3.25" Diameter) - Red</t>
  </si>
  <si>
    <t>HotSpot™  Collapsible Funnel (4.75" Diameter) - Yellow</t>
  </si>
  <si>
    <t xml:space="preserve">HotSpot™ HotHandle™ Small (5" x 1") - Black </t>
  </si>
  <si>
    <t>HotSpot™ HotHandle™ Small (5" x 1") - Green</t>
  </si>
  <si>
    <t>HotSpot™ HotHandle™ Small (5" x 1") - Red</t>
  </si>
  <si>
    <t>Original HotSpot™ (7" x 7") - Blue</t>
  </si>
  <si>
    <t>Original HotSpot™ (7" x 7") - Candy Pink</t>
  </si>
  <si>
    <t>Original HotSpot™ (7" x 7") - Cardinal</t>
  </si>
  <si>
    <t>Original HotSpot™ (7" x 7") - Goldenrod</t>
  </si>
  <si>
    <t>Original HotSpot™ (7" x 7") - Green</t>
  </si>
  <si>
    <t>Original HotSpot™ (7" x 7") - Lilac</t>
  </si>
  <si>
    <t>Original HotSpot™ (7" x 7") - Mango</t>
  </si>
  <si>
    <t>Original HotSpot™ (7" x 7") - Mulberry</t>
  </si>
  <si>
    <t>Original HotSpot™ (7" x 7") - Red</t>
  </si>
  <si>
    <t>Original HotSpot™ Round (8" Diameter) - Black</t>
  </si>
  <si>
    <t>Leather &amp; Wood Preservation Set (Beekeeper's Gold &amp; 8 oz Mineral Oil)</t>
  </si>
  <si>
    <t xml:space="preserve">TreeSpirit™ Beekeeper's Gold 8 fl oz tub             </t>
  </si>
  <si>
    <t>Grandma's Avo-Masher &amp; Pie Server Walnut Set (33440, 34000)</t>
  </si>
  <si>
    <t xml:space="preserve">4" x 9" Jumbo Slotted Chef Turner, Right-Hand, Walnut </t>
  </si>
  <si>
    <t xml:space="preserve">4" x 9" Jumbo Slotted Chef Turner, Left-Hand, Walnut </t>
  </si>
  <si>
    <t>4" x 5"  Turner, Stiff, Walnut</t>
  </si>
  <si>
    <t>3" x 8" Turner, Flexible, Walnut</t>
  </si>
  <si>
    <t>3" x 8" Perforated Turner, Flexible, Walnut</t>
  </si>
  <si>
    <t>3" x 6" Chef’s Slotted Turner, Right-Hand, Walnut</t>
  </si>
  <si>
    <t>3" x 6" Chef’s Slotted Turner, Left-Hand, Walnut</t>
  </si>
  <si>
    <t>3"Sandwich Spreader, Wave Edge, Walnut</t>
  </si>
  <si>
    <t>3" x 6" Chef’s Slotted Turner, Left-Hand, POM</t>
  </si>
  <si>
    <t xml:space="preserve">BBQ Tail-gater™ 3-Pc Set (Fork, Turner, Tongs, Bag)     </t>
  </si>
  <si>
    <t xml:space="preserve">BBQ Tail-gater™ 4-Pc Set (Fork, Turner, Tongs, Knife, Bag) </t>
  </si>
  <si>
    <t>SKU</t>
  </si>
  <si>
    <t>FIRE Forged 7-Pc Knife Block set, Natural Walnut Block</t>
  </si>
  <si>
    <t>FIRE Forged 10-Pc Knife Block set, Natural Walnut Block</t>
  </si>
  <si>
    <t>FIRE Forged 20-Pc Knife Block set, Natural Walnut Block, Fine Steak</t>
  </si>
  <si>
    <t>FIRE Forged 22-Pc Knife Block set, Natural Walnut Block, Fine Steak</t>
  </si>
  <si>
    <t>MIDNIGHT Forged 7-Pc Knife Block set, Natural Walnut Block</t>
  </si>
  <si>
    <t>MIDNIGHT Forged 10-Pc Knife Block set, Natural Walnut Block</t>
  </si>
  <si>
    <t>MIDNIGHT Forged 20-Pc Knife Block set, Natural Walnut Block, Fine Steak</t>
  </si>
  <si>
    <t>MIDNIGHT Forged 22-Pc Knife Block set, Natural Walnut Block, Fine Steak</t>
  </si>
  <si>
    <t>WALNUT Forged 7-Pc Knife Block set, Natural Walnut Block</t>
  </si>
  <si>
    <t>WALNUT Forged 10-Pc Knife Block set, Natural Walnut Block</t>
  </si>
  <si>
    <t>WALNUT Forged 20-Pc Knife Block set, Natural Walnut Block, Fine Steak</t>
  </si>
  <si>
    <t>WALNUT Forged 22-Pc Knife Block set, Natural Walnut Block, Fine Steak</t>
  </si>
  <si>
    <t>SIERRA Forged 7-Pc Knife Block set, Natural Walnut Block</t>
  </si>
  <si>
    <t>SIERRA Forged 10-Pc Knife Block set, Natural Walnut Block</t>
  </si>
  <si>
    <t>SIERRA Forged 20-Pc Knife Block set, Natural Walnut Block, Fine Steak</t>
  </si>
  <si>
    <t>SIERRA Forged 22-Pc Knife Block set, Natural Walnut Block, Fine Steak</t>
  </si>
  <si>
    <t>WALNUT Vintage 6-Pc Deluxe Cook's Set (56513, 56510, 56504, 56501, 56540, 56577)</t>
  </si>
  <si>
    <t>8" Forged Take apart Kitchen Shears</t>
  </si>
  <si>
    <t>FIRE Forged 12" Serving Fork</t>
  </si>
  <si>
    <t>MIDNIGHT Forged 12" Serving Fork</t>
  </si>
  <si>
    <t>WALNUT Forged 12" Serving Fork</t>
  </si>
  <si>
    <t>SIERRA Forged 12" Serving Fork</t>
  </si>
  <si>
    <t>MIDNIGHT Forged 2-Pc Roast Knife Set, K-edge (39259, 39260)</t>
  </si>
  <si>
    <t>Sharpening</t>
  </si>
  <si>
    <t>Paring</t>
  </si>
  <si>
    <t>Steak</t>
  </si>
  <si>
    <t>Tomato</t>
  </si>
  <si>
    <t>Santoku</t>
  </si>
  <si>
    <t>Boning</t>
  </si>
  <si>
    <t>Utility</t>
  </si>
  <si>
    <t>Bread</t>
  </si>
  <si>
    <t>Carving</t>
  </si>
  <si>
    <t>Nakiri</t>
  </si>
  <si>
    <t>Chef</t>
  </si>
  <si>
    <t>Fork</t>
  </si>
  <si>
    <t>Carving Set</t>
  </si>
  <si>
    <t>Chef Set</t>
  </si>
  <si>
    <t>Steak Set</t>
  </si>
  <si>
    <t>Block Set</t>
  </si>
  <si>
    <t>Santoku Set</t>
  </si>
  <si>
    <t>BBQ Premier Walnut Fish Turner 20"</t>
  </si>
  <si>
    <t>Leather Sheath</t>
  </si>
  <si>
    <t>Cleaver</t>
  </si>
  <si>
    <t>Server</t>
  </si>
  <si>
    <t>Masher</t>
  </si>
  <si>
    <t>Turner</t>
  </si>
  <si>
    <t>Kitchen Tool Set</t>
  </si>
  <si>
    <t>Dough Scraper</t>
  </si>
  <si>
    <t>ULU</t>
  </si>
  <si>
    <t>Cleaver Set</t>
  </si>
  <si>
    <t>Big HotSpot</t>
  </si>
  <si>
    <t>Honeycomb</t>
  </si>
  <si>
    <t>Funnel</t>
  </si>
  <si>
    <t>Original HotSpot</t>
  </si>
  <si>
    <t>Leather Sheath for Nakiri Knives</t>
  </si>
  <si>
    <t>Carry Bag for Tailgater BBQ Sets</t>
  </si>
  <si>
    <t>Carry Bag for Premier BBQ Sets</t>
  </si>
  <si>
    <t>BBQ Bag</t>
  </si>
  <si>
    <t>ICE Forged 6" Fillet/Boning Knife</t>
  </si>
  <si>
    <t>ICE Forged 10" Bread Knife, Serrated</t>
  </si>
  <si>
    <t>ICE Forged 7" Offset Bread, Serrated  Knife</t>
  </si>
  <si>
    <t>ICE Forged 8" Bread Knife, Serrated</t>
  </si>
  <si>
    <t>ICE Forged 10" Roast Knife, Kullenschliff Edge</t>
  </si>
  <si>
    <t xml:space="preserve">ICE Forged 10" Slicing Knife </t>
  </si>
  <si>
    <t>ICE Forged 8" Carving Knife</t>
  </si>
  <si>
    <t xml:space="preserve">ICE Forged 10" Chef Knife </t>
  </si>
  <si>
    <t>ICE Forged 4" Chef Knife</t>
  </si>
  <si>
    <t>ICE Forged 6" Chef Knife</t>
  </si>
  <si>
    <t>ICE Forged 8" Chef Knife</t>
  </si>
  <si>
    <t>ICE Forged 12" Serving Fork</t>
  </si>
  <si>
    <t>ICE Forged 7" Nakiri Knife, Kullenschliff Edge</t>
  </si>
  <si>
    <t>ICE Forged 2.5" Bird’s Beak Paring Knife</t>
  </si>
  <si>
    <t>ICE Forged 2.875" Trimming Paring Knife</t>
  </si>
  <si>
    <t>ICE Forged 3.5" Spear Tip Paring Knife</t>
  </si>
  <si>
    <t>ICE Forged 5" Santoku Knife, Kullenschliff Edge</t>
  </si>
  <si>
    <t>ICE Forged 7" Santoku Knife, Kullenschliff Edge</t>
  </si>
  <si>
    <t>ICE Forged 8" Santoku Cleaver</t>
  </si>
  <si>
    <t>ICE 10" Sharpening Steel</t>
  </si>
  <si>
    <t>ICE Forged 5" Steak Knife, Serrated</t>
  </si>
  <si>
    <t xml:space="preserve">ICE Forged 5" Steak, Fine Edge </t>
  </si>
  <si>
    <t>ICE Forged 5" Tomato Knife, Serrated</t>
  </si>
  <si>
    <t>ICE Forged 6" Utility Knife</t>
  </si>
  <si>
    <t>FIRE Forged 2-Pc Carving Knife Set (59945, 59960)</t>
  </si>
  <si>
    <t>FIRE Forged 2-Pc Roast Knife Set, K-edge (59959, 59960)</t>
  </si>
  <si>
    <t>FIRE Forged 3-Pc Chef Knife Set (59910, 59935, 59950)</t>
  </si>
  <si>
    <t>FIRE Forged 3-Pc Cook Knife Set (59910, 59923, 59950)</t>
  </si>
  <si>
    <t>FIRE Forged 4-Pc Cook Knife Set (59910, 59925, 59940, 59950)</t>
  </si>
  <si>
    <t>Lamson Adjustable Handheld Sharpener</t>
  </si>
  <si>
    <t>Brad Leone "Little B" 6" Chinese Santoku Cleaver, Walnut Handle</t>
  </si>
  <si>
    <t>Brad Leone "Bad Boy" 8" Chinese Santoku Cleaver, Walnut Handle</t>
  </si>
  <si>
    <t>Brad Leone Chinese Santoku Cleaver Set (56528 &amp; 56558), Walnut Handles</t>
  </si>
  <si>
    <t>Brad Leone Small Turner, POM Handle</t>
  </si>
  <si>
    <t>Brad Leone Medium Turner, POM Handle</t>
  </si>
  <si>
    <t>KnifeSafe™ Blade Guards - 5" Narrow</t>
  </si>
  <si>
    <t>KnifeSafe™ Blade Guards - 6.5" Narrow</t>
  </si>
  <si>
    <t>KnifeSafe™ Blade Guards - 7.5" Wide</t>
  </si>
  <si>
    <t>KnifeSafe™ Blade Guards - 8.5" Wide</t>
  </si>
  <si>
    <t>KnifeSafe™ Blade Guards - 8.5" Narrow</t>
  </si>
  <si>
    <t>KnifeSafe™ Blade Guards - 10.5" Wide</t>
  </si>
  <si>
    <t>KnifeSafe™ Blade Guards - 10.5" Narrow</t>
  </si>
  <si>
    <t>ICE Forged 2-Pc Carving Knife Set (69945, 69960)</t>
  </si>
  <si>
    <t>ICE Forged 2-Pc Roast Knife Set, K-edge (69959, 69960)</t>
  </si>
  <si>
    <t>ICE Forged 3-Pc Chef Knife Set (69910, 69935, 69950)</t>
  </si>
  <si>
    <t>ICE Forged 3-Pc Cook Knife Set (69910, 69923, 69950)</t>
  </si>
  <si>
    <t>ICE Forged 4-Pc Cook Knife Set (69910, 69925, 69940, 69950)</t>
  </si>
  <si>
    <t xml:space="preserve">ICE Forged 4-Pc Steak Knife Set, Fine Edge </t>
  </si>
  <si>
    <t>ICE Forged 4-Pc Steak Knife Set, Serrated</t>
  </si>
  <si>
    <t>ICE Forged 7-Pc Knife Block set, Natural Walnut Block</t>
  </si>
  <si>
    <t>ICE Forged 10-Pc Knife Block set, Natural Walnut Block</t>
  </si>
  <si>
    <t>ICE Forged 20-Pc Knife Block set, Natural Walnut Block, Fine Steak</t>
  </si>
  <si>
    <t>ICE Forged 22-Pc Knife Block set, Natural Walnut Block, Fine Steak</t>
  </si>
  <si>
    <t>Blade Guard</t>
  </si>
  <si>
    <t>Protection</t>
  </si>
  <si>
    <t xml:space="preserve">Original HotSpot™ (7" x 7") - Black </t>
  </si>
  <si>
    <t>HotHandle</t>
  </si>
  <si>
    <t>Maple 16-Slot Wood Block</t>
  </si>
  <si>
    <t>Maple 23-Slot Wood Block</t>
  </si>
  <si>
    <t>Walnut 16-Slot Wood Block</t>
  </si>
  <si>
    <t>Walnut 23-Slot Wood Block</t>
  </si>
  <si>
    <t>Acacia 16-Slot Wood Block</t>
  </si>
  <si>
    <t>Acacia 23-Slot Wood Block</t>
  </si>
  <si>
    <t>Birch 17-Slot In-Drawer Block</t>
  </si>
  <si>
    <t>Maple 18" Magnet Bar</t>
  </si>
  <si>
    <t>Walnut 18" Magnetic Bar</t>
  </si>
  <si>
    <t xml:space="preserve">Acacia Magnetic Knife and Tool Block </t>
  </si>
  <si>
    <t>Acacia 18" Magnetic Bar</t>
  </si>
  <si>
    <t>FIRE Handle Forged 6-Piece In-Drawer Block Set</t>
  </si>
  <si>
    <t>FIRE Handle Forged 9-Piece In-Drawer Block Set</t>
  </si>
  <si>
    <t>FIRE Handle Forged 17-Piece In-Drawer Block Set, Fine-Edge Steak</t>
  </si>
  <si>
    <t>FIRE Handle Forged 17-Piece In-Drawer Block Set, Serrated Steak</t>
  </si>
  <si>
    <t>ICE Handle Forged 6-Piece In-Drawer Block Set</t>
  </si>
  <si>
    <t>ICE Handle Forged 9-Piece In-Drawer Block Set</t>
  </si>
  <si>
    <t>ICE Handle Forged 17-Piece In-Drawer Block Set, Fine-Edge Steak</t>
  </si>
  <si>
    <t>ICE Handle Forged 17-Piece In-Drawer Block Set, Serrated Steak</t>
  </si>
  <si>
    <t>MIDNIGHT Handle Forged 6-Piece In-Drawer Block Set</t>
  </si>
  <si>
    <t>MIDNIGHT Handle Forged 9-Piece In-Drawer Block Set</t>
  </si>
  <si>
    <t>MIDNIGHT Handle Forged 17-Piece In-Drawer Block Set, Fine-Edge</t>
  </si>
  <si>
    <t>MIDNIGHT Handle Forged 17-Piece In-Drawer Block Set, Serrated</t>
  </si>
  <si>
    <t>SIERRA Handle Forged 6-Piece In-Drawer Block Set</t>
  </si>
  <si>
    <t>SIERRA Handle Forged 9-Piece In-Drawer Block Set</t>
  </si>
  <si>
    <t>SIERRA Handle Forged 17-Piece In-Drawer Block Set, Fine-Edge Steak</t>
  </si>
  <si>
    <t>SIERRA Handle Forged 17-Piece In-Drawer Block Set, Serrated Steak</t>
  </si>
  <si>
    <t>WALNUT Handle Forged 6-Piece In-Drawer Block Set</t>
  </si>
  <si>
    <t>WALNUT Handle Forged 9-Piece In-Drawer Block Set</t>
  </si>
  <si>
    <t>WALNUT Handle Forged 17-Piece In-Drawer Block Set, Fine-Edge Steak</t>
  </si>
  <si>
    <t>WALNUT Handle Forged 17-Piece In-Drawer Block Set, Serrated Steak</t>
  </si>
  <si>
    <t>2-Piece POM Turner Set Left-Hand (Slotted 52865 &amp; Stiff, 39577)</t>
  </si>
  <si>
    <t>WALNUT Handle Vintage 6-Piece IN-DRAWER Block Set</t>
  </si>
  <si>
    <t>WALNUT Handle Vintage 9-Piece IN-DRAWER Block Set</t>
  </si>
  <si>
    <t>WALNUT Handle Vintage 17-Piece IN-DRAWER Block Set - Fine-Edge Steak</t>
  </si>
  <si>
    <t>WALNUT Handle Vintage 17-Piece IN-DRAWER Block Set - Serrated Edge Steak</t>
  </si>
  <si>
    <t>CATEGORY</t>
  </si>
  <si>
    <t>HotSpot™</t>
  </si>
  <si>
    <t>KnifeSafe™</t>
  </si>
  <si>
    <t>BBQ Premier</t>
  </si>
  <si>
    <t>BBQ Tail-gater™</t>
  </si>
  <si>
    <t>Forged MIDNIGHT</t>
  </si>
  <si>
    <t>Forged WALNUT</t>
  </si>
  <si>
    <t>Vintage Walnut</t>
  </si>
  <si>
    <t>Brad Leone</t>
  </si>
  <si>
    <t>Forged FIRE</t>
  </si>
  <si>
    <t>Forged ICE</t>
  </si>
  <si>
    <t>Forged SIERRA</t>
  </si>
  <si>
    <t>Accessories</t>
  </si>
  <si>
    <t>Original HotSpot™ (7" x 7") - White</t>
  </si>
  <si>
    <t>Granny Tools</t>
  </si>
  <si>
    <t>Walnut Kitchen Tools</t>
  </si>
  <si>
    <t>POM Kitchen Tools</t>
  </si>
  <si>
    <t>Large Blade Utility Shears – Left Hand</t>
  </si>
  <si>
    <t>Small Blade Utility Shears – Right Hand</t>
  </si>
  <si>
    <t>Large Blade Utility Shears – Right Hand</t>
  </si>
  <si>
    <t>Small Blade Utility Shears - Left Hand</t>
  </si>
  <si>
    <t>Brad Leone Small Griddle Turner, Walnut Handle</t>
  </si>
  <si>
    <t>Brad Leone Medium Griddle Turner, Walnut Handle</t>
  </si>
  <si>
    <t xml:space="preserve"> Brad Leone Ultimate Large and Small Chinese Santoku Cleaver Set, Walnut</t>
  </si>
  <si>
    <t xml:space="preserve">Brad Leone 6" Chinese Santoku Cleaver with NOIR (POM Handle) </t>
  </si>
  <si>
    <t>Brad Leone Large &amp; Small Chinese Santoku Cleaver Set, (Noir) POM Handles</t>
  </si>
  <si>
    <t>Brad Leone 8" Chinese Santoku Cleaver with Noir (POM) Handles</t>
  </si>
  <si>
    <t>Brad Leone 5-Piece Ultimate Cleaver Set with NOIR (POM) Handles</t>
  </si>
  <si>
    <t>HotSpot™ HotHandle™  Large (6" x 1.5") - Red</t>
  </si>
  <si>
    <t>HotSpot™ HotHandle™  Large (6" x 1.5") - Black</t>
  </si>
  <si>
    <t>HoneyComb™ HotSpot™- (7" x 7") - Bittersweet</t>
  </si>
  <si>
    <t>HoneyComb™ HotSpot™- (7" x 7") - Olive</t>
  </si>
  <si>
    <t>HoneyComb™ HotSpot™- (7" x 7") - Black</t>
  </si>
  <si>
    <t xml:space="preserve">HoneyComb™ HotSpot™- (7" x 7") - Red </t>
  </si>
  <si>
    <t xml:space="preserve">HoneyComb™ HotSpot™- (7" x 7") - Gray </t>
  </si>
  <si>
    <t xml:space="preserve">HoneyComb™ HotSpot™- (7" x 7") - Green </t>
  </si>
  <si>
    <t>HoneyComb™ HotSpot™- (7" x 7") - Clear</t>
  </si>
  <si>
    <t>HoneyComb™ HotSpot™- (7" x 7") - Navy</t>
  </si>
  <si>
    <t>3" X 6" Dough Scraper, White Poly Handle</t>
  </si>
  <si>
    <t>3" X 6" Dough Scraper, Black Poly Handle</t>
  </si>
  <si>
    <t xml:space="preserve"> Leather Sheath for 12" Pizza Rocker/Cutter</t>
  </si>
  <si>
    <t>Cups</t>
  </si>
  <si>
    <t>Utensils</t>
  </si>
  <si>
    <t>Wood Block</t>
  </si>
  <si>
    <t>Magnet Bar</t>
  </si>
  <si>
    <t>6" Mini Masher, POM Handle</t>
  </si>
  <si>
    <t>4" Pie &amp; Cake Server, Wave Edge , POM Handle</t>
  </si>
  <si>
    <t>3" Sandwich Spreader, Wave Edge, POM Handle</t>
  </si>
  <si>
    <t>3" - 4" x 5" Flared Turner, Stiff, POM Handle</t>
  </si>
  <si>
    <t>8" x 3" Jumbo Fish/Asparagus Turner, POM Handle</t>
  </si>
  <si>
    <t>2" x 4" Slotted Turner, POM Handle</t>
  </si>
  <si>
    <t>3" x 5" Slotted Turner, POM Handle</t>
  </si>
  <si>
    <t>2" x 4" Turner, POM Handle</t>
  </si>
  <si>
    <t>3" x 5" Turner, POM Handle</t>
  </si>
  <si>
    <t>3" x 6" Chef’s Slotted Turner, Right-Hand, POM Handle</t>
  </si>
  <si>
    <t>2.5" x 2.5" Server/Turner, POM Handle</t>
  </si>
  <si>
    <t>3" x 8" Turner, POM Handle</t>
  </si>
  <si>
    <t>3" x 8" Perforated Turner, POM Handle</t>
  </si>
  <si>
    <t>4" x 9" Jumbo Chef’s Slotted Turner, Right-Hand, POM Handle</t>
  </si>
  <si>
    <t>4" x 9" Jumbo Chef’s Slotted Turner, Left-Hand, POM Handle</t>
  </si>
  <si>
    <t>6" Bowl Chopper, Maple Handle</t>
  </si>
  <si>
    <t>6" Bowl Chopper, Walnut Handle</t>
  </si>
  <si>
    <t>6" Ulu Knife, Walnut Handle</t>
  </si>
  <si>
    <t>7" Ulu Knife, Walnut Handle</t>
  </si>
  <si>
    <t>14" Pizza Rocker, Walnut Handle</t>
  </si>
  <si>
    <t>N/A</t>
  </si>
  <si>
    <t>Vintage PINK POM</t>
  </si>
  <si>
    <t>NOIR POM Handle Vintage 3.5" Paring Knife</t>
  </si>
  <si>
    <t>WALNUT Handle Vintage 4-pc Steak Knife Set, Fine Edge</t>
  </si>
  <si>
    <t>WALNUT Handle Vintage 20-Pc Block Set (Walnut Block) Fine Edge</t>
  </si>
  <si>
    <t>WALNUT Handle Vintage 20-Pc Block Set (Walnut Block) Serrated</t>
  </si>
  <si>
    <t>WALNUT Handle Vintage 10-Pc Block Set (Walnut Block)</t>
  </si>
  <si>
    <t>WALNUT Handle Vintage 7-Pc Block Set (Walnut Block)</t>
  </si>
  <si>
    <t>WALNUT Handle Vintage 3" x 6" Left-Hand Slotted Chef Turner</t>
  </si>
  <si>
    <t>WALNUT Handle Vintage 3" x 6" Right-Hand Slotted Chef Turner</t>
  </si>
  <si>
    <t>WALNUT Handle Vintage 3" x 5" Turner</t>
  </si>
  <si>
    <t>WALNUT Handle Vintage 2-Pc Chef Set (56510, 56556)</t>
  </si>
  <si>
    <t>NOIR POM Handle Vintage 5" Steak Knife, Serrated</t>
  </si>
  <si>
    <t>NOIR POM Handle Vintage 5" Steak Knife, Fine-Edge</t>
  </si>
  <si>
    <t>NOIR POM Handle Vintage 6" Utility Knife</t>
  </si>
  <si>
    <t>NOIR POM Handle Vintage 6" Boning Knife</t>
  </si>
  <si>
    <t>NOIR POM Handle Vintage 7" Santoku Knife, Kullenschliff Edge</t>
  </si>
  <si>
    <t>NOIR POM Handle Vintage 8" Chef Knife</t>
  </si>
  <si>
    <t>NOIR POM Handle Vintage 9" Slicing Knife</t>
  </si>
  <si>
    <t>NOIR POM Handle Vintage 8" Bread Knife</t>
  </si>
  <si>
    <t>NOIR POM Handle Vintage 5" Santoku Knife, Kullenschliff Edge</t>
  </si>
  <si>
    <t>NOIR POM Handle Vintage 7-Piece Block Set (Acacia Block)</t>
  </si>
  <si>
    <t>NOIR POM Handle Vintage 10-Piece Block Set (Acacia Block)</t>
  </si>
  <si>
    <t>NOIR POM Handle Vintage 20-Piece Block Set (Acacia Block), Serrated Steak</t>
  </si>
  <si>
    <t>NOIR POM Handle Vintage 20-Piece Block Set (Acacia Block), Fine-Edge Steak</t>
  </si>
  <si>
    <t>NOIR POM Handle Vintage 4" Pie &amp; Cake Server, Wave Edge</t>
  </si>
  <si>
    <t>NOIR POM Handle Vintage 2.5" x 4" Easy-Entry Turner</t>
  </si>
  <si>
    <t>NOIR POM Handle Vintage 6" Mini Masher</t>
  </si>
  <si>
    <t>NOIR POM Handle Vintage 7" Nakiri Knife, Kullenschliff Edge</t>
  </si>
  <si>
    <t>NOIR POM Handle Vintage 6-Piece IN-DRAWER Block Set</t>
  </si>
  <si>
    <t>NOIR POM Handle Vintage 9-Piece IN-DRAWER Block Set</t>
  </si>
  <si>
    <t>NOIR POM Handle Vintage 17-Piece IN-DRAWER Block Set - Fine-Edge</t>
  </si>
  <si>
    <t>NOIR POM Handle Vintage 17-Piece IN-DRAWER Block Set - Serrated Edge</t>
  </si>
  <si>
    <t>NOIR POM Handle Vintage 8" Chinese Santoku Cleaver</t>
  </si>
  <si>
    <t>NOIR POM Handle Vintage 6" Chinese Santoku Cleaver</t>
  </si>
  <si>
    <t>NOIR POM Handle Vintage 10" Serving Fork</t>
  </si>
  <si>
    <t>NOIR POM Handle Vintage 3-Piece Essential Set (04, 10, 13)</t>
  </si>
  <si>
    <t>NOIR POM Handle Vintage Chinese Santoku Set (56, 57)</t>
  </si>
  <si>
    <t>NOIR POM Handle Vintage 3-Piece Cook Knife Set (01, 04, 10)</t>
  </si>
  <si>
    <t>NOIR POM Handle Vintage 4-Piece Deluxe Cook Set (01,04,10,13)</t>
  </si>
  <si>
    <t>NOIR POM Handle Vintage 4-Piece Chef Set    (01,04,10,56)</t>
  </si>
  <si>
    <t>NOIR POM Handle Vintage 4-Piece Steak Knife Set, Serrated</t>
  </si>
  <si>
    <t>NOIR POM Handle Vintage 2-Piece Carving Knife Set (12,60)</t>
  </si>
  <si>
    <t>NOIR POM Handle Vintage 5-Piece Deluxe Chef Set (01,04,10,13,56)</t>
  </si>
  <si>
    <t>NOIR POM Handle Vintage 2-Piece Chef Set (10,56)</t>
  </si>
  <si>
    <t>NOIR POM Handle Vintage 6-Piece Cook's Set</t>
  </si>
  <si>
    <t>NOIR POM Vintage 3" x 5" Turner</t>
  </si>
  <si>
    <t>NOIR POM Vintage 3" x 6" Right-Hand Slotted Chef Turner</t>
  </si>
  <si>
    <t>NOIR POM Vintage 3" x 6" Left-Hand Slotted Chef Turner</t>
  </si>
  <si>
    <t>NOIR POM Handle Vintage 7-Piece Block Set (Walnut)</t>
  </si>
  <si>
    <t>NOIR POM Handle Vintage 10-Piece Block Set (Walnut)</t>
  </si>
  <si>
    <t>NOIR POM Handle Vintage 20-Piece Block Set, Serrated Steak (Walnut)</t>
  </si>
  <si>
    <t>NOIR POM Handle Vintage 20-Piece Block Set, Fine-Edge Steak (Walnut)</t>
  </si>
  <si>
    <t>NOIR POM Handle Vintage 4-Piece Steak Knife Set, Fine-Edge</t>
  </si>
  <si>
    <t xml:space="preserve">PINK POM Vintage 4" Pie &amp; Cake Server, Wave Edge, </t>
  </si>
  <si>
    <t>PINK POM Vintage Mini-Masher,</t>
  </si>
  <si>
    <t>PINK POM Vintage 3" x 6" Right-Hand Slotted Chef Turner</t>
  </si>
  <si>
    <t>PINK POM Vintage 3" x 6" Left-Hand Slotted Chef Turner</t>
  </si>
  <si>
    <t xml:space="preserve">PINK POM Vintage 2.5" x 4" Easy-Entry Turner, </t>
  </si>
  <si>
    <t>FIRE Handle Forged 7-Piece Block Set, Acacia Block,</t>
  </si>
  <si>
    <t>FIRE Handle Forged 10-Piece Block Set, Acacia Block,</t>
  </si>
  <si>
    <t>FIRE Handle Forged 20-Piece Block Set, Acacia Block, Serrated Steak</t>
  </si>
  <si>
    <t>FIRE Handle Forged 20-Piece Block Set, Acacia Block, Fine-Edge Steak</t>
  </si>
  <si>
    <t>FIRE Handle Forged 22-Piece Block Set, Acacia Block, Serrated Steak</t>
  </si>
  <si>
    <t>FIRE Handle Forged 22-Piece Block Set, Acacia Block, Fine-Edge Steak</t>
  </si>
  <si>
    <t>WALNUT Handle Vintage 10-Piece Block Set, Acacia Block,</t>
  </si>
  <si>
    <t>WALNUT Handle Vintage 20-Piece Block Set, Acacia Block, Serrated Steak</t>
  </si>
  <si>
    <t>MIDNIGHT Handle Forged 7-Piece Block Set, Acacia Block,</t>
  </si>
  <si>
    <t>MIDNIGHT Handle Forged 10-Piece Block Set, Acacia Block,</t>
  </si>
  <si>
    <t>MIDNIGHT Handle Forged 20-Piece Block Set, Acacia Block, Serrated</t>
  </si>
  <si>
    <t>MIDNIGHT Handle Forged 20-Piece Block Set, Acacia Block, Fine-Edge</t>
  </si>
  <si>
    <t>MIDNIGHT Handle Forged 22-Piece Block Set, Acacia Block, Serrated</t>
  </si>
  <si>
    <t>MIDNIGHT Handle Forged 22-Piece Block Set, Acacia Block, Fine-Edge</t>
  </si>
  <si>
    <t>WALNUT Handle Forged 7-Piece Block Set, Acacia Block,</t>
  </si>
  <si>
    <t>WALNUT Handle Forged 10-Piece Block Set, Acacia Block,</t>
  </si>
  <si>
    <t>WALNUT Handle Forged 20-Piece Block Set, Acacia Block, Serrated, Steak</t>
  </si>
  <si>
    <t>WALNUT Handle Forged 20-Piece Block Set, Acacia Block, Fine-Edge Steak</t>
  </si>
  <si>
    <t>WALNUT Handle Forged 22-Piece Block Set, Acacia Block, Serrated Steak</t>
  </si>
  <si>
    <t>WALNUT Handle Forged 22-Piece Block Set, Acacia Block, Fine-Edge Steak</t>
  </si>
  <si>
    <t>WALNUT Handle Vintage 7-Piece Block Set, Acacia Block,</t>
  </si>
  <si>
    <t>ICE Handle Forged 7-Piece Block Set, Acacia Block,</t>
  </si>
  <si>
    <t>ICE Handle Forged 10-Piece Block Set, Acacia Block,</t>
  </si>
  <si>
    <t>ICE Handle Forged 20-Piece Block Set, Acacia Block, Serrated Steak</t>
  </si>
  <si>
    <t>ICE Handle Forged 20-Piece Block Set, Acacia Block, Fine-Edge Steak</t>
  </si>
  <si>
    <t>ICE Handle Forged 22-Piece Block Set, Acacia Block, Serrated Steak</t>
  </si>
  <si>
    <t>ICE Handle Forged 22-Piece Block Set, Acacia Block, Fine-Edge Steak</t>
  </si>
  <si>
    <t>SIERRA Handle Forged 7-Piece Block Set, Acacia Block,</t>
  </si>
  <si>
    <t>SIERRA Handle Forged 10-Piece Block Set, Acacia Block,</t>
  </si>
  <si>
    <t>SIERRA Handle Forged 20-Piece Block Set, Acacia Block, Serrated Steak</t>
  </si>
  <si>
    <t>SIERRA Handle Forged 20-Piece Block Set, Acacia Block, Fine-Edge Steak</t>
  </si>
  <si>
    <t>SIERRA Handle Forged 22-Piece Block Set, Acacia Block, Serrated Steak</t>
  </si>
  <si>
    <t>SIERRA Handle Forged 22-Piece Block Set, Acacia Block, Fine-Edge Steak</t>
  </si>
  <si>
    <t>WALNUT Handle Vintage 20-Piece Block Set, Acacia Block, Fine-Edge Steak</t>
  </si>
  <si>
    <t>MIDNIGHT Forged 7-Pc Knife Block set, Maple Block</t>
  </si>
  <si>
    <t>MIDNIGHT Forged 10-Pc Knife Block set, Maple Block</t>
  </si>
  <si>
    <t>MIDNIGHT Forged 20-Pc Knife Block set, Maple Block, Fine Steak</t>
  </si>
  <si>
    <t>MIDNIGHT Forged 22-Pc Knife Block set, Maple Block, Fine Steak</t>
  </si>
  <si>
    <t>WALNUT Forged 7-Pc Knife Block set, Maple Block</t>
  </si>
  <si>
    <t>WALNUT Forged 10-Pc Knife Block set, Maple Block</t>
  </si>
  <si>
    <t>WALNUT Forged 20-Pc Knife Block set, Maple Block, Fine Steak</t>
  </si>
  <si>
    <t>WALNUT Forged 22-Pc Knife Block set, Maple Block, Fine Steak</t>
  </si>
  <si>
    <t>WALNUT Vintage 7-Pc Block Set ( Maple Block)</t>
  </si>
  <si>
    <t>WALNUT Vintage 10-Pc Block Set (Maple Block)</t>
  </si>
  <si>
    <t>WALNUT Vintage 20-Pc Block Set (Maple Block) Serrated</t>
  </si>
  <si>
    <t>WALNUT Vintage 20-Pc Block Set (Maple Block) Fine Edge</t>
  </si>
  <si>
    <t>NOIR POM Handle Vintage 7-Piece Block Set (Maple)</t>
  </si>
  <si>
    <t>NOIR POM Handle Vintage 10-Piece Block Set (Maple)</t>
  </si>
  <si>
    <t>NOIR  POM Handle Vintage 20-Piece Block Set (Maple) Serrated</t>
  </si>
  <si>
    <t>NOIR POM Handle Vintage 20-Piece Block Set (Maple) Fine-Edge</t>
  </si>
  <si>
    <t>FIRE Forged 7-Pc Knife Block set, Maple Block</t>
  </si>
  <si>
    <t>FIRE Forged 10-Pc Knife Block set, Maple Block</t>
  </si>
  <si>
    <t>FIRE Forged 20-Pc Knife Block set, Maple Block, Fine Steak</t>
  </si>
  <si>
    <t>FIRE Forged 22-Pc Knife Block set, Maple Block, Fine Steak</t>
  </si>
  <si>
    <t>ICE Forged 7-Pc Knife Block set, Maple Block</t>
  </si>
  <si>
    <t>ICE Forged 10-Pc Knife Block set, Maple Block</t>
  </si>
  <si>
    <t>ICE Forged 20-Pc Knife Block set, Maple Block, Fine Steak</t>
  </si>
  <si>
    <t>ICE Forged 22-Pc Knife Block set, Maple Block, Fine Steak</t>
  </si>
  <si>
    <t>SIERRA Forged 7-Pc Knife Block set, Maple Block</t>
  </si>
  <si>
    <t>SIERRA Forged 10-Pc Knife Block set, Maple Block</t>
  </si>
  <si>
    <t>SIERRA Forged 20-Pc Knife Block set, Maple Block, Fine Steak</t>
  </si>
  <si>
    <t>SIERRA Forged 22-Pc Knife Block set, Maple Block, Fine Steak</t>
  </si>
  <si>
    <t>MIDNIGHT Forged 20-Pc Knife Block set, Maple Block, Serrated Steak</t>
  </si>
  <si>
    <t>MIDNIGHT Forged 22-Pc Knife Block set, Maple Block, Serrated Steak</t>
  </si>
  <si>
    <t>MIDNIGHT Forged 20-Pc Knife Block set, Natural Walnut Block, Serrated Steak</t>
  </si>
  <si>
    <t>MIDNIGHT Forged 22-Pc Knife Block set, Natural Walnut Block, Serrated Steak</t>
  </si>
  <si>
    <t>WALNUT Forged 20-Pc Knife Block set, Maple Block, Serrated Steak</t>
  </si>
  <si>
    <t>WALNUT Forged 22-Pc Knife Block set, Maple Block, Serrated Steak</t>
  </si>
  <si>
    <t>WALNUT Forged 20-Pc Knife Block set, Natural Walnut Block, Serrated Steak</t>
  </si>
  <si>
    <t>WALNUT Forged 22-Pc Knife Block set, Natural Walnut Block, Serrated Steak</t>
  </si>
  <si>
    <t>FIRE Forged 20-Pc Knife Block set, Maple Block, Serrated Steak</t>
  </si>
  <si>
    <t>FIRE Forged 22-Pc Knife Block set, Maple Block, Serrated Steak</t>
  </si>
  <si>
    <t>FIRE Forged 20-Pc Knife Block set, Natural Walnut Block, Serrated Steak</t>
  </si>
  <si>
    <t>FIRE Forged 22-Pc Knife Block set, Natural Walnut Block, Serrated Steak</t>
  </si>
  <si>
    <t>ICE Forged 20-Pc Knife Block set, Maple Block, Serrated Steak</t>
  </si>
  <si>
    <t>ICE Forged 22-Pc Knife Block set, Maple Block, Serrated Steak</t>
  </si>
  <si>
    <t>ICE Forged 20-Pc Knife Block set, Natural Walnut Block, Serrated Steak</t>
  </si>
  <si>
    <t>ICE Forged 22-Pc Knife Block set, Natural Walnut Block, Serrated Steak</t>
  </si>
  <si>
    <t>SIERRA Forged 20-Pc Knife Block set, Maple Block, Serrated Steak</t>
  </si>
  <si>
    <t>SIERRA Forged 22-Pc Knife Block set, Maple Block, Serrated Steak</t>
  </si>
  <si>
    <t>SIERRA Forged 20-Pc Knife Block set, Natural Walnut Block, Serrated Steak</t>
  </si>
  <si>
    <t>SIERRA Forged 22-Pc Knife Block set, Natural Walnut Block, Serrated Steak</t>
  </si>
  <si>
    <t>4" Shrimp Deveiner, Walnut Handle</t>
  </si>
  <si>
    <t>8" Chinese Santoku Cleaver, Walnut, W/Care Kit, (33658, 05050, 05099, 52818)</t>
  </si>
  <si>
    <t>BBQ Premier 3-Pc Set 20" (Fork, Turner, Tongs, carrying bag)</t>
  </si>
  <si>
    <t>BBQ Premier 4-Pc Set 20" (Fork, Turner, Tongs, Slotted Turner, carrying bag)</t>
  </si>
  <si>
    <t>Bartender's Multi-Function Wine Opening Tool</t>
  </si>
  <si>
    <t>Bar Tools</t>
  </si>
  <si>
    <t>59985-1</t>
  </si>
  <si>
    <t>59986-1</t>
  </si>
  <si>
    <t>59995-1</t>
  </si>
  <si>
    <t>59996-1</t>
  </si>
  <si>
    <t>79985-1</t>
  </si>
  <si>
    <t>79986-1</t>
  </si>
  <si>
    <t>79995-1</t>
  </si>
  <si>
    <t>79996-1</t>
  </si>
  <si>
    <t>39886-1</t>
  </si>
  <si>
    <t>39895-1</t>
  </si>
  <si>
    <t>39896-1</t>
  </si>
  <si>
    <t>69985-1</t>
  </si>
  <si>
    <t>69986-1</t>
  </si>
  <si>
    <t>69995-1</t>
  </si>
  <si>
    <t>69996-1</t>
  </si>
  <si>
    <t>NO</t>
  </si>
  <si>
    <t>YES</t>
  </si>
  <si>
    <t>02020</t>
  </si>
  <si>
    <t>P</t>
  </si>
  <si>
    <t>EA</t>
  </si>
  <si>
    <t>05050</t>
  </si>
  <si>
    <t>05051</t>
  </si>
  <si>
    <t>05072</t>
  </si>
  <si>
    <t>SET</t>
  </si>
  <si>
    <t>05097</t>
  </si>
  <si>
    <t>05099</t>
  </si>
  <si>
    <t>05123</t>
  </si>
  <si>
    <t>06010</t>
  </si>
  <si>
    <t>06023</t>
  </si>
  <si>
    <t>06024</t>
  </si>
  <si>
    <t>06027</t>
  </si>
  <si>
    <t>06030</t>
  </si>
  <si>
    <t>06040</t>
  </si>
  <si>
    <t>06200</t>
  </si>
  <si>
    <t>06204</t>
  </si>
  <si>
    <t>06206</t>
  </si>
  <si>
    <t>06208</t>
  </si>
  <si>
    <t>06214</t>
  </si>
  <si>
    <t>06216</t>
  </si>
  <si>
    <t>06218</t>
  </si>
  <si>
    <t>06230</t>
  </si>
  <si>
    <t>07086</t>
  </si>
  <si>
    <t>07088</t>
  </si>
  <si>
    <t>07090</t>
  </si>
  <si>
    <t>07091</t>
  </si>
  <si>
    <t>07510</t>
  </si>
  <si>
    <t>07511</t>
  </si>
  <si>
    <t>07512</t>
  </si>
  <si>
    <t>07513</t>
  </si>
  <si>
    <t>07514</t>
  </si>
  <si>
    <t>07450</t>
  </si>
  <si>
    <t>07454</t>
  </si>
  <si>
    <t>07455</t>
  </si>
  <si>
    <t>07456</t>
  </si>
  <si>
    <t>07457</t>
  </si>
  <si>
    <t>07458</t>
  </si>
  <si>
    <t>07459</t>
  </si>
  <si>
    <t>07469</t>
  </si>
  <si>
    <t>07300</t>
  </si>
  <si>
    <t>07304</t>
  </si>
  <si>
    <t>07308</t>
  </si>
  <si>
    <t>07309</t>
  </si>
  <si>
    <t>07447</t>
  </si>
  <si>
    <t>07004</t>
  </si>
  <si>
    <t>07006</t>
  </si>
  <si>
    <t>07008</t>
  </si>
  <si>
    <t>07010</t>
  </si>
  <si>
    <t>07012</t>
  </si>
  <si>
    <t>07074</t>
  </si>
  <si>
    <t>07242</t>
  </si>
  <si>
    <t>07394</t>
  </si>
  <si>
    <t>07395</t>
  </si>
  <si>
    <t>07426</t>
  </si>
  <si>
    <t>07427</t>
  </si>
  <si>
    <t>07446</t>
  </si>
  <si>
    <t>10110</t>
  </si>
  <si>
    <t>10111</t>
  </si>
  <si>
    <t>10112</t>
  </si>
  <si>
    <t>10113</t>
  </si>
  <si>
    <t>20204</t>
  </si>
  <si>
    <t>20360</t>
  </si>
  <si>
    <t>M</t>
  </si>
  <si>
    <t>32425</t>
  </si>
  <si>
    <t>32475</t>
  </si>
  <si>
    <t>33060</t>
  </si>
  <si>
    <t>33100</t>
  </si>
  <si>
    <t>33119</t>
  </si>
  <si>
    <t>33120</t>
  </si>
  <si>
    <t>33400</t>
  </si>
  <si>
    <t>33402</t>
  </si>
  <si>
    <t>33420</t>
  </si>
  <si>
    <t>33430</t>
  </si>
  <si>
    <t>33440</t>
  </si>
  <si>
    <t>33570</t>
  </si>
  <si>
    <t>33571</t>
  </si>
  <si>
    <t>33572</t>
  </si>
  <si>
    <t>33573</t>
  </si>
  <si>
    <t>33574</t>
  </si>
  <si>
    <t>33579</t>
  </si>
  <si>
    <t>33600</t>
  </si>
  <si>
    <t>33658</t>
  </si>
  <si>
    <t>33670</t>
  </si>
  <si>
    <t>33671</t>
  </si>
  <si>
    <t>33672</t>
  </si>
  <si>
    <t>33673</t>
  </si>
  <si>
    <t>33674</t>
  </si>
  <si>
    <t>33675</t>
  </si>
  <si>
    <t>33720</t>
  </si>
  <si>
    <t>33730</t>
  </si>
  <si>
    <t>33777</t>
  </si>
  <si>
    <t>33778</t>
  </si>
  <si>
    <t>33779</t>
  </si>
  <si>
    <t>33782</t>
  </si>
  <si>
    <t>33807</t>
  </si>
  <si>
    <t>33820</t>
  </si>
  <si>
    <t>33835</t>
  </si>
  <si>
    <t>33980</t>
  </si>
  <si>
    <t>34000</t>
  </si>
  <si>
    <t>34120</t>
  </si>
  <si>
    <t>34220</t>
  </si>
  <si>
    <t>34222</t>
  </si>
  <si>
    <t>34240</t>
  </si>
  <si>
    <t>34245</t>
  </si>
  <si>
    <t>34250</t>
  </si>
  <si>
    <t>34255</t>
  </si>
  <si>
    <t>34270</t>
  </si>
  <si>
    <t>34271</t>
  </si>
  <si>
    <t>34410</t>
  </si>
  <si>
    <t>34412</t>
  </si>
  <si>
    <t>34414</t>
  </si>
  <si>
    <t>39200</t>
  </si>
  <si>
    <t>39201</t>
  </si>
  <si>
    <t>39202</t>
  </si>
  <si>
    <t>39203</t>
  </si>
  <si>
    <t>39204</t>
  </si>
  <si>
    <t>39205</t>
  </si>
  <si>
    <t>39206</t>
  </si>
  <si>
    <t>39207</t>
  </si>
  <si>
    <t>39210</t>
  </si>
  <si>
    <t>39211</t>
  </si>
  <si>
    <t>39215</t>
  </si>
  <si>
    <t>39217</t>
  </si>
  <si>
    <t>39220</t>
  </si>
  <si>
    <t>39223</t>
  </si>
  <si>
    <t>39225</t>
  </si>
  <si>
    <t>39226</t>
  </si>
  <si>
    <t>39227</t>
  </si>
  <si>
    <t>39228</t>
  </si>
  <si>
    <t>39229</t>
  </si>
  <si>
    <t>39235</t>
  </si>
  <si>
    <t>39238</t>
  </si>
  <si>
    <t>39240</t>
  </si>
  <si>
    <t>39243</t>
  </si>
  <si>
    <t>39245</t>
  </si>
  <si>
    <t>39248</t>
  </si>
  <si>
    <t>39249</t>
  </si>
  <si>
    <t>39250</t>
  </si>
  <si>
    <t>39252</t>
  </si>
  <si>
    <t>39253</t>
  </si>
  <si>
    <t>39255</t>
  </si>
  <si>
    <t>39257</t>
  </si>
  <si>
    <t>39258</t>
  </si>
  <si>
    <t>39259</t>
  </si>
  <si>
    <t>39260</t>
  </si>
  <si>
    <t>39263</t>
  </si>
  <si>
    <t>39264</t>
  </si>
  <si>
    <t>39268</t>
  </si>
  <si>
    <t>39269</t>
  </si>
  <si>
    <t>39273</t>
  </si>
  <si>
    <t>39274</t>
  </si>
  <si>
    <t>39283</t>
  </si>
  <si>
    <t>39284</t>
  </si>
  <si>
    <t>39285</t>
  </si>
  <si>
    <t>39286</t>
  </si>
  <si>
    <t>39287</t>
  </si>
  <si>
    <t>39288</t>
  </si>
  <si>
    <t>39289</t>
  </si>
  <si>
    <t>39290</t>
  </si>
  <si>
    <t>39292</t>
  </si>
  <si>
    <t>39295</t>
  </si>
  <si>
    <t>39296</t>
  </si>
  <si>
    <t>39297</t>
  </si>
  <si>
    <t>39298</t>
  </si>
  <si>
    <t>39455</t>
  </si>
  <si>
    <t>39468</t>
  </si>
  <si>
    <t>39530</t>
  </si>
  <si>
    <t>39547</t>
  </si>
  <si>
    <t>39566</t>
  </si>
  <si>
    <t>39567</t>
  </si>
  <si>
    <t>39570</t>
  </si>
  <si>
    <t>39571</t>
  </si>
  <si>
    <t>39572</t>
  </si>
  <si>
    <t>39573</t>
  </si>
  <si>
    <t>39574</t>
  </si>
  <si>
    <t>39577</t>
  </si>
  <si>
    <t>39579</t>
  </si>
  <si>
    <t>39580</t>
  </si>
  <si>
    <t>39583</t>
  </si>
  <si>
    <t>39584</t>
  </si>
  <si>
    <t>39585</t>
  </si>
  <si>
    <t>39586</t>
  </si>
  <si>
    <t>39590</t>
  </si>
  <si>
    <t>39593</t>
  </si>
  <si>
    <t>39758</t>
  </si>
  <si>
    <t>39800</t>
  </si>
  <si>
    <t>39801</t>
  </si>
  <si>
    <t>39802</t>
  </si>
  <si>
    <t>39803</t>
  </si>
  <si>
    <t>39804</t>
  </si>
  <si>
    <t>39805</t>
  </si>
  <si>
    <t>39806</t>
  </si>
  <si>
    <t>39807</t>
  </si>
  <si>
    <t>39810</t>
  </si>
  <si>
    <t>39811</t>
  </si>
  <si>
    <t>39815</t>
  </si>
  <si>
    <t>39817</t>
  </si>
  <si>
    <t>39820</t>
  </si>
  <si>
    <t>39823</t>
  </si>
  <si>
    <t>39825</t>
  </si>
  <si>
    <t>39826</t>
  </si>
  <si>
    <t>39827</t>
  </si>
  <si>
    <t>39828</t>
  </si>
  <si>
    <t>39829</t>
  </si>
  <si>
    <t>39835</t>
  </si>
  <si>
    <t>39838</t>
  </si>
  <si>
    <t>39840</t>
  </si>
  <si>
    <t>39843</t>
  </si>
  <si>
    <t>39845</t>
  </si>
  <si>
    <t>39848</t>
  </si>
  <si>
    <t>39849</t>
  </si>
  <si>
    <t>39850</t>
  </si>
  <si>
    <t>39852</t>
  </si>
  <si>
    <t>39853</t>
  </si>
  <si>
    <t>39855</t>
  </si>
  <si>
    <t>39857</t>
  </si>
  <si>
    <t>39858</t>
  </si>
  <si>
    <t>39859</t>
  </si>
  <si>
    <t>39860</t>
  </si>
  <si>
    <t>39863</t>
  </si>
  <si>
    <t>39864</t>
  </si>
  <si>
    <t>39868</t>
  </si>
  <si>
    <t>39869</t>
  </si>
  <si>
    <t>39873</t>
  </si>
  <si>
    <t>39874</t>
  </si>
  <si>
    <t>39883</t>
  </si>
  <si>
    <t>39884</t>
  </si>
  <si>
    <t>39885</t>
  </si>
  <si>
    <t>39886</t>
  </si>
  <si>
    <t>39887</t>
  </si>
  <si>
    <t>39888</t>
  </si>
  <si>
    <t>39889</t>
  </si>
  <si>
    <t>39890</t>
  </si>
  <si>
    <t>39892</t>
  </si>
  <si>
    <t>39895</t>
  </si>
  <si>
    <t>39896</t>
  </si>
  <si>
    <t>39897</t>
  </si>
  <si>
    <t>39898</t>
  </si>
  <si>
    <t>52807</t>
  </si>
  <si>
    <t>52808</t>
  </si>
  <si>
    <t>52816</t>
  </si>
  <si>
    <t>52817</t>
  </si>
  <si>
    <t>52818</t>
  </si>
  <si>
    <t>52819</t>
  </si>
  <si>
    <t>52820</t>
  </si>
  <si>
    <t>52821</t>
  </si>
  <si>
    <t>52822</t>
  </si>
  <si>
    <t>52823</t>
  </si>
  <si>
    <t>52865</t>
  </si>
  <si>
    <t>56501</t>
  </si>
  <si>
    <t>56502</t>
  </si>
  <si>
    <t>56503</t>
  </si>
  <si>
    <t>56504</t>
  </si>
  <si>
    <t>56507</t>
  </si>
  <si>
    <t>56509</t>
  </si>
  <si>
    <t>56510</t>
  </si>
  <si>
    <t>56512</t>
  </si>
  <si>
    <t>56513</t>
  </si>
  <si>
    <t>56523</t>
  </si>
  <si>
    <t>56524</t>
  </si>
  <si>
    <t>56525</t>
  </si>
  <si>
    <t>56526</t>
  </si>
  <si>
    <t>56527</t>
  </si>
  <si>
    <t>56528</t>
  </si>
  <si>
    <t>56533</t>
  </si>
  <si>
    <t>56534</t>
  </si>
  <si>
    <t>56538</t>
  </si>
  <si>
    <t>56539</t>
  </si>
  <si>
    <t>56540</t>
  </si>
  <si>
    <t>56543</t>
  </si>
  <si>
    <t>56544</t>
  </si>
  <si>
    <t>56545</t>
  </si>
  <si>
    <t>56546</t>
  </si>
  <si>
    <t>56547</t>
  </si>
  <si>
    <t>56548</t>
  </si>
  <si>
    <t>56549</t>
  </si>
  <si>
    <t>56550</t>
  </si>
  <si>
    <t>56551</t>
  </si>
  <si>
    <t>56555</t>
  </si>
  <si>
    <t>56556</t>
  </si>
  <si>
    <t>56557</t>
  </si>
  <si>
    <t>56558</t>
  </si>
  <si>
    <t>56560</t>
  </si>
  <si>
    <t>56561</t>
  </si>
  <si>
    <t>56562</t>
  </si>
  <si>
    <t>56563</t>
  </si>
  <si>
    <t>56566</t>
  </si>
  <si>
    <t>56567</t>
  </si>
  <si>
    <t>56568</t>
  </si>
  <si>
    <t>56569</t>
  </si>
  <si>
    <t>56570</t>
  </si>
  <si>
    <t>56571</t>
  </si>
  <si>
    <t>56572</t>
  </si>
  <si>
    <t>56573</t>
  </si>
  <si>
    <t>56574</t>
  </si>
  <si>
    <t>56577</t>
  </si>
  <si>
    <t>56578</t>
  </si>
  <si>
    <t>56584</t>
  </si>
  <si>
    <t>56585</t>
  </si>
  <si>
    <t>56586</t>
  </si>
  <si>
    <t>56587</t>
  </si>
  <si>
    <t>56592</t>
  </si>
  <si>
    <t>56601</t>
  </si>
  <si>
    <t>56602</t>
  </si>
  <si>
    <t>56603</t>
  </si>
  <si>
    <t>56604</t>
  </si>
  <si>
    <t>56607</t>
  </si>
  <si>
    <t>56609</t>
  </si>
  <si>
    <t>56610</t>
  </si>
  <si>
    <t>56612</t>
  </si>
  <si>
    <t>56613</t>
  </si>
  <si>
    <t>56623</t>
  </si>
  <si>
    <t>56624</t>
  </si>
  <si>
    <t>56625</t>
  </si>
  <si>
    <t>56626</t>
  </si>
  <si>
    <t>56627</t>
  </si>
  <si>
    <t>56628</t>
  </si>
  <si>
    <t>56638</t>
  </si>
  <si>
    <t>56639</t>
  </si>
  <si>
    <t>56640</t>
  </si>
  <si>
    <t>56643</t>
  </si>
  <si>
    <t>56644</t>
  </si>
  <si>
    <t>56645</t>
  </si>
  <si>
    <t>56646</t>
  </si>
  <si>
    <t>56647</t>
  </si>
  <si>
    <t>56648</t>
  </si>
  <si>
    <t>56649</t>
  </si>
  <si>
    <t>56650</t>
  </si>
  <si>
    <t>56651</t>
  </si>
  <si>
    <t>56655</t>
  </si>
  <si>
    <t>56656</t>
  </si>
  <si>
    <t>56657</t>
  </si>
  <si>
    <t>56658</t>
  </si>
  <si>
    <t>56660</t>
  </si>
  <si>
    <t>56661</t>
  </si>
  <si>
    <t>56662</t>
  </si>
  <si>
    <t>56663</t>
  </si>
  <si>
    <t>56666</t>
  </si>
  <si>
    <t>56667</t>
  </si>
  <si>
    <t>56668</t>
  </si>
  <si>
    <t>56669</t>
  </si>
  <si>
    <t>56670</t>
  </si>
  <si>
    <t>56671</t>
  </si>
  <si>
    <t>56672</t>
  </si>
  <si>
    <t>56673</t>
  </si>
  <si>
    <t>56674</t>
  </si>
  <si>
    <t>56677</t>
  </si>
  <si>
    <t>56678</t>
  </si>
  <si>
    <t>56684</t>
  </si>
  <si>
    <t>56685</t>
  </si>
  <si>
    <t>56686</t>
  </si>
  <si>
    <t>56687</t>
  </si>
  <si>
    <t>56692</t>
  </si>
  <si>
    <t>56738</t>
  </si>
  <si>
    <t>56739</t>
  </si>
  <si>
    <t>56740</t>
  </si>
  <si>
    <t>56777</t>
  </si>
  <si>
    <t>56778</t>
  </si>
  <si>
    <t>56864</t>
  </si>
  <si>
    <t>56865</t>
  </si>
  <si>
    <t>56866</t>
  </si>
  <si>
    <t>56867</t>
  </si>
  <si>
    <t>56868</t>
  </si>
  <si>
    <t>56880</t>
  </si>
  <si>
    <t>56889</t>
  </si>
  <si>
    <t>56890</t>
  </si>
  <si>
    <t>56891</t>
  </si>
  <si>
    <t>56892</t>
  </si>
  <si>
    <t>56893</t>
  </si>
  <si>
    <t>56894</t>
  </si>
  <si>
    <t>56895</t>
  </si>
  <si>
    <t>59900</t>
  </si>
  <si>
    <t>59901</t>
  </si>
  <si>
    <t>59902</t>
  </si>
  <si>
    <t>59903</t>
  </si>
  <si>
    <t>59904</t>
  </si>
  <si>
    <t>59905</t>
  </si>
  <si>
    <t>59906</t>
  </si>
  <si>
    <t>59907</t>
  </si>
  <si>
    <t>59910</t>
  </si>
  <si>
    <t>59911</t>
  </si>
  <si>
    <t>59915</t>
  </si>
  <si>
    <t>59917</t>
  </si>
  <si>
    <t>59920</t>
  </si>
  <si>
    <t>59923</t>
  </si>
  <si>
    <t>59925</t>
  </si>
  <si>
    <t>59926</t>
  </si>
  <si>
    <t>59927</t>
  </si>
  <si>
    <t>59928</t>
  </si>
  <si>
    <t>59929</t>
  </si>
  <si>
    <t>59935</t>
  </si>
  <si>
    <t>59938</t>
  </si>
  <si>
    <t>59940</t>
  </si>
  <si>
    <t>59943</t>
  </si>
  <si>
    <t>59945</t>
  </si>
  <si>
    <t>59948</t>
  </si>
  <si>
    <t>59949</t>
  </si>
  <si>
    <t>59950</t>
  </si>
  <si>
    <t>59952</t>
  </si>
  <si>
    <t>59953</t>
  </si>
  <si>
    <t>59955</t>
  </si>
  <si>
    <t>59957</t>
  </si>
  <si>
    <t>59958</t>
  </si>
  <si>
    <t>59959</t>
  </si>
  <si>
    <t>59960</t>
  </si>
  <si>
    <t>59963</t>
  </si>
  <si>
    <t>59964</t>
  </si>
  <si>
    <t>59968</t>
  </si>
  <si>
    <t>59969</t>
  </si>
  <si>
    <t>59973</t>
  </si>
  <si>
    <t>59974</t>
  </si>
  <si>
    <t>59983</t>
  </si>
  <si>
    <t>59984</t>
  </si>
  <si>
    <t>59985</t>
  </si>
  <si>
    <t>59986</t>
  </si>
  <si>
    <t>59987</t>
  </si>
  <si>
    <t>59988</t>
  </si>
  <si>
    <t>59989</t>
  </si>
  <si>
    <t>59990</t>
  </si>
  <si>
    <t>59992</t>
  </si>
  <si>
    <t>59995</t>
  </si>
  <si>
    <t>59996</t>
  </si>
  <si>
    <t>59997</t>
  </si>
  <si>
    <t>59998</t>
  </si>
  <si>
    <t>69900</t>
  </si>
  <si>
    <t>69901</t>
  </si>
  <si>
    <t>69902</t>
  </si>
  <si>
    <t>69903</t>
  </si>
  <si>
    <t>69904</t>
  </si>
  <si>
    <t>69905</t>
  </si>
  <si>
    <t>69906</t>
  </si>
  <si>
    <t>69907</t>
  </si>
  <si>
    <t>69910</t>
  </si>
  <si>
    <t>69911</t>
  </si>
  <si>
    <t>69915</t>
  </si>
  <si>
    <t>69917</t>
  </si>
  <si>
    <t>69920</t>
  </si>
  <si>
    <t>69923</t>
  </si>
  <si>
    <t>69925</t>
  </si>
  <si>
    <t>69926</t>
  </si>
  <si>
    <t>69927</t>
  </si>
  <si>
    <t>69928</t>
  </si>
  <si>
    <t>69929</t>
  </si>
  <si>
    <t>69935</t>
  </si>
  <si>
    <t>69938</t>
  </si>
  <si>
    <t>69940</t>
  </si>
  <si>
    <t>69943</t>
  </si>
  <si>
    <t>69945</t>
  </si>
  <si>
    <t>69948</t>
  </si>
  <si>
    <t>69949</t>
  </si>
  <si>
    <t>69950</t>
  </si>
  <si>
    <t>69952</t>
  </si>
  <si>
    <t>69953</t>
  </si>
  <si>
    <t>69955</t>
  </si>
  <si>
    <t>69957</t>
  </si>
  <si>
    <t>69958</t>
  </si>
  <si>
    <t>69959</t>
  </si>
  <si>
    <t>69960</t>
  </si>
  <si>
    <t>69963</t>
  </si>
  <si>
    <t>69964</t>
  </si>
  <si>
    <t>69968</t>
  </si>
  <si>
    <t>69969</t>
  </si>
  <si>
    <t>69973</t>
  </si>
  <si>
    <t>69974</t>
  </si>
  <si>
    <t>69983</t>
  </si>
  <si>
    <t>69984</t>
  </si>
  <si>
    <t>69985</t>
  </si>
  <si>
    <t>69986</t>
  </si>
  <si>
    <t>69987</t>
  </si>
  <si>
    <t>69988</t>
  </si>
  <si>
    <t>69989</t>
  </si>
  <si>
    <t>69990</t>
  </si>
  <si>
    <t>69992</t>
  </si>
  <si>
    <t>69995</t>
  </si>
  <si>
    <t>69996</t>
  </si>
  <si>
    <t>69997</t>
  </si>
  <si>
    <t>69998</t>
  </si>
  <si>
    <t>79900</t>
  </si>
  <si>
    <t>79901</t>
  </si>
  <si>
    <t>79902</t>
  </si>
  <si>
    <t>79903</t>
  </si>
  <si>
    <t>79904</t>
  </si>
  <si>
    <t>79905</t>
  </si>
  <si>
    <t>79906</t>
  </si>
  <si>
    <t>79907</t>
  </si>
  <si>
    <t>79910</t>
  </si>
  <si>
    <t>79911</t>
  </si>
  <si>
    <t>79915</t>
  </si>
  <si>
    <t>79917</t>
  </si>
  <si>
    <t>79920</t>
  </si>
  <si>
    <t>79923</t>
  </si>
  <si>
    <t>79925</t>
  </si>
  <si>
    <t>79926</t>
  </si>
  <si>
    <t>79927</t>
  </si>
  <si>
    <t>79928</t>
  </si>
  <si>
    <t>79929</t>
  </si>
  <si>
    <t>79935</t>
  </si>
  <si>
    <t>79938</t>
  </si>
  <si>
    <t>79940</t>
  </si>
  <si>
    <t>79943</t>
  </si>
  <si>
    <t>79945</t>
  </si>
  <si>
    <t>79948</t>
  </si>
  <si>
    <t>79949</t>
  </si>
  <si>
    <t>79950</t>
  </si>
  <si>
    <t>79952</t>
  </si>
  <si>
    <t>79953</t>
  </si>
  <si>
    <t>79955</t>
  </si>
  <si>
    <t>79957</t>
  </si>
  <si>
    <t>79958</t>
  </si>
  <si>
    <t>79959</t>
  </si>
  <si>
    <t>79960</t>
  </si>
  <si>
    <t>79963</t>
  </si>
  <si>
    <t>79964</t>
  </si>
  <si>
    <t>79968</t>
  </si>
  <si>
    <t>79969</t>
  </si>
  <si>
    <t>79973</t>
  </si>
  <si>
    <t>79974</t>
  </si>
  <si>
    <t>79983</t>
  </si>
  <si>
    <t>79984</t>
  </si>
  <si>
    <t>79985</t>
  </si>
  <si>
    <t>79986</t>
  </si>
  <si>
    <t>79987</t>
  </si>
  <si>
    <t>79988</t>
  </si>
  <si>
    <t>79989</t>
  </si>
  <si>
    <t>79990</t>
  </si>
  <si>
    <t>79992</t>
  </si>
  <si>
    <t>79995</t>
  </si>
  <si>
    <t>79996</t>
  </si>
  <si>
    <t>79997</t>
  </si>
  <si>
    <t>79998</t>
  </si>
  <si>
    <t>80316</t>
  </si>
  <si>
    <t>80323</t>
  </si>
  <si>
    <t>80416</t>
  </si>
  <si>
    <t>80423</t>
  </si>
  <si>
    <t>80516</t>
  </si>
  <si>
    <t>80523</t>
  </si>
  <si>
    <t>81217</t>
  </si>
  <si>
    <t>82318</t>
  </si>
  <si>
    <t>82418</t>
  </si>
  <si>
    <t>82510</t>
  </si>
  <si>
    <t>82518</t>
  </si>
  <si>
    <t>05012</t>
  </si>
  <si>
    <t>TreeSpirit™ Individual 7.5" and 9" Solid Wood Salad Bowls</t>
  </si>
  <si>
    <t>05025</t>
  </si>
  <si>
    <t>TreeSpirit™ 12" and 15" Solid Wood Serving Bowls</t>
  </si>
  <si>
    <t>05026</t>
  </si>
  <si>
    <t>05028</t>
  </si>
  <si>
    <t>TreeSpirit™ 7-Piece Salad Bowl and Serving Sets</t>
  </si>
  <si>
    <t>05068</t>
  </si>
  <si>
    <t>TreeSpirit™ 16" Pantry Paddles - Walnut</t>
  </si>
  <si>
    <t>07011</t>
  </si>
  <si>
    <t>The Original Silicone HotSpot - 7″ x 7″ - Clear</t>
  </si>
  <si>
    <t>33575</t>
  </si>
  <si>
    <t>Premier 20" Heavy Duty Walnut BBQ Knife</t>
  </si>
  <si>
    <t>33576</t>
  </si>
  <si>
    <t>Premier 20" Walnut Heavy-Duty 4-Piece Deluxe BBQ Set NOW WITH KNIFE</t>
  </si>
  <si>
    <t>33950</t>
  </si>
  <si>
    <t>2" x 4" Turner with Walnut Handle</t>
  </si>
  <si>
    <t>33955</t>
  </si>
  <si>
    <t>2" x 4" Slotted Turner with Walnut Handle</t>
  </si>
  <si>
    <t>33960</t>
  </si>
  <si>
    <t>3" x 5" Turner with Walnut Handle</t>
  </si>
  <si>
    <t>33965</t>
  </si>
  <si>
    <t>3" x 5" Slotted Turner with Walnut Handle</t>
  </si>
  <si>
    <t>56535</t>
  </si>
  <si>
    <t>Brad Leone Signature Series Griddle Turners with Walnut Handle - Large</t>
  </si>
  <si>
    <t>05029</t>
  </si>
  <si>
    <t>05032</t>
  </si>
  <si>
    <t>05044</t>
  </si>
  <si>
    <t>TreeSpirit™ 2-Piece Salad Server Sets</t>
  </si>
  <si>
    <t>05022</t>
  </si>
  <si>
    <t>05031</t>
  </si>
  <si>
    <t>05004</t>
  </si>
  <si>
    <t>05013</t>
  </si>
  <si>
    <t>05014</t>
  </si>
  <si>
    <t>05060</t>
  </si>
  <si>
    <t>TreeSpirit™ Reversible Cutting Boards with Juice Groove</t>
  </si>
  <si>
    <t>05061</t>
  </si>
  <si>
    <t>05067</t>
  </si>
  <si>
    <t>TreeSpirit™ 16" Pantry Paddles - Maple</t>
  </si>
  <si>
    <t>05021</t>
  </si>
  <si>
    <t>05069</t>
  </si>
  <si>
    <t>TreeSpirit™ 16" Pantry Paddles - Cherry</t>
  </si>
  <si>
    <t>56780</t>
  </si>
  <si>
    <t>Vintage 6-Piece Kitchen Tool Set with Presidential Pink Handles, Right Hand or Left Hand - Right-Hand</t>
  </si>
  <si>
    <t>05006</t>
  </si>
  <si>
    <t>05047</t>
  </si>
  <si>
    <t>05057</t>
  </si>
  <si>
    <t>TreeSpirit™ 17" x 8" Live Edge Cutting and Serving Boards - Maple</t>
  </si>
  <si>
    <t>06046</t>
  </si>
  <si>
    <t>TreeSpirit™ 14″ Heavy Duty Fork</t>
  </si>
  <si>
    <t>56879</t>
  </si>
  <si>
    <t>Deluxe Honing Kit with 3 Arkansas Stones and Oil</t>
  </si>
  <si>
    <t>05066</t>
  </si>
  <si>
    <t>05005</t>
  </si>
  <si>
    <t>56878</t>
  </si>
  <si>
    <t>Combination Dual Arkansas Bench Stone Honing Kit</t>
  </si>
  <si>
    <t>05046</t>
  </si>
  <si>
    <t>56781</t>
  </si>
  <si>
    <t>Vintage 6-Piece Kitchen Tool Set with Presidential Pink Handles, Right Hand or Left Hand - Left-Hand</t>
  </si>
  <si>
    <t>05049</t>
  </si>
  <si>
    <t>05055</t>
  </si>
  <si>
    <t>TreeSpirit™ 17" x 8" Live Edge Cutting and Serving Boards - Cherry</t>
  </si>
  <si>
    <t>05048</t>
  </si>
  <si>
    <t>05045</t>
  </si>
  <si>
    <t>05056</t>
  </si>
  <si>
    <t>TreeSpirit™ 17" x 8" Live Edge Cutting and Serving Boards - Walnut</t>
  </si>
  <si>
    <t>06226</t>
  </si>
  <si>
    <t>TreeSpirit™ 12″ Serving Tongs</t>
  </si>
  <si>
    <t>39658</t>
  </si>
  <si>
    <t>8" Chinese Santoku Cleaver with Classic Rosewood Handle</t>
  </si>
  <si>
    <t>53500</t>
  </si>
  <si>
    <t>Brad Leone Cookbook</t>
  </si>
  <si>
    <t>80623</t>
  </si>
  <si>
    <t>Premium Ukrainian Solid Natural Walnut Blocks - Large</t>
  </si>
  <si>
    <t>07024</t>
  </si>
  <si>
    <t>HotSpot™ 4″ x 4″ Red Silicone Coasters, 4-Piece Set - Red</t>
  </si>
  <si>
    <t>80616</t>
  </si>
  <si>
    <t>Premium Ukrainian Solid Natural Walnut Blocks - Small</t>
  </si>
  <si>
    <t>07466</t>
  </si>
  <si>
    <t>Honeycomb 7″ x 7″ Silicone HotSpots™ - Pink</t>
  </si>
  <si>
    <t>M / P</t>
  </si>
  <si>
    <t>20-Piece Premier Forged Knife Block Set - FIRE</t>
  </si>
  <si>
    <t>20-Piece Premier Forged Knife Block Set- FIRE</t>
  </si>
  <si>
    <t>20-Piece Premier Forged Knife Block Set - SIERRA</t>
  </si>
  <si>
    <t xml:space="preserve">20-Piece Premier Forged Knife Block Set - SIERRA </t>
  </si>
  <si>
    <t>20-Piece Premier Forged Knife Block Set - WALNUT</t>
  </si>
  <si>
    <t>20-Piece Premier Forged Knife Block Set - ICE</t>
  </si>
  <si>
    <t>SELECT</t>
  </si>
  <si>
    <t>EA/ SET</t>
  </si>
  <si>
    <t>P/L?</t>
  </si>
  <si>
    <t>Actual</t>
  </si>
  <si>
    <t>Adj</t>
  </si>
  <si>
    <t>?</t>
  </si>
  <si>
    <t>on order?</t>
  </si>
  <si>
    <t>FRI</t>
  </si>
  <si>
    <t>WED</t>
  </si>
  <si>
    <t>TUE</t>
  </si>
  <si>
    <t>MON</t>
  </si>
  <si>
    <t>THU</t>
  </si>
  <si>
    <t>M VINTAGE POM</t>
  </si>
  <si>
    <t>Vintage POM-DISCO</t>
  </si>
  <si>
    <t>MIDNIGHT POM Handle Vintage 3.5" Paring Knife</t>
  </si>
  <si>
    <t>MIDNIGHT POM Handle Vintage 8" Chef Knife</t>
  </si>
  <si>
    <t>MIDNIGHT POM Handle Vintage 5" Steak Knife, Fine-Edge</t>
  </si>
  <si>
    <t>MIDNIGHT POM Handle Vintage 8" Bread Knife</t>
  </si>
  <si>
    <t>MIDNIGHT POM Handle Vintage 5" Steak Knife, Serrated</t>
  </si>
  <si>
    <t>MIDNIGHT POM Handle Vintage 7" Nakiri Knife, Kullenschliff Edge</t>
  </si>
  <si>
    <t>MIDNIGHT POM Handle Vintage 9" Slicing Knife</t>
  </si>
  <si>
    <t>MIDNIGHT POM Handle Vintage 6" Mini Masher</t>
  </si>
  <si>
    <t>MIDNIGHT POM Handle Vintage 7" Santoku Knife, Kullenschliff Edge</t>
  </si>
  <si>
    <t>MIDNIGHT POM Vintage 3" x 5" Turner</t>
  </si>
  <si>
    <t>MIDNIGHT POM Handle Vintage 6" Utility Knife</t>
  </si>
  <si>
    <t>MIDNIGHT POM Handle Vintage 6" Boning Knife</t>
  </si>
  <si>
    <t>MIDNIGHT POM Handle Vintage 4" Pie &amp; Cake Server, Wave Edge</t>
  </si>
  <si>
    <t>MIDNIGHT POM Handle Vintage 6" Chinese Santoku Cleaver</t>
  </si>
  <si>
    <t>MIDNIGHT POM Handle Vintage 2.5" x 4" Easy-Entry Turner</t>
  </si>
  <si>
    <t>MIDNIGHT POM Handle Vintage 10" Serving Fork</t>
  </si>
  <si>
    <t>MIDNIGHT POM Vintage 3" x 6" Left-Hand Slotted Chef Turner</t>
  </si>
  <si>
    <t>MIDNIGHT POM Vintage 3" x 6" Right-Hand Slotted Chef Turner</t>
  </si>
  <si>
    <t>MIDNIGHT POM Handle Vintage 5" Santoku Knife, Kullenschliff Edge</t>
  </si>
  <si>
    <t>MIDNIGHT POM Handle Vintage 8" Chinese Santoku Cleaver</t>
  </si>
  <si>
    <t>DISCO</t>
  </si>
  <si>
    <t>DOW</t>
  </si>
  <si>
    <t>NO RESTOCK</t>
  </si>
  <si>
    <t>N/A - D</t>
  </si>
  <si>
    <t>MIDNIGHT Forged 4-Pc Steak Knife Set, Serrated (4X 39220)</t>
  </si>
  <si>
    <t>Book</t>
  </si>
  <si>
    <t>Hotspot</t>
  </si>
  <si>
    <t>Steak Knife</t>
  </si>
  <si>
    <t>Slicing</t>
  </si>
  <si>
    <t>Mini</t>
  </si>
  <si>
    <t>Chinese Santoku</t>
  </si>
  <si>
    <t>Nakiri Knife</t>
  </si>
  <si>
    <t>Santoku Knife</t>
  </si>
  <si>
    <t>Left</t>
  </si>
  <si>
    <t>Right</t>
  </si>
  <si>
    <t>Tongs</t>
  </si>
  <si>
    <t>Steps to update the OOS sheet</t>
  </si>
  <si>
    <t>1) Download data from Woocom with the fields - Item, SKU, Stock (For ex, file name is "U1")</t>
  </si>
  <si>
    <t>2) In the OOS template file, copy paste the fields - Date, Actual, Adj to three new columns</t>
  </si>
  <si>
    <t xml:space="preserve">       - Change date to the current date</t>
  </si>
  <si>
    <t>4) Use vlookup to update corresponding values from U1 to OOS template file on the particular date</t>
  </si>
  <si>
    <t>5) Sort items based on stock count - smallest to largest</t>
  </si>
  <si>
    <t xml:space="preserve">6) Filter the data to purchased goods (send to Alex) and to manufactured goods </t>
  </si>
  <si>
    <t>7) Print the sheet and get actual count of the item</t>
  </si>
  <si>
    <t>8) Input the numbers back to the sheet in the "actual" column</t>
  </si>
  <si>
    <t>9) Determine the adjusted stock count to be updated on the website. Copy paste the formula used in previous day's adjusted column</t>
  </si>
  <si>
    <t>10) Vlookup the adjusted values back to U1 file and upload to the website</t>
  </si>
  <si>
    <t xml:space="preserve">        - save in CSV format and keep it plain (without any formatting)</t>
  </si>
  <si>
    <t>CONTAINS</t>
  </si>
  <si>
    <t>59945,59960</t>
  </si>
  <si>
    <t>59910,59925,59940,59950</t>
  </si>
  <si>
    <t>59910,59935,59950</t>
  </si>
  <si>
    <t>39758,59900,59910,59911,59935,59925,59953,59938,59950,59945,59960,59943,59958,59920</t>
  </si>
  <si>
    <t>59910,59923,59950</t>
  </si>
  <si>
    <t>59959,59960</t>
  </si>
  <si>
    <t>39758,59900,59910,59935,59950,59955</t>
  </si>
  <si>
    <t>39758,59900,59910,59935,59925,59940,59950,59953,59955</t>
  </si>
  <si>
    <t>QTY</t>
  </si>
  <si>
    <t>59925,59955,59945,59950,59960,59910,59911,59953,59900,59920,59935,39758</t>
  </si>
  <si>
    <t>59925,59955,59945,59950,59960,59910,59911,59953,59900,59915,59935,39758</t>
  </si>
  <si>
    <t>59925,59955,59945,59950,59943,59958,59960,59910,59911,59953,59900,59915,59935,39758</t>
  </si>
  <si>
    <t>59925,59955,59945,59950,59943,59958,59960,59910,59911,59953,59900,59920,59935,39758</t>
  </si>
  <si>
    <t>33570,33571,33572</t>
  </si>
  <si>
    <t>33670,33671,33672</t>
  </si>
  <si>
    <t>33570,33571,33572,33579</t>
  </si>
  <si>
    <t>33670,33671,33672,33675</t>
  </si>
  <si>
    <t>59900,59910,59935,59950,59955</t>
  </si>
  <si>
    <t>59900,59910,59935,59950,59955,59925,59953</t>
  </si>
  <si>
    <t>59900,59910,59935,59950,59955,59925,59953,59915,59945</t>
  </si>
  <si>
    <t>59900,59910,59935,59950,59955,59925,59953,59920,59945</t>
  </si>
  <si>
    <t>39758,56501,56504,39800,56510,56513</t>
  </si>
  <si>
    <t>39758,56501,56504,39800,56510,56513,56507,56512,56560</t>
  </si>
  <si>
    <t>39800,56501,56504,56510,56513</t>
  </si>
  <si>
    <t>39800,56501,56504,56510,56513,56507,56509,56512</t>
  </si>
  <si>
    <t>39800,56501,56504,56510,56513,56507,56509,56512,56503</t>
  </si>
  <si>
    <t>39800,56501,56504,56510,56513,56507,56509,56512,56502</t>
  </si>
  <si>
    <t>39574,39577</t>
  </si>
  <si>
    <t>39571,39574</t>
  </si>
  <si>
    <t>33658,05050,05099,52818</t>
  </si>
  <si>
    <t>56512,56560</t>
  </si>
  <si>
    <t>56501,56504,56510</t>
  </si>
  <si>
    <t>56501,56504,56510,56513</t>
  </si>
  <si>
    <t>56501,56504,56510,56556</t>
  </si>
  <si>
    <t>56501,56504,56510,56513,56556</t>
  </si>
  <si>
    <t>56510,56556</t>
  </si>
  <si>
    <t>56513,56510,56504,56501,56574,56540</t>
  </si>
  <si>
    <t>56556,56557</t>
  </si>
  <si>
    <t>33440,34000</t>
  </si>
  <si>
    <t>56528,56558</t>
  </si>
  <si>
    <t>56628,56658</t>
  </si>
  <si>
    <t>FORMULAS</t>
  </si>
  <si>
    <t>Use the formula for adjusted column</t>
  </si>
  <si>
    <t>Upload SKU and stock columns in a separate csv file</t>
  </si>
  <si>
    <t>8" Chinese Santoku Cleaver, Walnut, W/Care Kit, (33658, 05050, 05099, 52818) Set</t>
  </si>
  <si>
    <t>TT 12" INK KNIFE, WLNT</t>
  </si>
  <si>
    <t>33570,33571,33572,33575</t>
  </si>
  <si>
    <t>Unfilter the data and filter Stock column to &lt;=7 (All the SKU's)</t>
  </si>
  <si>
    <t>Print the data - This will be low stock items</t>
  </si>
  <si>
    <t>Filter based on the day and sort by SKU, print it - DOW count</t>
  </si>
  <si>
    <t xml:space="preserve">Go to warehouse, count items </t>
  </si>
  <si>
    <t>Input the values to the OOS template</t>
  </si>
  <si>
    <t>Lookup the downloaded data to the oos template</t>
  </si>
  <si>
    <t>Revised:</t>
  </si>
  <si>
    <t>TreeSpirit™ 7-Piece Salad Bowl and Serving Sets (Walnut - Medium)</t>
  </si>
  <si>
    <t>TreeSpirit™ 7-Piece Salad Bowl and Serving Sets (Cherry - Medium)</t>
  </si>
  <si>
    <t>TreeSpirit™ 7-Piece Salad Bowl and Serving Sets (Walnut - Large)</t>
  </si>
  <si>
    <t>TreeSpirit™ 7-Piece Salad Bowl and Serving Sets (Cherry - Large)</t>
  </si>
  <si>
    <t>56777,56739,56740,56738,7426</t>
  </si>
  <si>
    <t>56778,56739,56740,56738,7426</t>
  </si>
  <si>
    <t>MIN QTY</t>
  </si>
  <si>
    <t>TreeSpirit™ 2-Piece Salad Server Sets - Maple 12"</t>
  </si>
  <si>
    <t>TreeSpirit™ 2-Piece Salad Server Sets - Walnut 12"</t>
  </si>
  <si>
    <t>TreeSpirit™ 2-Piece Salad Server Sets - Cherry 12"</t>
  </si>
  <si>
    <t>TreeSpirit™ 2-Piece Salad Server Sets - Maple 14"</t>
  </si>
  <si>
    <t>TreeSpirit™ 2-Piece Salad Server Sets - Walnut 14"</t>
  </si>
  <si>
    <t>TreeSpirit™ 2-Piece Salad Server Sets - Cherry 14"</t>
  </si>
  <si>
    <t>43450</t>
  </si>
  <si>
    <t>56201</t>
  </si>
  <si>
    <t>56202</t>
  </si>
  <si>
    <t>56203</t>
  </si>
  <si>
    <t>56204</t>
  </si>
  <si>
    <t>56207</t>
  </si>
  <si>
    <t>56209</t>
  </si>
  <si>
    <t>56210</t>
  </si>
  <si>
    <t>56212</t>
  </si>
  <si>
    <t>56213</t>
  </si>
  <si>
    <t>56223</t>
  </si>
  <si>
    <t>56238</t>
  </si>
  <si>
    <t>56239</t>
  </si>
  <si>
    <t>56240</t>
  </si>
  <si>
    <t>56243</t>
  </si>
  <si>
    <t>56260</t>
  </si>
  <si>
    <t>56274</t>
  </si>
  <si>
    <t>56277</t>
  </si>
  <si>
    <t>56278</t>
  </si>
  <si>
    <t>56228</t>
  </si>
  <si>
    <t>56258</t>
  </si>
  <si>
    <t>EA/SET</t>
  </si>
  <si>
    <t># Items</t>
  </si>
  <si>
    <t>=SUBSTITUTE(XLOOKUP(MID($A8,4,2),MID(#REF!,4,2),#REF!,0,0),"565","566")</t>
  </si>
  <si>
    <t>IN STOCK % REPORT</t>
  </si>
  <si>
    <t>LEGEND</t>
  </si>
  <si>
    <t>GREEN</t>
  </si>
  <si>
    <t>&gt;90%</t>
  </si>
  <si>
    <t>YELLOW</t>
  </si>
  <si>
    <t>RED</t>
  </si>
  <si>
    <t>80% - 89%</t>
  </si>
  <si>
    <t>70% - 79%</t>
  </si>
  <si>
    <t>&lt;69%</t>
  </si>
  <si>
    <t>TreeSpirit™ Individual 7.5" Solid Wood Salad Bowls - Maple</t>
  </si>
  <si>
    <t>TreeSpirit™ Individual 7.5"  Solid Wood Salad Bowls - Walnut</t>
  </si>
  <si>
    <t>TreeSpirit™ Individual 7.5"  Solid Wood Salad Bowls - Cherry</t>
  </si>
  <si>
    <t>TreeSpirit™ Individual  9" Solid Wood Salad Bowls - Maple</t>
  </si>
  <si>
    <t>TreeSpirit™ Individual 9" Solid Wood Salad Bowls - Walnut</t>
  </si>
  <si>
    <t>TreeSpirit™ Individual 9" Solid Wood Salad Bowls - Cherry</t>
  </si>
  <si>
    <t>TreeSpirit™ 12" Solid Wood Serving Bowls - Walnut</t>
  </si>
  <si>
    <t>TreeSpirit™ 12" Solid Wood Serving Bowls - Cherry</t>
  </si>
  <si>
    <t>TreeSpirit™ 15" Solid Wood Serving Bowls - Walnut</t>
  </si>
  <si>
    <t>TreeSpirit™ 15" Solid Wood Serving Bowls - Cherry</t>
  </si>
  <si>
    <t>Note</t>
  </si>
  <si>
    <t>DATE</t>
  </si>
  <si>
    <t>FULFILLED?</t>
  </si>
  <si>
    <t>21820</t>
  </si>
  <si>
    <t>20140</t>
  </si>
  <si>
    <t>20000</t>
  </si>
  <si>
    <t>21140</t>
  </si>
  <si>
    <t>20440</t>
  </si>
  <si>
    <t>40550</t>
  </si>
  <si>
    <t>43000</t>
  </si>
  <si>
    <t>41500</t>
  </si>
  <si>
    <t>40000</t>
  </si>
  <si>
    <t>20700</t>
  </si>
  <si>
    <t>43300</t>
  </si>
  <si>
    <t>41400</t>
  </si>
  <si>
    <t>20220</t>
  </si>
  <si>
    <t>20040</t>
  </si>
  <si>
    <t>42650</t>
  </si>
  <si>
    <t>40900</t>
  </si>
  <si>
    <t>21220</t>
  </si>
  <si>
    <t>40140</t>
  </si>
  <si>
    <t>45060</t>
  </si>
  <si>
    <t>43250</t>
  </si>
  <si>
    <t>20060</t>
  </si>
  <si>
    <t>41850</t>
  </si>
  <si>
    <t>40750</t>
  </si>
  <si>
    <t>20420</t>
  </si>
  <si>
    <t>20020</t>
  </si>
  <si>
    <t>20220HM</t>
  </si>
  <si>
    <t>20300</t>
  </si>
  <si>
    <t>20360HM</t>
  </si>
  <si>
    <t>20520</t>
  </si>
  <si>
    <t>20540</t>
  </si>
  <si>
    <t>20600</t>
  </si>
  <si>
    <t>20620</t>
  </si>
  <si>
    <t>20720</t>
  </si>
  <si>
    <t>21300</t>
  </si>
  <si>
    <t>22000</t>
  </si>
  <si>
    <t>40150</t>
  </si>
  <si>
    <t>40250</t>
  </si>
  <si>
    <t>41150</t>
  </si>
  <si>
    <t>41651</t>
  </si>
  <si>
    <t>41652</t>
  </si>
  <si>
    <t>42150</t>
  </si>
  <si>
    <t>43350</t>
  </si>
  <si>
    <t>43400</t>
  </si>
  <si>
    <t>43750</t>
  </si>
  <si>
    <t>20120</t>
  </si>
  <si>
    <t>20540HM</t>
  </si>
  <si>
    <t>21600</t>
  </si>
  <si>
    <t>40120</t>
  </si>
  <si>
    <t>43700</t>
  </si>
  <si>
    <t>45000</t>
  </si>
  <si>
    <t>TT MICRO SPAT CUSH GRIP 5.5 IN</t>
  </si>
  <si>
    <t>TT 3" SPATULA-FLEX, WLNT</t>
  </si>
  <si>
    <t>6" SPATULA-FLEX WLNT</t>
  </si>
  <si>
    <t>TT 3" SPATULA-FLEX, CG</t>
  </si>
  <si>
    <t>TT 3" PALETTE KNIFE, WLNT</t>
  </si>
  <si>
    <t>TT 8" SPATULA-FLEX, WLNT</t>
  </si>
  <si>
    <t>TT 1.5" CHISEL/SCRAPER, MAPLE</t>
  </si>
  <si>
    <t>TT 5" WALL SCRAPER-STIFF MAPLE</t>
  </si>
  <si>
    <t>TT 2" PUTTY KNIFE-STIFF, MAPLE</t>
  </si>
  <si>
    <t>TT .75" PUTTY KNIFE BENT MAPLE</t>
  </si>
  <si>
    <t>TT 14" SPATULA-FLEX, WLNT</t>
  </si>
  <si>
    <t>TT 6" INK KNIFE, WLNT</t>
  </si>
  <si>
    <t>TT PUTTY KNIFE BENT 1.5 IN</t>
  </si>
  <si>
    <t>TT 4" SPATULA-FLEX, WLNT</t>
  </si>
  <si>
    <t>TT 5" SPATULA-FLEX, CG</t>
  </si>
  <si>
    <t>TT 4" WALL SCRAPER STIFF MAPLE</t>
  </si>
  <si>
    <t>TT 1.5" PUTTY KNIFE-STIFF MAPL</t>
  </si>
  <si>
    <t>TT 4" PALETTE KNIFE, WLNT</t>
  </si>
  <si>
    <t>TT GASKET SCRPR-CHISEL .75 IN</t>
  </si>
  <si>
    <t>TT SHOE KNIFE WALNUT 4"</t>
  </si>
  <si>
    <t>TT 4" INK KNIFE, WLNT</t>
  </si>
  <si>
    <t>TT 6" SPATULA-FLEX, CG</t>
  </si>
  <si>
    <t>TT PUTTY KNIFE BENT 2 IN</t>
  </si>
  <si>
    <t>TT 5 IN 1 COMBO TOOL, MAPLE</t>
  </si>
  <si>
    <t>TT 6" SPATULA-FLEX, WHITE POLY</t>
  </si>
  <si>
    <t>TT 4" SPATULA-FLEX, CG</t>
  </si>
  <si>
    <t>SPATULA-SS-WALNUT 4 IN</t>
  </si>
  <si>
    <t>TT 5" SPATULA-FLEX, WLNT</t>
  </si>
  <si>
    <t>OEM WLNT SPATULA 6" HUMBOLDT</t>
  </si>
  <si>
    <t>TT 8" SPATULA-FLEX, WHITE POLY</t>
  </si>
  <si>
    <t>TT 10" SPATULA-FLEX, WLNT</t>
  </si>
  <si>
    <t>10" SPATULA-FLEX, WHITE POLY</t>
  </si>
  <si>
    <t>TT 12" SPATULA-FLEX, WLNT</t>
  </si>
  <si>
    <t>14" SPATULA-FLEX, WHITE POLY</t>
  </si>
  <si>
    <t>TT 5" PALETTE KNIFE, WLNT</t>
  </si>
  <si>
    <t>TT PILL KNIFE/SPATULA 4 IN</t>
  </si>
  <si>
    <t>TT PUTTY KNIFE BENT 1.125 IN</t>
  </si>
  <si>
    <t>TT PUTTY KNIFE STIFF 1.25 IN</t>
  </si>
  <si>
    <t>TT PUTTY KNIFE FLEX 1.5 IN</t>
  </si>
  <si>
    <t>2'' FLEX PUTTY W/ OPENER</t>
  </si>
  <si>
    <t>OEM PUTTY FLEX BK0PN BXCR 2 IN</t>
  </si>
  <si>
    <t>TT WALL SCRAPER FLEX 3 IN</t>
  </si>
  <si>
    <t>TT 8" INK KNIFE, WLNT</t>
  </si>
  <si>
    <t>TT 10" INK KNIFE, WLNT</t>
  </si>
  <si>
    <t>TT INK SCRAPER FLEX 5 IN</t>
  </si>
  <si>
    <t>TT 2" SPATULA-STIFF, WLNT</t>
  </si>
  <si>
    <t>OEM WLNT SPATULA 10" HUMBOLDT</t>
  </si>
  <si>
    <t>TT MICRO SPAT RND-TAP 7.5 IN</t>
  </si>
  <si>
    <t>TT GASKET SCRPR-CHISEL .325IN</t>
  </si>
  <si>
    <t>TT INK SCRAPER STIFF 5 IN</t>
  </si>
  <si>
    <t>TT KNIFE PAPER WALNUT 3 IN</t>
  </si>
  <si>
    <t>Trade Tools</t>
  </si>
  <si>
    <t>OTHER</t>
  </si>
  <si>
    <t>BLUE</t>
  </si>
  <si>
    <t>05065</t>
  </si>
  <si>
    <t>TreeSpirit™ Reversible Cutting Boards with Juice Groove - Cherry 10X8</t>
  </si>
  <si>
    <t>PHOTO</t>
  </si>
  <si>
    <t>OUT OF STOCK % REPORT</t>
  </si>
  <si>
    <t>75%-99%</t>
  </si>
  <si>
    <t>50% -75%</t>
  </si>
  <si>
    <t>25% - 50%</t>
  </si>
  <si>
    <t>&lt;25%</t>
  </si>
  <si>
    <t>05021,05005,05045</t>
  </si>
  <si>
    <t>05022,05006,05046</t>
  </si>
  <si>
    <t>05025,05013,05048</t>
  </si>
  <si>
    <t>05026,05014,05049</t>
  </si>
  <si>
    <t>39825,39855,39845,39850,39860,39810,39811,39853,39800,39815,39835,39758</t>
  </si>
  <si>
    <t>39825,39855,39845,39850,39843,39858,39860,39810,39811,39853,39800,39820,39835,39758</t>
  </si>
  <si>
    <t>39825,39855,39845,39850,39843,39858,39860,39810,39811,39853,39800,39815,39835,39758</t>
  </si>
  <si>
    <t>39800,39810,39835,39850,39855,39825,39853,39815,39845</t>
  </si>
  <si>
    <t>39758,39800,39810,39811,39835,39825,39853,39838,39850,39845,39860,39843,39858,39820</t>
  </si>
  <si>
    <t>39758,69900,69910,69935,69925,69940,69950,69953,69955</t>
  </si>
  <si>
    <t>69925,69955,69945,69950,69960,69910,69911,69953,69900,69920,69935,39758</t>
  </si>
  <si>
    <t>69925,69955,69945,69950,69943,69958,69960,69910,69911,69953,69900,69920,69935,39758</t>
  </si>
  <si>
    <t>69925,69955,69945,69950,69943,69958,69960,69910,69911,69953,69900,69915,69935,39758</t>
  </si>
  <si>
    <t>69900,69910,69935,69950,69955</t>
  </si>
  <si>
    <t>69900,69910,69935,69950,69955,69925,69953</t>
  </si>
  <si>
    <t>69900,69910,69935,69950,69955,69925,69953,69915,69945</t>
  </si>
  <si>
    <t>69900,69910,69935,69950,69955,69925,69953,69920,69945</t>
  </si>
  <si>
    <t>39758,69900,69910,69911,69935,69925,69953,69938,69950,69945,69960,69943,69958,69920</t>
  </si>
  <si>
    <t>79925,79955,79945,79950,79960,79910,79911,79953,79900,79920,79935,39758</t>
  </si>
  <si>
    <t>79925,79955,79945,79950,79960,79910,79911,79953,79900,79915,79935,39758</t>
  </si>
  <si>
    <t>79925,79955,79945,79950,79943,79958,79960,79910,79911,79953,79900,79920,79935,39758</t>
  </si>
  <si>
    <t>79925,79955,79945,79950,79943,79958,79960,79910,79911,79953,79900,79915,79935,39758</t>
  </si>
  <si>
    <t>79900,79910,79935,79950,79955</t>
  </si>
  <si>
    <t>79900,79910,79935,79950,79955,79925,79953</t>
  </si>
  <si>
    <t>79900,79910,79935,79950,79955,79925,79953,79915,79945</t>
  </si>
  <si>
    <t>79900,79910,79935,79950,79955,79925,79953,79920,79945</t>
  </si>
  <si>
    <t>39758,79900,79910,79935,79950,79955</t>
  </si>
  <si>
    <t>39758,79900,79910,79935,79925,79940,79950,79953,79955</t>
  </si>
  <si>
    <t>39758,79900,79910,79911,79935,79925,79953,79938,79950,79945,79960,79943,79958,79920</t>
  </si>
  <si>
    <t>39758,69900,69910,69935,69950,69955</t>
  </si>
  <si>
    <t>69925,69955,69945,69950,69960,69910,69911,69953,69900,69915,69935,39758</t>
  </si>
  <si>
    <t>69910,69935,69950</t>
  </si>
  <si>
    <t>39825,39855,39845,39850,39860,39810,39811,39853,39800,39820,39835,39758</t>
  </si>
  <si>
    <t>39758,39200,39210,39235,39225,39240,39250,39253,39255</t>
  </si>
  <si>
    <t>39225,39255,39245,39250,39260,39210,39211,39253,39200,39220,39235,39758</t>
  </si>
  <si>
    <t>39225,39255,39245,39250,39243,39258,39260,39210,39211,39253,39200,39220,39235,39758</t>
  </si>
  <si>
    <t>39225,39255,39245,39250,39243,39258,39260,39210,39211,39253,39200,39215,39235,39758</t>
  </si>
  <si>
    <t>39200,39210,39235,39250,39255</t>
  </si>
  <si>
    <t>39200,39210,39235,39250,39255,39225,39253</t>
  </si>
  <si>
    <t>39200,39210,39235,39250,39255,39225,39253,39215,39245</t>
  </si>
  <si>
    <t>39200,39210,39235,39250,39255,39225,39253,39220,39245</t>
  </si>
  <si>
    <t>39758,39200,39210,39211,39235,39225,39253,39238,39250,39245,39260,39243,39258,39220</t>
  </si>
  <si>
    <t>39225,39255,39245,39250,39260,39210,39211,39253,39200,39215,39235,39758</t>
  </si>
  <si>
    <t>39758,39200,39210,39235,39250,39255</t>
  </si>
  <si>
    <t>39800,39810,39835,39850,39855,39825,39853,39820,39845</t>
  </si>
  <si>
    <t>39845,39860</t>
  </si>
  <si>
    <t>39859,39860</t>
  </si>
  <si>
    <t>69910,69925,69940,69950</t>
  </si>
  <si>
    <t>69910,69923,69950</t>
  </si>
  <si>
    <t>39210,39225,39240,39250</t>
  </si>
  <si>
    <t>39758,39800,39810,39835,39825,39840,39850,39853,39855</t>
  </si>
  <si>
    <t>39800,39810,39835,39850,39855,39825,39853</t>
  </si>
  <si>
    <t>39810,39825,39840,39850</t>
  </si>
  <si>
    <t>39210,39235,39250</t>
  </si>
  <si>
    <t>39210,39223,39250</t>
  </si>
  <si>
    <t>69945,69960</t>
  </si>
  <si>
    <t>69959,69960</t>
  </si>
  <si>
    <t>39245,39260</t>
  </si>
  <si>
    <t>39259,39260</t>
  </si>
  <si>
    <t>39758,39800,39810,39835,39850,39855</t>
  </si>
  <si>
    <t>39800,39810,39835,39850,39855</t>
  </si>
  <si>
    <t>79945,79960</t>
  </si>
  <si>
    <t>79959,79960</t>
  </si>
  <si>
    <t>79910,79925,79940,79950</t>
  </si>
  <si>
    <t>79910,79935,79950</t>
  </si>
  <si>
    <t>79910,79923,79950</t>
  </si>
  <si>
    <t>39810,39835,39850</t>
  </si>
  <si>
    <t>39810,39823,39850</t>
  </si>
  <si>
    <t/>
  </si>
  <si>
    <t>05050,05099</t>
  </si>
  <si>
    <t>FORMULA</t>
  </si>
  <si>
    <t>NOTE</t>
  </si>
  <si>
    <t>Calculates Items OOS (0 count)</t>
  </si>
  <si>
    <t>Calculates Items Low on Stock (&lt;=5)</t>
  </si>
  <si>
    <t>Steak knife</t>
  </si>
  <si>
    <t>3X5 Slotted Turner with Walnut Handle</t>
  </si>
  <si>
    <t>39758,56201,56204,39200,56210,56213</t>
  </si>
  <si>
    <t>39758,56201,56204,39200,56210,56213,56207,56212,56260</t>
  </si>
  <si>
    <t>56256,56257</t>
  </si>
  <si>
    <t>56201,56204,56210</t>
  </si>
  <si>
    <t>56201,56204,56210,56213</t>
  </si>
  <si>
    <t>56212,56260</t>
  </si>
  <si>
    <t>56201,56204,56210,56213,56256</t>
  </si>
  <si>
    <t>56210,56256</t>
  </si>
  <si>
    <t>LOW STOCK</t>
  </si>
  <si>
    <t>56228,56258</t>
  </si>
  <si>
    <t>MIDNIGHT G-10 Handle Vintage 4" Pie &amp; Cake Server, Wave Edge</t>
  </si>
  <si>
    <t>MIDNIGHT  G-10 Handle Vintage 2.5" x 4" Easy-Entry Turner</t>
  </si>
  <si>
    <t>MIDNIGHT  G-10 Handle Vintage 6" Mini Masher</t>
  </si>
  <si>
    <t>MIDNIGHT  G-10 Handle 3" x 5" Turner</t>
  </si>
  <si>
    <t>MIDNIGHT  G-10 Handle Vintage 3" x 6" Right-Hand Slotted Chef Turner</t>
  </si>
  <si>
    <t>MIDNIGHT  G-10 Handle Vintage 3" x 6" Left-Hand Slotted Chef Turner</t>
  </si>
  <si>
    <t>MIDNIGHT  G-10 Handle Vintage 20-Piece Block Set, Acacia Block, Serrated Steak</t>
  </si>
  <si>
    <t>MIDNIGHT  G-10 Handle Vintage 20-Piece Block Set, Acacia Block, Fine-Edge Steak</t>
  </si>
  <si>
    <t>MIDNIGHT  G-10 Handle Vintage 5" Steak Knife Set, Serrated Edge</t>
  </si>
  <si>
    <t>MIDNIGHT  G-10 Handle Vintage 20-Piece Block Set, Walnut Block, Serrated Steak</t>
  </si>
  <si>
    <t>MIDNIGHT  G-10 Handle Vintage 20-Piece Block Set, Walnut Block, Fine-Edge Steak</t>
  </si>
  <si>
    <t>MIDNIGHT  G-10 Handle Vintage 20-Piece Block Set, Maple Block, Serrated</t>
  </si>
  <si>
    <t>MIDNIGHT  G-10 Handle Vintage 5" Steak Knife, Serrated</t>
  </si>
  <si>
    <t>MIDNIGHT  G-10 Handle Vintage 20-Piece Block Set, Maple Block, Fine Edge</t>
  </si>
  <si>
    <t>MIDNIGHT  G-10 Handle Vintage 8" Chinese Santoku Cleaver</t>
  </si>
  <si>
    <t>MIDNIGHT  G-10 Handle Vintage 6" Chinese Santoku Cleaver</t>
  </si>
  <si>
    <t>MIDNIGHT  G-10 Handle Vintage 2-Pc Chinese Santoku Set (8" and 6" Chinese Santoku Cleavers)</t>
  </si>
  <si>
    <t>MIDNIGHT  G-10 Handle Vintage 5-Pc Deluxe Chef Set  (Paring, Utility, 8" Chef, 8" Bread, 8" Chi.Cleaver)</t>
  </si>
  <si>
    <t>MIDNIGHT  G-10 Handle Vintage 2-Pc Chef Set (8" Chef, 8" Chinese Santoku.Cleaver)</t>
  </si>
  <si>
    <t>MIDNIGHT  G-10 Handle Vintage 7" Santoku Knife, Kullenschliff Edge</t>
  </si>
  <si>
    <t>MIDNIGHT  G-10 Handle Vintage 5" Santoku Knife, Kullenschliff Edge</t>
  </si>
  <si>
    <t>MIDNIGHT  G-10 Handle Vintage 7" Nakiri Knife, Kullenschliff Edge</t>
  </si>
  <si>
    <t>MIDNIGHT  G-10 Handle Vintage 5" Steak Knife Set, Fine Edge</t>
  </si>
  <si>
    <t>MIDNIGHT  G-10 Handle Vintage 7-Piece Block Set, Acacia Block</t>
  </si>
  <si>
    <t>MIDNIGHT  G-10 Handle Vintage 10-Piece Block Set, Acacia Block</t>
  </si>
  <si>
    <t>MIDNIGHT  G-10 Handle Vintage 7-Piece Block Set, Maple Block</t>
  </si>
  <si>
    <t>MIDNIGHT  G-10 Handle Vintage 10-Piece Block Set, Maple Block</t>
  </si>
  <si>
    <t>MIDNIGHT  G-10 Handle Vintage 3-pc Essential Set Utility, (8" Chef, 8" Bread)</t>
  </si>
  <si>
    <t>MIDNIGHT  G-10 Handle Vintage 3-Pc Cook Knife Set (Paring, Utility, 8" Chef)</t>
  </si>
  <si>
    <t>MIDNIGHT  G-10 Handle Vintage 4-pc Deluxe Cook Set (Paring, Utility, 8" Chef, 8" Bread)</t>
  </si>
  <si>
    <t>MIDNIGHT  G-10 Handle Vintage 7-Piece Block Set, Walnut Block</t>
  </si>
  <si>
    <t>MIDNIGHT  G-10 Handle Vintage 10-Piece Block Set, Walnut Block</t>
  </si>
  <si>
    <t>MIDNIGHT  G-10 Handle Vintage 8" Chef Knife</t>
  </si>
  <si>
    <t>MIDNIGHT  G-10 Handle Vintage 2-Pc Carving Knife Set (9" Slicer, 10" Fork)</t>
  </si>
  <si>
    <t>MIDNIGHT  G-10 Handle Vintage 6" Utility Knife</t>
  </si>
  <si>
    <t>MIDNIGHT  G-10 Handle Vintage 6" Boning Knife</t>
  </si>
  <si>
    <t>MIDNIGHT  G-10 Handle Vintage 10" Serving Fork</t>
  </si>
  <si>
    <t>MIDNIGHT  G-10 Handle Vintage 9" Slicing Knife</t>
  </si>
  <si>
    <t>MIDNIGHT  G-10 Handle Vintage 8" Bread Knife</t>
  </si>
  <si>
    <t>MIDNIGHT  G-10 Handle Vintage 6" Chinese Santoku Cleaver - BRAD LEONE</t>
  </si>
  <si>
    <t xml:space="preserve">MIDNIGHT  G-10 Handle Brad Leone Chinese Santoku Large &amp; Small Chinese Santoku Cleaver Set </t>
  </si>
  <si>
    <t>MIDNIGHT  G-10 Handle Vintage 8" Chinese Santoku Cleaver - BRAD LEONE</t>
  </si>
  <si>
    <t>MIDNIGHT  G-10 Handle Vintage 5" Steak Knife, Fine-Edge</t>
  </si>
  <si>
    <t>MIDNIGHT  G-10 Handle Vintage 3.5" Paring Knife</t>
  </si>
  <si>
    <t>M VINTAGE G-10</t>
  </si>
  <si>
    <t>2-Piece Kitchen Turner Set with Walnut handles, Left or Right Hand - Right-Hand</t>
  </si>
  <si>
    <t>2-Piece Kitchen Turner Set with Walnut handles, Left or Right Hand - Left-Hand</t>
  </si>
  <si>
    <t>10" Mini Avocado and Potato Masher with Walnut Handle</t>
  </si>
  <si>
    <t>Slotted Turner 2" x 4" with Walnut Handle</t>
  </si>
  <si>
    <t>Turner 2" x 4" with Walnut Handle</t>
  </si>
  <si>
    <t>turner</t>
  </si>
  <si>
    <t>2-Piece POM Turner Set Left-Hand (Slotted 52865 &amp; Stiff, 39574)</t>
  </si>
  <si>
    <t>52865,39574</t>
  </si>
  <si>
    <t>3X5 Turner with Walnut Handle</t>
  </si>
  <si>
    <t>33777,33974</t>
  </si>
  <si>
    <t>33778,33974</t>
  </si>
  <si>
    <t>2.5" X 4.5" Walnut Flared Turner</t>
  </si>
  <si>
    <t>Disco (Latest)</t>
  </si>
  <si>
    <t>IN TRAY</t>
  </si>
  <si>
    <t>DATE: 11/14/2025</t>
  </si>
  <si>
    <t>BACKSTOCK</t>
  </si>
  <si>
    <t>TOTAL</t>
  </si>
  <si>
    <t>Y</t>
  </si>
  <si>
    <t>X</t>
  </si>
  <si>
    <t>Z</t>
  </si>
  <si>
    <t>SIERRA Forged 8" CHEF Knife</t>
  </si>
  <si>
    <t>Turner 2-Piece Kitchen Knife Set with Walnut handles</t>
  </si>
  <si>
    <t>33971,33974</t>
  </si>
  <si>
    <t>06242</t>
  </si>
  <si>
    <t>06206,06208</t>
  </si>
  <si>
    <t>2-Piece 6″ Olive Fork and Spoon Set</t>
  </si>
  <si>
    <t>Vintage 3″ x 6″ Chef’s Slotted Turner, Right Hand with Black POM Handle</t>
  </si>
  <si>
    <t>Sandwich Spreader Knife 3″ with Wave Edge, Walnut</t>
  </si>
  <si>
    <t>05073</t>
  </si>
  <si>
    <t>Easy-Entry 2.5" x 4" Turner with Walnut Handle</t>
  </si>
  <si>
    <t>Rectangular Turners with Walnut Handle - 2" x 4", 3" x 5" or 3" x 8" - 3" x 8"</t>
  </si>
  <si>
    <t>Pie and Cake Server 4" with Wave Edge and Walnut handle</t>
  </si>
  <si>
    <t>Beekeeper's Gold and 12 oz Mineral Oil - Wood and Leather Preservation Set</t>
  </si>
  <si>
    <t>05050,05097</t>
  </si>
  <si>
    <t>39758,39200,39211,39235,39225,39253,39238,39250,39245,39260,39243,39258,39215,39210</t>
  </si>
  <si>
    <t>39758,39800,39811,39835,39825,39853,39838,39850,39845,39860,39843,39858,39815,39810</t>
  </si>
  <si>
    <t>39758,59900,59911,59935,59925,59953,59938,59950,59945,59960,59943,59958,59915,59910</t>
  </si>
  <si>
    <t>39758,69900,69911,69935,69925,69953,69938,69950,69945,69960,69943,69958,69915,69910</t>
  </si>
  <si>
    <t>39758,79900,79911,79935,79925,79953,79938,79950,79945,79960,79943,79958,79915,79910</t>
  </si>
  <si>
    <t>56510,56513,56504</t>
  </si>
  <si>
    <t>56210,56213,56204</t>
  </si>
  <si>
    <t>Steak Set1</t>
  </si>
  <si>
    <t>Steak Set2</t>
  </si>
  <si>
    <t>Steak Set3</t>
  </si>
  <si>
    <t>7 pc set</t>
  </si>
  <si>
    <t>10 pc set</t>
  </si>
  <si>
    <t>server</t>
  </si>
  <si>
    <t>cleaver</t>
  </si>
  <si>
    <t>22 pc Set</t>
  </si>
  <si>
    <t>20 pc Set</t>
  </si>
  <si>
    <t>In-Drawer</t>
  </si>
  <si>
    <t>DIVISON</t>
  </si>
  <si>
    <t>Granny Fork</t>
  </si>
  <si>
    <t>Santoku Cleaver</t>
  </si>
  <si>
    <t>Spreader</t>
  </si>
  <si>
    <t>Hotspot Funnel</t>
  </si>
  <si>
    <t>Steak knife - fine</t>
  </si>
  <si>
    <t>Steak knife - Serrated</t>
  </si>
  <si>
    <t>Santoku knife</t>
  </si>
  <si>
    <t>4" Chef</t>
  </si>
  <si>
    <t>6" Chef</t>
  </si>
  <si>
    <t>8" Chef</t>
  </si>
  <si>
    <t>10" Chef</t>
  </si>
  <si>
    <t>Roast</t>
  </si>
  <si>
    <t>3pc Chef Set</t>
  </si>
  <si>
    <t>4 pc Chef Set</t>
  </si>
  <si>
    <t>4pc Steak Set</t>
  </si>
  <si>
    <t>2pc Carving Set</t>
  </si>
  <si>
    <t>2pc Roast Set</t>
  </si>
  <si>
    <t>Brad Leone set</t>
  </si>
  <si>
    <t>5pc Chef Set</t>
  </si>
  <si>
    <t>2pc Chef Set</t>
  </si>
  <si>
    <t>Other</t>
  </si>
  <si>
    <t>6 pc Chef Set</t>
  </si>
  <si>
    <t>Other Sets</t>
  </si>
  <si>
    <t>TS 2" MAPLE CONDIMENT CUP BULK</t>
  </si>
  <si>
    <t>39758,56501,56504,39800,56510,56513,56507,56512,56560,56502,56509,56556</t>
  </si>
  <si>
    <t>39758,56501,56504,39800,56510,56513,56507,56512,56560,56503,56509,56556</t>
  </si>
  <si>
    <t>39758,56201,56204,39200,56210,56213,56207,56212,56260,56202,56209,56256</t>
  </si>
  <si>
    <t>39758,56201,56204,39200,56210,56213,56207,56212,56260,56203,56209,56256</t>
  </si>
  <si>
    <t>Ready Sets</t>
  </si>
  <si>
    <t>Inventory</t>
  </si>
  <si>
    <t>Stock (To upload on website)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</si>
</sst>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4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u/>
      <sz val="10"/>
      <color theme="10"/>
      <name val="Arial"/>
      <family val="2"/>
    </font>
    <font>
      <b/>
      <sz val="16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0"/>
      <color indexed="12"/>
      <name val="Arial"/>
      <family val="2"/>
    </font>
    <font>
      <sz val="10"/>
      <color theme="1"/>
      <name val="Arial"/>
      <family val="2"/>
    </font>
    <font>
      <sz val="10"/>
      <name val="Verdana"/>
      <family val="2"/>
    </font>
    <font>
      <sz val="11"/>
      <color indexed="8"/>
      <name val="Calibri"/>
      <family val="2"/>
    </font>
    <font>
      <u/>
      <sz val="11"/>
      <color indexed="12"/>
      <name val="Calibri"/>
      <family val="2"/>
    </font>
    <font>
      <sz val="12"/>
      <color theme="1"/>
      <name val="Calibri"/>
      <family val="2"/>
      <scheme val="minor"/>
    </font>
    <font>
      <sz val="9"/>
      <color indexed="81"/>
      <name val="Tahoma"/>
      <family val="2"/>
    </font>
    <font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rgb="FF000000"/>
      <name val="Arial Black"/>
      <family val="2"/>
    </font>
    <font>
      <sz val="11"/>
      <color rgb="FF7030A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indexed="8"/>
      <name val="Arial"/>
      <family val="2"/>
    </font>
  </fonts>
  <fills count="4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4E5F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5">
    <xf numFmtId="0" fontId="0" fillId="0" borderId="0"/>
    <xf numFmtId="0" fontId="4" fillId="0" borderId="0"/>
    <xf numFmtId="0" fontId="5" fillId="0" borderId="0" applyNumberFormat="0" applyFill="0" applyBorder="0" applyAlignment="0" applyProtection="0"/>
    <xf numFmtId="44" fontId="4" fillId="0" borderId="0" applyFont="0" applyFill="0" applyBorder="0" applyAlignment="0" applyProtection="0"/>
    <xf numFmtId="0" fontId="8" fillId="0" borderId="0">
      <alignment vertical="top"/>
    </xf>
    <xf numFmtId="0" fontId="9" fillId="0" borderId="0" applyNumberFormat="0" applyFill="0" applyBorder="0" applyAlignment="0" applyProtection="0"/>
    <xf numFmtId="0" fontId="10" fillId="0" borderId="5" applyNumberFormat="0" applyFill="0" applyAlignment="0" applyProtection="0"/>
    <xf numFmtId="0" fontId="11" fillId="0" borderId="6" applyNumberFormat="0" applyFill="0" applyAlignment="0" applyProtection="0"/>
    <xf numFmtId="0" fontId="12" fillId="0" borderId="7" applyNumberFormat="0" applyFill="0" applyAlignment="0" applyProtection="0"/>
    <xf numFmtId="0" fontId="12" fillId="0" borderId="0" applyNumberFormat="0" applyFill="0" applyBorder="0" applyAlignment="0" applyProtection="0"/>
    <xf numFmtId="0" fontId="13" fillId="5" borderId="0" applyNumberFormat="0" applyBorder="0" applyAlignment="0" applyProtection="0"/>
    <xf numFmtId="0" fontId="14" fillId="6" borderId="0" applyNumberFormat="0" applyBorder="0" applyAlignment="0" applyProtection="0"/>
    <xf numFmtId="0" fontId="15" fillId="7" borderId="0" applyNumberFormat="0" applyBorder="0" applyAlignment="0" applyProtection="0"/>
    <xf numFmtId="0" fontId="16" fillId="8" borderId="8" applyNumberFormat="0" applyAlignment="0" applyProtection="0"/>
    <xf numFmtId="0" fontId="17" fillId="9" borderId="9" applyNumberFormat="0" applyAlignment="0" applyProtection="0"/>
    <xf numFmtId="0" fontId="18" fillId="9" borderId="8" applyNumberFormat="0" applyAlignment="0" applyProtection="0"/>
    <xf numFmtId="0" fontId="19" fillId="0" borderId="10" applyNumberFormat="0" applyFill="0" applyAlignment="0" applyProtection="0"/>
    <xf numFmtId="0" fontId="20" fillId="10" borderId="11" applyNumberFormat="0" applyAlignment="0" applyProtection="0"/>
    <xf numFmtId="0" fontId="21" fillId="0" borderId="0" applyNumberFormat="0" applyFill="0" applyBorder="0" applyAlignment="0" applyProtection="0"/>
    <xf numFmtId="0" fontId="1" fillId="11" borderId="12" applyNumberFormat="0" applyFont="0" applyAlignment="0" applyProtection="0"/>
    <xf numFmtId="0" fontId="22" fillId="0" borderId="0" applyNumberFormat="0" applyFill="0" applyBorder="0" applyAlignment="0" applyProtection="0"/>
    <xf numFmtId="0" fontId="23" fillId="0" borderId="13" applyNumberFormat="0" applyFill="0" applyAlignment="0" applyProtection="0"/>
    <xf numFmtId="0" fontId="7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7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7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7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7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7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6" fillId="3" borderId="3" applyFill="0" applyBorder="0" applyProtection="0">
      <alignment horizontal="center" vertical="center" wrapText="1"/>
    </xf>
    <xf numFmtId="0" fontId="5" fillId="0" borderId="0" applyNumberFormat="0" applyFill="0" applyBorder="0" applyAlignment="0" applyProtection="0">
      <alignment vertical="top"/>
    </xf>
    <xf numFmtId="43" fontId="8" fillId="0" borderId="0" applyFont="0" applyFill="0" applyBorder="0" applyAlignment="0" applyProtection="0">
      <alignment vertical="top"/>
    </xf>
    <xf numFmtId="44" fontId="8" fillId="0" borderId="0" applyFont="0" applyFill="0" applyBorder="0" applyAlignment="0" applyProtection="0">
      <alignment vertical="top"/>
    </xf>
    <xf numFmtId="0" fontId="27" fillId="0" borderId="0" applyNumberFormat="0" applyFill="0" applyBorder="0" applyAlignment="0" applyProtection="0">
      <alignment vertical="top"/>
      <protection locked="0"/>
    </xf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8" fillId="0" borderId="0">
      <alignment vertical="top"/>
    </xf>
    <xf numFmtId="0" fontId="28" fillId="0" borderId="0"/>
    <xf numFmtId="0" fontId="29" fillId="0" borderId="0"/>
    <xf numFmtId="43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0" fontId="30" fillId="0" borderId="0"/>
    <xf numFmtId="0" fontId="31" fillId="0" borderId="0" applyNumberFormat="0" applyFill="0" applyBorder="0" applyAlignment="0" applyProtection="0">
      <alignment vertical="top"/>
      <protection locked="0"/>
    </xf>
    <xf numFmtId="44" fontId="30" fillId="0" borderId="0" applyFont="0" applyFill="0" applyBorder="0" applyAlignment="0" applyProtection="0"/>
    <xf numFmtId="0" fontId="30" fillId="0" borderId="0"/>
    <xf numFmtId="0" fontId="1" fillId="0" borderId="0"/>
    <xf numFmtId="0" fontId="32" fillId="0" borderId="0"/>
    <xf numFmtId="9" fontId="1" fillId="0" borderId="0" applyFont="0" applyFill="0" applyBorder="0" applyAlignment="0" applyProtection="0"/>
  </cellStyleXfs>
  <cellXfs count="67">
    <xf numFmtId="0" fontId="0" fillId="0" borderId="0" xfId="0"/>
    <xf numFmtId="0" fontId="2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6" fontId="0" fillId="36" borderId="0" xfId="0" applyNumberFormat="1" applyFill="1" applyAlignment="1">
      <alignment horizontal="center" vertical="top"/>
    </xf>
    <xf numFmtId="0" fontId="0" fillId="4" borderId="0" xfId="0" applyFill="1" applyAlignment="1">
      <alignment horizontal="center" vertical="top"/>
    </xf>
    <xf numFmtId="0" fontId="0" fillId="37" borderId="0" xfId="0" applyFill="1" applyAlignment="1">
      <alignment horizontal="center" vertical="top"/>
    </xf>
    <xf numFmtId="0" fontId="25" fillId="0" borderId="0" xfId="0" applyFont="1" applyAlignment="1">
      <alignment horizontal="center" wrapText="1"/>
    </xf>
    <xf numFmtId="0" fontId="34" fillId="0" borderId="0" xfId="0" applyFont="1" applyAlignment="1">
      <alignment horizontal="left" indent="1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 wrapText="1"/>
    </xf>
    <xf numFmtId="0" fontId="34" fillId="0" borderId="0" xfId="0" applyFont="1" applyAlignment="1">
      <alignment horizontal="center" vertical="center"/>
    </xf>
    <xf numFmtId="0" fontId="34" fillId="2" borderId="0" xfId="0" applyFont="1" applyFill="1" applyAlignment="1">
      <alignment horizontal="center" vertical="center"/>
    </xf>
    <xf numFmtId="0" fontId="26" fillId="4" borderId="0" xfId="0" applyFont="1" applyFill="1" applyAlignment="1">
      <alignment horizontal="center" vertical="center"/>
    </xf>
    <xf numFmtId="0" fontId="34" fillId="0" borderId="0" xfId="0" applyFont="1" applyAlignment="1">
      <alignment horizontal="center"/>
    </xf>
    <xf numFmtId="0" fontId="35" fillId="0" borderId="0" xfId="0" applyFont="1"/>
    <xf numFmtId="0" fontId="34" fillId="0" borderId="1" xfId="0" applyFont="1" applyBorder="1" applyAlignment="1">
      <alignment horizontal="left" indent="1"/>
    </xf>
    <xf numFmtId="49" fontId="36" fillId="0" borderId="0" xfId="0" applyNumberFormat="1" applyFont="1"/>
    <xf numFmtId="0" fontId="37" fillId="3" borderId="0" xfId="0" applyFont="1" applyFill="1"/>
    <xf numFmtId="0" fontId="34" fillId="39" borderId="0" xfId="0" applyFont="1" applyFill="1" applyAlignment="1">
      <alignment horizontal="center"/>
    </xf>
    <xf numFmtId="0" fontId="38" fillId="0" borderId="4" xfId="0" applyFont="1" applyBorder="1" applyAlignment="1">
      <alignment horizontal="center"/>
    </xf>
    <xf numFmtId="0" fontId="0" fillId="40" borderId="0" xfId="0" applyFill="1"/>
    <xf numFmtId="0" fontId="0" fillId="0" borderId="1" xfId="0" applyBorder="1" applyAlignment="1">
      <alignment horizontal="left" indent="1"/>
    </xf>
    <xf numFmtId="0" fontId="0" fillId="0" borderId="0" xfId="0" applyAlignment="1">
      <alignment horizontal="left" indent="1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39" fillId="0" borderId="0" xfId="0" applyFont="1" applyAlignment="1">
      <alignment horizontal="left" indent="1"/>
    </xf>
    <xf numFmtId="9" fontId="0" fillId="42" borderId="1" xfId="64" applyFont="1" applyFill="1" applyBorder="1" applyAlignment="1">
      <alignment horizontal="center"/>
    </xf>
    <xf numFmtId="10" fontId="0" fillId="0" borderId="1" xfId="64" applyNumberFormat="1" applyFont="1" applyBorder="1" applyAlignment="1">
      <alignment horizontal="center"/>
    </xf>
    <xf numFmtId="0" fontId="0" fillId="41" borderId="1" xfId="0" applyFill="1" applyBorder="1" applyAlignment="1">
      <alignment horizontal="center"/>
    </xf>
    <xf numFmtId="0" fontId="0" fillId="36" borderId="1" xfId="0" applyFill="1" applyBorder="1" applyAlignment="1">
      <alignment horizontal="center"/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40" fillId="40" borderId="1" xfId="0" applyFont="1" applyFill="1" applyBorder="1" applyAlignment="1">
      <alignment horizontal="center"/>
    </xf>
    <xf numFmtId="9" fontId="0" fillId="0" borderId="0" xfId="0" applyNumberFormat="1" applyAlignment="1">
      <alignment horizontal="center"/>
    </xf>
    <xf numFmtId="0" fontId="8" fillId="0" borderId="0" xfId="53">
      <alignment vertical="top"/>
    </xf>
    <xf numFmtId="49" fontId="26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left"/>
    </xf>
    <xf numFmtId="0" fontId="0" fillId="44" borderId="0" xfId="0" applyFill="1" applyAlignment="1">
      <alignment horizontal="center"/>
    </xf>
    <xf numFmtId="0" fontId="0" fillId="0" borderId="0" xfId="0" quotePrefix="1" applyAlignment="1">
      <alignment horizontal="center"/>
    </xf>
    <xf numFmtId="14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 vertical="center" wrapText="1"/>
    </xf>
    <xf numFmtId="0" fontId="8" fillId="0" borderId="1" xfId="53" quotePrefix="1" applyBorder="1">
      <alignment vertical="top"/>
    </xf>
    <xf numFmtId="0" fontId="41" fillId="0" borderId="1" xfId="53" applyFont="1" applyBorder="1" applyAlignment="1">
      <alignment horizontal="center" vertical="top"/>
    </xf>
    <xf numFmtId="0" fontId="8" fillId="0" borderId="0" xfId="53" applyAlignment="1">
      <alignment horizontal="center" vertical="top"/>
    </xf>
    <xf numFmtId="16" fontId="8" fillId="0" borderId="0" xfId="53" applyNumberFormat="1" applyAlignment="1">
      <alignment horizontal="center" vertical="top"/>
    </xf>
    <xf numFmtId="0" fontId="8" fillId="0" borderId="1" xfId="53" applyBorder="1" applyAlignment="1">
      <alignment horizontal="center" vertical="top"/>
    </xf>
    <xf numFmtId="0" fontId="8" fillId="0" borderId="1" xfId="53" quotePrefix="1" applyBorder="1" applyAlignment="1">
      <alignment horizontal="center" vertical="top"/>
    </xf>
    <xf numFmtId="0" fontId="41" fillId="0" borderId="1" xfId="53" quotePrefix="1" applyFont="1" applyBorder="1" applyAlignment="1">
      <alignment horizontal="center" vertical="top"/>
    </xf>
    <xf numFmtId="0" fontId="41" fillId="0" borderId="0" xfId="53" applyFont="1">
      <alignment vertical="top"/>
    </xf>
    <xf numFmtId="0" fontId="34" fillId="0" borderId="1" xfId="0" applyFont="1" applyBorder="1" applyAlignment="1">
      <alignment horizontal="left" wrapText="1" indent="1"/>
    </xf>
    <xf numFmtId="0" fontId="25" fillId="0" borderId="0" xfId="0" applyFont="1" applyAlignment="1">
      <alignment horizontal="center"/>
    </xf>
    <xf numFmtId="0" fontId="25" fillId="0" borderId="0" xfId="0" quotePrefix="1" applyFont="1" applyAlignment="1">
      <alignment horizontal="center"/>
    </xf>
    <xf numFmtId="0" fontId="21" fillId="0" borderId="0" xfId="0" applyFont="1"/>
    <xf numFmtId="0" fontId="34" fillId="0" borderId="14" xfId="0" applyFont="1" applyBorder="1" applyAlignment="1">
      <alignment horizontal="left" indent="1"/>
    </xf>
    <xf numFmtId="0" fontId="0" fillId="4" borderId="1" xfId="0" applyFill="1" applyBorder="1" applyAlignment="1">
      <alignment horizontal="center" vertical="top" wrapText="1"/>
    </xf>
    <xf numFmtId="0" fontId="25" fillId="0" borderId="1" xfId="0" applyFont="1" applyBorder="1" applyAlignment="1">
      <alignment horizontal="center"/>
    </xf>
    <xf numFmtId="0" fontId="26" fillId="0" borderId="1" xfId="0" applyFont="1" applyBorder="1" applyAlignment="1">
      <alignment horizontal="center"/>
    </xf>
    <xf numFmtId="0" fontId="2" fillId="38" borderId="2" xfId="0" applyFont="1" applyFill="1" applyBorder="1" applyAlignment="1">
      <alignment horizontal="center" wrapText="1"/>
    </xf>
    <xf numFmtId="0" fontId="25" fillId="0" borderId="1" xfId="0" applyFont="1" applyBorder="1" applyAlignment="1">
      <alignment horizontal="center" vertical="center" wrapText="1"/>
    </xf>
    <xf numFmtId="0" fontId="26" fillId="4" borderId="0" xfId="0" applyFont="1" applyFill="1" applyAlignment="1">
      <alignment horizontal="center" vertical="center" wrapText="1"/>
    </xf>
    <xf numFmtId="0" fontId="34" fillId="0" borderId="0" xfId="0" applyFont="1" applyAlignment="1">
      <alignment horizontal="center" vertical="center" wrapText="1"/>
    </xf>
    <xf numFmtId="0" fontId="26" fillId="0" borderId="1" xfId="0" applyFont="1" applyBorder="1" applyAlignment="1">
      <alignment horizontal="center" vertical="center" wrapText="1"/>
    </xf>
    <xf numFmtId="0" fontId="26" fillId="0" borderId="0" xfId="0" applyFont="1" applyAlignment="1">
      <alignment horizontal="center" wrapText="1"/>
    </xf>
    <xf numFmtId="0" fontId="0" fillId="37" borderId="1" xfId="0" applyFill="1" applyBorder="1" applyAlignment="1">
      <alignment horizontal="center" vertical="top" wrapText="1"/>
    </xf>
    <xf numFmtId="0" fontId="0" fillId="0" borderId="0" xfId="0" applyAlignment="1">
      <alignment wrapText="1"/>
    </xf>
    <xf numFmtId="0" fontId="0" fillId="43" borderId="0" xfId="0" applyFill="1" applyAlignment="1">
      <alignment horizontal="center" vertical="center" wrapText="1"/>
    </xf>
    <xf numFmtId="0" fontId="40" fillId="0" borderId="0" xfId="0" applyFont="1" applyAlignment="1">
      <alignment horizontal="center"/>
    </xf>
  </cellXfs>
  <cellStyles count="65">
    <cellStyle name="20% - Accent1" xfId="23" builtinId="30" customBuiltin="1"/>
    <cellStyle name="20% - Accent2" xfId="27" builtinId="34" customBuiltin="1"/>
    <cellStyle name="20% - Accent3" xfId="31" builtinId="38" customBuiltin="1"/>
    <cellStyle name="20% - Accent4" xfId="35" builtinId="42" customBuiltin="1"/>
    <cellStyle name="20% - Accent5" xfId="39" builtinId="46" customBuiltin="1"/>
    <cellStyle name="20% - Accent6" xfId="43" builtinId="50" customBuiltin="1"/>
    <cellStyle name="40% - Accent1" xfId="24" builtinId="31" customBuiltin="1"/>
    <cellStyle name="40% - Accent2" xfId="28" builtinId="35" customBuiltin="1"/>
    <cellStyle name="40% - Accent3" xfId="32" builtinId="39" customBuiltin="1"/>
    <cellStyle name="40% - Accent4" xfId="36" builtinId="43" customBuiltin="1"/>
    <cellStyle name="40% - Accent5" xfId="40" builtinId="47" customBuiltin="1"/>
    <cellStyle name="40% - Accent6" xfId="44" builtinId="51" customBuiltin="1"/>
    <cellStyle name="60% - Accent1" xfId="25" builtinId="32" customBuiltin="1"/>
    <cellStyle name="60% - Accent2" xfId="29" builtinId="36" customBuiltin="1"/>
    <cellStyle name="60% - Accent3" xfId="33" builtinId="40" customBuiltin="1"/>
    <cellStyle name="60% - Accent4" xfId="37" builtinId="44" customBuiltin="1"/>
    <cellStyle name="60% - Accent5" xfId="41" builtinId="48" customBuiltin="1"/>
    <cellStyle name="60% - Accent6" xfId="45" builtinId="52" customBuiltin="1"/>
    <cellStyle name="Accent1" xfId="22" builtinId="29" customBuiltin="1"/>
    <cellStyle name="Accent2" xfId="26" builtinId="33" customBuiltin="1"/>
    <cellStyle name="Accent3" xfId="30" builtinId="37" customBuiltin="1"/>
    <cellStyle name="Accent4" xfId="34" builtinId="41" customBuiltin="1"/>
    <cellStyle name="Accent5" xfId="38" builtinId="45" customBuiltin="1"/>
    <cellStyle name="Accent6" xfId="42" builtinId="49" customBuiltin="1"/>
    <cellStyle name="Bad" xfId="11" builtinId="27" customBuiltin="1"/>
    <cellStyle name="Calculation" xfId="15" builtinId="22" customBuiltin="1"/>
    <cellStyle name="Check Cell" xfId="17" builtinId="23" customBuiltin="1"/>
    <cellStyle name="Comma 2" xfId="48" xr:uid="{AF5AEB72-16C5-46AE-B2B9-84A5FB0D4184}"/>
    <cellStyle name="Comma 2 2" xfId="51" xr:uid="{AC3697B2-74FA-4FB3-A3D1-95CE1C556A26}"/>
    <cellStyle name="Comma 3" xfId="56" xr:uid="{129A4617-0B4F-4CED-A4E0-4ED91DF063D7}"/>
    <cellStyle name="Currency 2" xfId="3" xr:uid="{34DBD5CC-341B-4BD8-A434-1D422E3715F7}"/>
    <cellStyle name="Currency 2 2" xfId="49" xr:uid="{C960C5B4-0D65-4B56-B969-45EF4A1B0D45}"/>
    <cellStyle name="Currency 3" xfId="60" xr:uid="{722CE482-1A49-4C2E-B8BB-8F21EF6C2ABC}"/>
    <cellStyle name="Explanatory Text" xfId="20" builtinId="53" customBuiltin="1"/>
    <cellStyle name="Good" xfId="10" builtinId="26" customBuiltin="1"/>
    <cellStyle name="Heading 1" xfId="6" builtinId="16" customBuiltin="1"/>
    <cellStyle name="Heading 2" xfId="7" builtinId="17" customBuiltin="1"/>
    <cellStyle name="Heading 3" xfId="8" builtinId="18" customBuiltin="1"/>
    <cellStyle name="Heading 4" xfId="9" builtinId="19" customBuiltin="1"/>
    <cellStyle name="Hyperlink 2" xfId="2" xr:uid="{39C74947-F2D2-4BAC-A4B2-B46C9BA280DC}"/>
    <cellStyle name="Hyperlink 2 2" xfId="50" xr:uid="{09211E9F-C1D8-425C-9B99-7F16179452B8}"/>
    <cellStyle name="Hyperlink 3" xfId="47" xr:uid="{4163B0FC-9EB6-47B3-ABA3-8722390849D2}"/>
    <cellStyle name="Hyperlink 4" xfId="59" xr:uid="{ADC4150B-575A-45EA-96AE-53EBF5E5B67F}"/>
    <cellStyle name="Input" xfId="13" builtinId="20" customBuiltin="1"/>
    <cellStyle name="Les" xfId="46" xr:uid="{4A4798AD-BFDE-4B4E-9519-F0976443A61A}"/>
    <cellStyle name="Linked Cell" xfId="16" builtinId="24" customBuiltin="1"/>
    <cellStyle name="Neutral" xfId="12" builtinId="28" customBuiltin="1"/>
    <cellStyle name="Normal" xfId="0" builtinId="0"/>
    <cellStyle name="Normal 2" xfId="1" xr:uid="{E7AFC1C7-5EEB-44C7-919A-CCADD31032D5}"/>
    <cellStyle name="Normal 2 2" xfId="53" xr:uid="{2A2793A6-0ED6-459B-BA3D-8B2CA58852AA}"/>
    <cellStyle name="Normal 2 3" xfId="54" xr:uid="{6D2902E2-38C6-4F28-B65B-7725320F57E5}"/>
    <cellStyle name="Normal 3" xfId="4" xr:uid="{538ACB8B-0956-4945-AA2F-349C4F4439C6}"/>
    <cellStyle name="Normal 3 2" xfId="61" xr:uid="{7E5E312B-1B73-4942-A470-BF13249E6EC5}"/>
    <cellStyle name="Normal 4" xfId="55" xr:uid="{FC16D768-709D-47C7-A6F4-8D836BA51544}"/>
    <cellStyle name="Normal 4 2" xfId="62" xr:uid="{13060AA2-AC20-4C36-8C86-0A9582D04500}"/>
    <cellStyle name="Normal 5" xfId="58" xr:uid="{FB0A44CF-C6BC-425E-9612-BBC90E6054D7}"/>
    <cellStyle name="Normal 6" xfId="63" xr:uid="{D85F29D7-A075-4231-8275-6205B82C1645}"/>
    <cellStyle name="Note" xfId="19" builtinId="10" customBuiltin="1"/>
    <cellStyle name="Output" xfId="14" builtinId="21" customBuiltin="1"/>
    <cellStyle name="Percent" xfId="64" builtinId="5"/>
    <cellStyle name="Percent 2" xfId="52" xr:uid="{C4D7B645-0B37-4642-AF33-916BD06CB4EB}"/>
    <cellStyle name="Percent 3" xfId="57" xr:uid="{BA972914-D21D-4CDC-B569-2F5A6C221CA7}"/>
    <cellStyle name="Title" xfId="5" builtinId="15" customBuiltin="1"/>
    <cellStyle name="Total" xfId="21" builtinId="25" customBuiltin="1"/>
    <cellStyle name="Warning Text" xfId="18" builtinId="11" customBuiltin="1"/>
  </cellStyles>
  <dxfs count="37">
    <dxf>
      <font>
        <color theme="1"/>
      </font>
      <fill>
        <patternFill>
          <bgColor rgb="FFC6EFCE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7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C6EFCE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7"/>
        </patternFill>
      </fill>
    </dxf>
    <dxf>
      <font>
        <color theme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75A7D7E0-2953-4D8D-A36B-A5E551555081}"/>
  </tableStyles>
  <colors>
    <mruColors>
      <color rgb="FFFFCCFF"/>
      <color rgb="FFFF5050"/>
      <color rgb="FFD4E5F4"/>
      <color rgb="FFE4EE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22/11/relationships/FeaturePropertyBag" Target="featurePropertyBag/featurePropertyBag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O:\COMMON\DAILY%20INVENTORY\DAILY%20UPLOAD\3-16-2026\Low%20Stock%20Report%203-16-2026.csv.xlsx" TargetMode="External"/><Relationship Id="rId1" Type="http://schemas.openxmlformats.org/officeDocument/2006/relationships/externalLinkPath" Target="file:///O:\COMMON\DAILY%20INVENTORY\DAILY%20UPLOAD\3-16-2026\Low%20Stock%20Report%203-16-2026.csv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c-product-export-16-3-2026-177"/>
      <sheetName val="Low Stock Below 25"/>
    </sheetNames>
    <sheetDataSet>
      <sheetData sheetId="0">
        <row r="1">
          <cell r="A1" t="str">
            <v>SKU</v>
          </cell>
          <cell r="D1" t="str">
            <v>Sets Made</v>
          </cell>
        </row>
        <row r="2">
          <cell r="A2" t="str">
            <v>05005</v>
          </cell>
        </row>
        <row r="3">
          <cell r="A3" t="str">
            <v>05006</v>
          </cell>
        </row>
        <row r="4">
          <cell r="A4" t="str">
            <v>05013</v>
          </cell>
        </row>
        <row r="5">
          <cell r="A5" t="str">
            <v>05014</v>
          </cell>
        </row>
        <row r="6">
          <cell r="A6" t="str">
            <v>05021</v>
          </cell>
        </row>
        <row r="7">
          <cell r="A7" t="str">
            <v>05022</v>
          </cell>
        </row>
        <row r="8">
          <cell r="A8" t="str">
            <v>05025</v>
          </cell>
        </row>
        <row r="9">
          <cell r="A9" t="str">
            <v>05026</v>
          </cell>
        </row>
        <row r="10">
          <cell r="A10" t="str">
            <v>05028</v>
          </cell>
          <cell r="D10">
            <v>1</v>
          </cell>
        </row>
        <row r="11">
          <cell r="A11" t="str">
            <v>05029</v>
          </cell>
        </row>
        <row r="12">
          <cell r="A12" t="str">
            <v>05031</v>
          </cell>
        </row>
        <row r="13">
          <cell r="A13" t="str">
            <v>05032</v>
          </cell>
          <cell r="D13">
            <v>1</v>
          </cell>
        </row>
        <row r="14">
          <cell r="A14" t="str">
            <v>05045</v>
          </cell>
        </row>
        <row r="15">
          <cell r="A15" t="str">
            <v>05046</v>
          </cell>
        </row>
        <row r="16">
          <cell r="A16" t="str">
            <v>05048</v>
          </cell>
        </row>
        <row r="17">
          <cell r="A17" t="str">
            <v>05049</v>
          </cell>
        </row>
        <row r="18">
          <cell r="A18" t="str">
            <v>05050</v>
          </cell>
        </row>
        <row r="19">
          <cell r="A19" t="str">
            <v>05051</v>
          </cell>
        </row>
        <row r="20">
          <cell r="A20" t="str">
            <v>05055</v>
          </cell>
        </row>
        <row r="21">
          <cell r="A21" t="str">
            <v>05056</v>
          </cell>
        </row>
        <row r="22">
          <cell r="A22" t="str">
            <v>05060</v>
          </cell>
        </row>
        <row r="23">
          <cell r="A23" t="str">
            <v>05061</v>
          </cell>
        </row>
        <row r="24">
          <cell r="A24" t="str">
            <v>05065</v>
          </cell>
        </row>
        <row r="25">
          <cell r="A25" t="str">
            <v>05066</v>
          </cell>
        </row>
        <row r="26">
          <cell r="A26" t="str">
            <v>05068</v>
          </cell>
        </row>
        <row r="27">
          <cell r="A27" t="str">
            <v>05069</v>
          </cell>
        </row>
        <row r="28">
          <cell r="A28" t="str">
            <v>05072</v>
          </cell>
        </row>
        <row r="29">
          <cell r="A29" t="str">
            <v>05073</v>
          </cell>
        </row>
        <row r="30">
          <cell r="A30" t="str">
            <v>05097</v>
          </cell>
        </row>
        <row r="31">
          <cell r="A31" t="str">
            <v>05123</v>
          </cell>
        </row>
        <row r="32">
          <cell r="A32" t="str">
            <v>06010</v>
          </cell>
        </row>
        <row r="33">
          <cell r="A33" t="str">
            <v>06023</v>
          </cell>
        </row>
        <row r="34">
          <cell r="A34" t="str">
            <v>06024</v>
          </cell>
        </row>
        <row r="35">
          <cell r="A35" t="str">
            <v>06027</v>
          </cell>
        </row>
        <row r="36">
          <cell r="A36" t="str">
            <v>06030</v>
          </cell>
        </row>
        <row r="37">
          <cell r="A37" t="str">
            <v>06046</v>
          </cell>
        </row>
        <row r="38">
          <cell r="A38" t="str">
            <v>06200</v>
          </cell>
        </row>
        <row r="39">
          <cell r="A39" t="str">
            <v>06204</v>
          </cell>
        </row>
        <row r="40">
          <cell r="A40" t="str">
            <v>06206</v>
          </cell>
        </row>
        <row r="41">
          <cell r="A41" t="str">
            <v>06208</v>
          </cell>
        </row>
        <row r="42">
          <cell r="A42" t="str">
            <v>06214</v>
          </cell>
        </row>
        <row r="43">
          <cell r="A43" t="str">
            <v>06218</v>
          </cell>
        </row>
        <row r="44">
          <cell r="A44" t="str">
            <v>06226</v>
          </cell>
        </row>
        <row r="45">
          <cell r="A45" t="str">
            <v>06230</v>
          </cell>
        </row>
        <row r="46">
          <cell r="A46" t="str">
            <v>06242</v>
          </cell>
        </row>
        <row r="47">
          <cell r="A47" t="str">
            <v>07004</v>
          </cell>
        </row>
        <row r="48">
          <cell r="A48" t="str">
            <v>07006</v>
          </cell>
        </row>
        <row r="49">
          <cell r="A49" t="str">
            <v>07008</v>
          </cell>
        </row>
        <row r="50">
          <cell r="A50" t="str">
            <v>07010</v>
          </cell>
        </row>
        <row r="51">
          <cell r="A51" t="str">
            <v>07012</v>
          </cell>
        </row>
        <row r="52">
          <cell r="A52" t="str">
            <v>07024</v>
          </cell>
        </row>
        <row r="53">
          <cell r="A53" t="str">
            <v>07074</v>
          </cell>
        </row>
        <row r="54">
          <cell r="A54" t="str">
            <v>07086</v>
          </cell>
        </row>
        <row r="55">
          <cell r="A55" t="str">
            <v>07088</v>
          </cell>
        </row>
        <row r="56">
          <cell r="A56" t="str">
            <v>07090</v>
          </cell>
        </row>
        <row r="57">
          <cell r="A57" t="str">
            <v>07091</v>
          </cell>
        </row>
        <row r="58">
          <cell r="A58" t="str">
            <v>07242</v>
          </cell>
        </row>
        <row r="59">
          <cell r="A59" t="str">
            <v>07300</v>
          </cell>
        </row>
        <row r="60">
          <cell r="A60" t="str">
            <v>07304</v>
          </cell>
        </row>
        <row r="61">
          <cell r="A61" t="str">
            <v>07308</v>
          </cell>
        </row>
        <row r="62">
          <cell r="A62" t="str">
            <v>07309</v>
          </cell>
        </row>
        <row r="63">
          <cell r="A63" t="str">
            <v>07394</v>
          </cell>
        </row>
        <row r="64">
          <cell r="A64" t="str">
            <v>07395</v>
          </cell>
        </row>
        <row r="65">
          <cell r="A65" t="str">
            <v>07426</v>
          </cell>
        </row>
        <row r="66">
          <cell r="A66" t="str">
            <v>07427</v>
          </cell>
        </row>
        <row r="67">
          <cell r="A67" t="str">
            <v>07446</v>
          </cell>
        </row>
        <row r="68">
          <cell r="A68" t="str">
            <v>07447</v>
          </cell>
        </row>
        <row r="69">
          <cell r="A69" t="str">
            <v>07450</v>
          </cell>
        </row>
        <row r="70">
          <cell r="A70" t="str">
            <v>07454</v>
          </cell>
        </row>
        <row r="71">
          <cell r="A71" t="str">
            <v>07455</v>
          </cell>
        </row>
        <row r="72">
          <cell r="A72" t="str">
            <v>07456</v>
          </cell>
        </row>
        <row r="73">
          <cell r="A73" t="str">
            <v>07457</v>
          </cell>
        </row>
        <row r="74">
          <cell r="A74" t="str">
            <v>07458</v>
          </cell>
        </row>
        <row r="75">
          <cell r="A75" t="str">
            <v>07469</v>
          </cell>
        </row>
        <row r="76">
          <cell r="A76" t="str">
            <v>07510</v>
          </cell>
        </row>
        <row r="77">
          <cell r="A77" t="str">
            <v>07511</v>
          </cell>
        </row>
        <row r="78">
          <cell r="A78" t="str">
            <v>07512</v>
          </cell>
        </row>
        <row r="79">
          <cell r="A79" t="str">
            <v>07513</v>
          </cell>
        </row>
        <row r="80">
          <cell r="A80" t="str">
            <v>07514</v>
          </cell>
        </row>
        <row r="81">
          <cell r="A81">
            <v>10110</v>
          </cell>
        </row>
        <row r="82">
          <cell r="A82">
            <v>10111</v>
          </cell>
        </row>
        <row r="83">
          <cell r="A83">
            <v>10112</v>
          </cell>
        </row>
        <row r="84">
          <cell r="A84">
            <v>10113</v>
          </cell>
        </row>
        <row r="85">
          <cell r="A85">
            <v>20204</v>
          </cell>
        </row>
        <row r="86">
          <cell r="A86">
            <v>32425</v>
          </cell>
        </row>
        <row r="87">
          <cell r="A87">
            <v>32475</v>
          </cell>
        </row>
        <row r="88">
          <cell r="A88">
            <v>33060</v>
          </cell>
        </row>
        <row r="89">
          <cell r="A89">
            <v>33100</v>
          </cell>
        </row>
        <row r="90">
          <cell r="A90">
            <v>33119</v>
          </cell>
        </row>
        <row r="91">
          <cell r="A91">
            <v>33120</v>
          </cell>
        </row>
        <row r="92">
          <cell r="A92">
            <v>33400</v>
          </cell>
        </row>
        <row r="93">
          <cell r="A93">
            <v>33402</v>
          </cell>
        </row>
        <row r="94">
          <cell r="A94">
            <v>33420</v>
          </cell>
        </row>
        <row r="95">
          <cell r="A95">
            <v>33430</v>
          </cell>
        </row>
        <row r="96">
          <cell r="A96">
            <v>33570</v>
          </cell>
        </row>
        <row r="97">
          <cell r="A97">
            <v>33571</v>
          </cell>
        </row>
        <row r="98">
          <cell r="A98">
            <v>33572</v>
          </cell>
        </row>
        <row r="99">
          <cell r="A99">
            <v>33573</v>
          </cell>
          <cell r="D99">
            <v>11</v>
          </cell>
        </row>
        <row r="100">
          <cell r="A100">
            <v>33574</v>
          </cell>
          <cell r="D100">
            <v>5</v>
          </cell>
        </row>
        <row r="101">
          <cell r="A101">
            <v>33575</v>
          </cell>
        </row>
        <row r="102">
          <cell r="A102">
            <v>33576</v>
          </cell>
          <cell r="D102">
            <v>8</v>
          </cell>
        </row>
        <row r="103">
          <cell r="A103">
            <v>33579</v>
          </cell>
        </row>
        <row r="104">
          <cell r="A104">
            <v>33658</v>
          </cell>
        </row>
        <row r="105">
          <cell r="A105">
            <v>33670</v>
          </cell>
        </row>
        <row r="106">
          <cell r="A106">
            <v>33671</v>
          </cell>
        </row>
        <row r="107">
          <cell r="A107">
            <v>33672</v>
          </cell>
        </row>
        <row r="108">
          <cell r="A108">
            <v>33673</v>
          </cell>
          <cell r="D108">
            <v>9</v>
          </cell>
        </row>
        <row r="109">
          <cell r="A109">
            <v>33674</v>
          </cell>
          <cell r="D109">
            <v>11</v>
          </cell>
        </row>
        <row r="110">
          <cell r="A110">
            <v>33675</v>
          </cell>
        </row>
        <row r="111">
          <cell r="A111">
            <v>33720</v>
          </cell>
        </row>
        <row r="112">
          <cell r="A112">
            <v>33730</v>
          </cell>
        </row>
        <row r="113">
          <cell r="A113">
            <v>33777</v>
          </cell>
        </row>
        <row r="114">
          <cell r="A114">
            <v>33778</v>
          </cell>
        </row>
        <row r="115">
          <cell r="A115">
            <v>33779</v>
          </cell>
        </row>
        <row r="116">
          <cell r="A116">
            <v>33780</v>
          </cell>
        </row>
        <row r="117">
          <cell r="A117">
            <v>33782</v>
          </cell>
        </row>
        <row r="118">
          <cell r="A118">
            <v>33783</v>
          </cell>
        </row>
        <row r="119">
          <cell r="A119">
            <v>33807</v>
          </cell>
        </row>
        <row r="120">
          <cell r="A120">
            <v>33835</v>
          </cell>
        </row>
        <row r="121">
          <cell r="A121">
            <v>33910</v>
          </cell>
        </row>
        <row r="122">
          <cell r="A122">
            <v>33911</v>
          </cell>
          <cell r="D122">
            <v>4</v>
          </cell>
        </row>
        <row r="123">
          <cell r="A123">
            <v>33930</v>
          </cell>
          <cell r="D123">
            <v>5</v>
          </cell>
        </row>
        <row r="124">
          <cell r="A124">
            <v>33940</v>
          </cell>
        </row>
        <row r="125">
          <cell r="A125">
            <v>33966</v>
          </cell>
        </row>
        <row r="126">
          <cell r="A126">
            <v>33970</v>
          </cell>
        </row>
        <row r="127">
          <cell r="A127">
            <v>33971</v>
          </cell>
        </row>
        <row r="128">
          <cell r="A128">
            <v>33972</v>
          </cell>
        </row>
        <row r="129">
          <cell r="A129">
            <v>33973</v>
          </cell>
        </row>
        <row r="130">
          <cell r="A130">
            <v>33974</v>
          </cell>
        </row>
        <row r="131">
          <cell r="A131">
            <v>34000</v>
          </cell>
        </row>
        <row r="132">
          <cell r="A132">
            <v>34120</v>
          </cell>
        </row>
        <row r="133">
          <cell r="A133">
            <v>34220</v>
          </cell>
        </row>
        <row r="134">
          <cell r="A134">
            <v>34222</v>
          </cell>
        </row>
        <row r="135">
          <cell r="A135">
            <v>34240</v>
          </cell>
        </row>
        <row r="136">
          <cell r="A136">
            <v>34245</v>
          </cell>
        </row>
        <row r="137">
          <cell r="A137">
            <v>34255</v>
          </cell>
        </row>
        <row r="138">
          <cell r="A138">
            <v>34270</v>
          </cell>
        </row>
        <row r="139">
          <cell r="A139">
            <v>34271</v>
          </cell>
        </row>
        <row r="140">
          <cell r="A140">
            <v>34410</v>
          </cell>
        </row>
        <row r="141">
          <cell r="A141">
            <v>34414</v>
          </cell>
          <cell r="D141">
            <v>2</v>
          </cell>
        </row>
        <row r="142">
          <cell r="A142">
            <v>39200</v>
          </cell>
        </row>
        <row r="143">
          <cell r="A143">
            <v>39201</v>
          </cell>
        </row>
        <row r="144">
          <cell r="A144">
            <v>39202</v>
          </cell>
        </row>
        <row r="145">
          <cell r="A145">
            <v>39207</v>
          </cell>
        </row>
        <row r="146">
          <cell r="A146">
            <v>39210</v>
          </cell>
        </row>
        <row r="147">
          <cell r="A147">
            <v>39211</v>
          </cell>
        </row>
        <row r="148">
          <cell r="A148">
            <v>39215</v>
          </cell>
        </row>
        <row r="149">
          <cell r="A149">
            <v>39217</v>
          </cell>
        </row>
        <row r="150">
          <cell r="A150">
            <v>39220</v>
          </cell>
        </row>
        <row r="151">
          <cell r="A151">
            <v>39223</v>
          </cell>
        </row>
        <row r="152">
          <cell r="A152">
            <v>39225</v>
          </cell>
        </row>
        <row r="153">
          <cell r="A153">
            <v>39235</v>
          </cell>
        </row>
        <row r="154">
          <cell r="A154">
            <v>39238</v>
          </cell>
        </row>
        <row r="155">
          <cell r="A155">
            <v>39240</v>
          </cell>
        </row>
        <row r="156">
          <cell r="A156">
            <v>39243</v>
          </cell>
        </row>
        <row r="157">
          <cell r="A157">
            <v>39245</v>
          </cell>
        </row>
        <row r="158">
          <cell r="A158">
            <v>39248</v>
          </cell>
        </row>
        <row r="159">
          <cell r="A159">
            <v>39249</v>
          </cell>
        </row>
        <row r="160">
          <cell r="A160">
            <v>39250</v>
          </cell>
        </row>
        <row r="161">
          <cell r="A161">
            <v>39252</v>
          </cell>
        </row>
        <row r="162">
          <cell r="A162">
            <v>39253</v>
          </cell>
        </row>
        <row r="163">
          <cell r="A163">
            <v>39255</v>
          </cell>
        </row>
        <row r="164">
          <cell r="A164">
            <v>39257</v>
          </cell>
        </row>
        <row r="165">
          <cell r="A165">
            <v>39258</v>
          </cell>
        </row>
        <row r="166">
          <cell r="A166">
            <v>39259</v>
          </cell>
        </row>
        <row r="167">
          <cell r="A167">
            <v>39260</v>
          </cell>
        </row>
        <row r="168">
          <cell r="A168">
            <v>39263</v>
          </cell>
        </row>
        <row r="169">
          <cell r="A169">
            <v>39264</v>
          </cell>
        </row>
        <row r="170">
          <cell r="A170">
            <v>39268</v>
          </cell>
          <cell r="D170">
            <v>27</v>
          </cell>
        </row>
        <row r="171">
          <cell r="A171">
            <v>39269</v>
          </cell>
          <cell r="D171">
            <v>1</v>
          </cell>
        </row>
        <row r="172">
          <cell r="A172">
            <v>39273</v>
          </cell>
        </row>
        <row r="173">
          <cell r="A173">
            <v>39274</v>
          </cell>
          <cell r="D173">
            <v>5</v>
          </cell>
        </row>
        <row r="174">
          <cell r="A174">
            <v>39283</v>
          </cell>
          <cell r="D174">
            <v>1</v>
          </cell>
        </row>
        <row r="175">
          <cell r="A175">
            <v>39284</v>
          </cell>
        </row>
        <row r="176">
          <cell r="A176">
            <v>39285</v>
          </cell>
        </row>
        <row r="177">
          <cell r="A177">
            <v>39286</v>
          </cell>
        </row>
        <row r="178">
          <cell r="A178">
            <v>39287</v>
          </cell>
        </row>
        <row r="179">
          <cell r="A179">
            <v>39288</v>
          </cell>
        </row>
        <row r="180">
          <cell r="A180">
            <v>39289</v>
          </cell>
        </row>
        <row r="181">
          <cell r="A181">
            <v>39290</v>
          </cell>
        </row>
        <row r="182">
          <cell r="A182">
            <v>39292</v>
          </cell>
          <cell r="D182">
            <v>10</v>
          </cell>
        </row>
        <row r="183">
          <cell r="A183">
            <v>39295</v>
          </cell>
        </row>
        <row r="184">
          <cell r="A184">
            <v>39296</v>
          </cell>
        </row>
        <row r="185">
          <cell r="A185">
            <v>39297</v>
          </cell>
        </row>
        <row r="186">
          <cell r="A186">
            <v>39298</v>
          </cell>
        </row>
        <row r="187">
          <cell r="A187">
            <v>39455</v>
          </cell>
        </row>
        <row r="188">
          <cell r="A188">
            <v>39468</v>
          </cell>
        </row>
        <row r="189">
          <cell r="A189">
            <v>39530</v>
          </cell>
          <cell r="D189">
            <v>7</v>
          </cell>
        </row>
        <row r="190">
          <cell r="A190">
            <v>39547</v>
          </cell>
        </row>
        <row r="191">
          <cell r="A191">
            <v>39566</v>
          </cell>
        </row>
        <row r="192">
          <cell r="A192">
            <v>39567</v>
          </cell>
        </row>
        <row r="193">
          <cell r="A193">
            <v>39570</v>
          </cell>
        </row>
        <row r="194">
          <cell r="A194">
            <v>39571</v>
          </cell>
        </row>
        <row r="195">
          <cell r="A195">
            <v>39572</v>
          </cell>
        </row>
        <row r="196">
          <cell r="A196">
            <v>39573</v>
          </cell>
        </row>
        <row r="197">
          <cell r="A197">
            <v>39574</v>
          </cell>
        </row>
        <row r="198">
          <cell r="A198">
            <v>39577</v>
          </cell>
        </row>
        <row r="199">
          <cell r="A199">
            <v>39579</v>
          </cell>
        </row>
        <row r="200">
          <cell r="A200">
            <v>39580</v>
          </cell>
        </row>
        <row r="201">
          <cell r="A201">
            <v>39583</v>
          </cell>
        </row>
        <row r="202">
          <cell r="A202">
            <v>39584</v>
          </cell>
        </row>
        <row r="203">
          <cell r="A203">
            <v>39590</v>
          </cell>
        </row>
        <row r="204">
          <cell r="A204">
            <v>39593</v>
          </cell>
        </row>
        <row r="205">
          <cell r="A205">
            <v>39758</v>
          </cell>
        </row>
        <row r="206">
          <cell r="A206">
            <v>39800</v>
          </cell>
        </row>
        <row r="207">
          <cell r="A207">
            <v>39801</v>
          </cell>
        </row>
        <row r="208">
          <cell r="A208">
            <v>39802</v>
          </cell>
        </row>
        <row r="209">
          <cell r="A209">
            <v>39807</v>
          </cell>
        </row>
        <row r="210">
          <cell r="A210">
            <v>39810</v>
          </cell>
        </row>
        <row r="211">
          <cell r="A211">
            <v>39811</v>
          </cell>
        </row>
        <row r="212">
          <cell r="A212">
            <v>39815</v>
          </cell>
        </row>
        <row r="213">
          <cell r="A213">
            <v>39817</v>
          </cell>
        </row>
        <row r="214">
          <cell r="A214">
            <v>39820</v>
          </cell>
        </row>
        <row r="215">
          <cell r="A215">
            <v>39823</v>
          </cell>
        </row>
        <row r="216">
          <cell r="A216">
            <v>39825</v>
          </cell>
        </row>
        <row r="217">
          <cell r="A217">
            <v>39835</v>
          </cell>
        </row>
        <row r="218">
          <cell r="A218">
            <v>39838</v>
          </cell>
        </row>
        <row r="219">
          <cell r="A219">
            <v>39840</v>
          </cell>
        </row>
        <row r="220">
          <cell r="A220">
            <v>39843</v>
          </cell>
        </row>
        <row r="221">
          <cell r="A221">
            <v>39845</v>
          </cell>
        </row>
        <row r="222">
          <cell r="A222">
            <v>39848</v>
          </cell>
        </row>
        <row r="223">
          <cell r="A223">
            <v>39849</v>
          </cell>
        </row>
        <row r="224">
          <cell r="A224">
            <v>39850</v>
          </cell>
        </row>
        <row r="225">
          <cell r="A225">
            <v>39852</v>
          </cell>
        </row>
        <row r="226">
          <cell r="A226">
            <v>39853</v>
          </cell>
        </row>
        <row r="227">
          <cell r="A227">
            <v>39855</v>
          </cell>
        </row>
        <row r="228">
          <cell r="A228">
            <v>39857</v>
          </cell>
        </row>
        <row r="229">
          <cell r="A229">
            <v>39858</v>
          </cell>
        </row>
        <row r="230">
          <cell r="A230">
            <v>39859</v>
          </cell>
        </row>
        <row r="231">
          <cell r="A231">
            <v>39860</v>
          </cell>
        </row>
        <row r="232">
          <cell r="A232">
            <v>39863</v>
          </cell>
        </row>
        <row r="233">
          <cell r="A233">
            <v>39864</v>
          </cell>
        </row>
        <row r="234">
          <cell r="A234">
            <v>39868</v>
          </cell>
          <cell r="D234">
            <v>2</v>
          </cell>
        </row>
        <row r="235">
          <cell r="A235">
            <v>39869</v>
          </cell>
          <cell r="D235">
            <v>2</v>
          </cell>
        </row>
        <row r="236">
          <cell r="A236">
            <v>39873</v>
          </cell>
        </row>
        <row r="237">
          <cell r="A237">
            <v>39874</v>
          </cell>
          <cell r="D237">
            <v>4</v>
          </cell>
        </row>
        <row r="238">
          <cell r="A238">
            <v>39883</v>
          </cell>
        </row>
        <row r="239">
          <cell r="A239">
            <v>39884</v>
          </cell>
        </row>
        <row r="240">
          <cell r="A240">
            <v>39885</v>
          </cell>
        </row>
        <row r="241">
          <cell r="A241">
            <v>39886</v>
          </cell>
        </row>
        <row r="242">
          <cell r="A242">
            <v>39887</v>
          </cell>
        </row>
        <row r="243">
          <cell r="A243">
            <v>39888</v>
          </cell>
        </row>
        <row r="244">
          <cell r="A244">
            <v>39889</v>
          </cell>
        </row>
        <row r="245">
          <cell r="A245">
            <v>39890</v>
          </cell>
        </row>
        <row r="246">
          <cell r="A246">
            <v>39892</v>
          </cell>
          <cell r="D246">
            <v>12</v>
          </cell>
        </row>
        <row r="247">
          <cell r="A247">
            <v>39895</v>
          </cell>
          <cell r="D247">
            <v>2</v>
          </cell>
        </row>
        <row r="248">
          <cell r="A248">
            <v>39896</v>
          </cell>
        </row>
        <row r="249">
          <cell r="A249">
            <v>39897</v>
          </cell>
        </row>
        <row r="250">
          <cell r="A250">
            <v>39898</v>
          </cell>
        </row>
        <row r="251">
          <cell r="A251">
            <v>52807</v>
          </cell>
        </row>
        <row r="252">
          <cell r="A252">
            <v>52808</v>
          </cell>
        </row>
        <row r="253">
          <cell r="A253">
            <v>52816</v>
          </cell>
        </row>
        <row r="254">
          <cell r="A254">
            <v>52817</v>
          </cell>
        </row>
        <row r="255">
          <cell r="A255">
            <v>52818</v>
          </cell>
        </row>
        <row r="256">
          <cell r="A256">
            <v>52819</v>
          </cell>
        </row>
        <row r="257">
          <cell r="A257">
            <v>52820</v>
          </cell>
        </row>
        <row r="258">
          <cell r="A258">
            <v>52821</v>
          </cell>
        </row>
        <row r="259">
          <cell r="A259">
            <v>52822</v>
          </cell>
        </row>
        <row r="260">
          <cell r="A260">
            <v>52823</v>
          </cell>
        </row>
        <row r="261">
          <cell r="A261">
            <v>52865</v>
          </cell>
        </row>
        <row r="262">
          <cell r="A262">
            <v>53500</v>
          </cell>
        </row>
        <row r="263">
          <cell r="A263">
            <v>56201</v>
          </cell>
        </row>
        <row r="264">
          <cell r="A264">
            <v>56202</v>
          </cell>
        </row>
        <row r="265">
          <cell r="A265">
            <v>56203</v>
          </cell>
        </row>
        <row r="266">
          <cell r="A266">
            <v>56204</v>
          </cell>
        </row>
        <row r="267">
          <cell r="A267">
            <v>56207</v>
          </cell>
        </row>
        <row r="268">
          <cell r="A268">
            <v>56209</v>
          </cell>
        </row>
        <row r="269">
          <cell r="A269">
            <v>56210</v>
          </cell>
        </row>
        <row r="270">
          <cell r="A270">
            <v>56212</v>
          </cell>
        </row>
        <row r="271">
          <cell r="A271">
            <v>56213</v>
          </cell>
        </row>
        <row r="272">
          <cell r="A272">
            <v>56223</v>
          </cell>
        </row>
        <row r="273">
          <cell r="A273">
            <v>56224</v>
          </cell>
        </row>
        <row r="274">
          <cell r="A274">
            <v>56225</v>
          </cell>
        </row>
        <row r="275">
          <cell r="A275">
            <v>56226</v>
          </cell>
        </row>
        <row r="276">
          <cell r="A276">
            <v>56227</v>
          </cell>
        </row>
        <row r="277">
          <cell r="A277">
            <v>56228</v>
          </cell>
        </row>
        <row r="278">
          <cell r="A278">
            <v>56238</v>
          </cell>
        </row>
        <row r="279">
          <cell r="A279">
            <v>56239</v>
          </cell>
        </row>
        <row r="280">
          <cell r="A280">
            <v>56240</v>
          </cell>
        </row>
        <row r="281">
          <cell r="A281">
            <v>56243</v>
          </cell>
        </row>
        <row r="282">
          <cell r="A282">
            <v>56244</v>
          </cell>
        </row>
        <row r="283">
          <cell r="A283">
            <v>56245</v>
          </cell>
        </row>
        <row r="284">
          <cell r="A284">
            <v>56246</v>
          </cell>
        </row>
        <row r="285">
          <cell r="A285">
            <v>56247</v>
          </cell>
        </row>
        <row r="286">
          <cell r="A286">
            <v>56255</v>
          </cell>
        </row>
        <row r="287">
          <cell r="A287">
            <v>56256</v>
          </cell>
        </row>
        <row r="288">
          <cell r="A288">
            <v>56257</v>
          </cell>
        </row>
        <row r="289">
          <cell r="A289">
            <v>56258</v>
          </cell>
        </row>
        <row r="290">
          <cell r="A290">
            <v>56260</v>
          </cell>
        </row>
        <row r="291">
          <cell r="A291">
            <v>56261</v>
          </cell>
        </row>
        <row r="292">
          <cell r="A292">
            <v>56262</v>
          </cell>
          <cell r="D292">
            <v>3</v>
          </cell>
        </row>
        <row r="293">
          <cell r="A293">
            <v>56263</v>
          </cell>
        </row>
        <row r="294">
          <cell r="A294">
            <v>56266</v>
          </cell>
        </row>
        <row r="295">
          <cell r="A295">
            <v>56268</v>
          </cell>
          <cell r="D295">
            <v>25</v>
          </cell>
        </row>
        <row r="296">
          <cell r="A296">
            <v>56269</v>
          </cell>
        </row>
        <row r="297">
          <cell r="A297">
            <v>56270</v>
          </cell>
        </row>
        <row r="298">
          <cell r="A298">
            <v>56272</v>
          </cell>
        </row>
        <row r="299">
          <cell r="A299">
            <v>56274</v>
          </cell>
        </row>
        <row r="300">
          <cell r="A300">
            <v>56277</v>
          </cell>
        </row>
        <row r="301">
          <cell r="A301">
            <v>56278</v>
          </cell>
        </row>
        <row r="302">
          <cell r="A302">
            <v>56284</v>
          </cell>
        </row>
        <row r="303">
          <cell r="A303">
            <v>56285</v>
          </cell>
        </row>
        <row r="304">
          <cell r="A304">
            <v>56286</v>
          </cell>
        </row>
        <row r="305">
          <cell r="A305">
            <v>56287</v>
          </cell>
        </row>
        <row r="306">
          <cell r="A306">
            <v>56292</v>
          </cell>
          <cell r="D306">
            <v>21</v>
          </cell>
        </row>
        <row r="307">
          <cell r="A307">
            <v>56501</v>
          </cell>
        </row>
        <row r="308">
          <cell r="A308">
            <v>56502</v>
          </cell>
        </row>
        <row r="309">
          <cell r="A309">
            <v>56503</v>
          </cell>
        </row>
        <row r="310">
          <cell r="A310">
            <v>56504</v>
          </cell>
        </row>
        <row r="311">
          <cell r="A311">
            <v>56507</v>
          </cell>
        </row>
        <row r="312">
          <cell r="A312">
            <v>56509</v>
          </cell>
        </row>
        <row r="313">
          <cell r="A313">
            <v>56510</v>
          </cell>
        </row>
        <row r="314">
          <cell r="A314">
            <v>56512</v>
          </cell>
        </row>
        <row r="315">
          <cell r="A315">
            <v>56513</v>
          </cell>
        </row>
        <row r="316">
          <cell r="A316">
            <v>56523</v>
          </cell>
        </row>
        <row r="317">
          <cell r="A317">
            <v>56524</v>
          </cell>
        </row>
        <row r="318">
          <cell r="A318">
            <v>56525</v>
          </cell>
        </row>
        <row r="319">
          <cell r="A319">
            <v>56526</v>
          </cell>
        </row>
        <row r="320">
          <cell r="A320">
            <v>56527</v>
          </cell>
        </row>
        <row r="321">
          <cell r="A321">
            <v>56528</v>
          </cell>
        </row>
        <row r="322">
          <cell r="A322">
            <v>56538</v>
          </cell>
        </row>
        <row r="323">
          <cell r="A323">
            <v>56539</v>
          </cell>
        </row>
        <row r="324">
          <cell r="A324">
            <v>56540</v>
          </cell>
        </row>
        <row r="325">
          <cell r="A325">
            <v>56543</v>
          </cell>
        </row>
        <row r="326">
          <cell r="A326">
            <v>56544</v>
          </cell>
        </row>
        <row r="327">
          <cell r="A327">
            <v>56545</v>
          </cell>
        </row>
        <row r="328">
          <cell r="A328">
            <v>56546</v>
          </cell>
        </row>
        <row r="329">
          <cell r="A329">
            <v>56547</v>
          </cell>
        </row>
        <row r="330">
          <cell r="A330">
            <v>56555</v>
          </cell>
        </row>
        <row r="331">
          <cell r="A331">
            <v>56556</v>
          </cell>
        </row>
        <row r="332">
          <cell r="A332">
            <v>56557</v>
          </cell>
        </row>
        <row r="333">
          <cell r="A333">
            <v>56558</v>
          </cell>
        </row>
        <row r="334">
          <cell r="A334">
            <v>56560</v>
          </cell>
        </row>
        <row r="335">
          <cell r="A335">
            <v>56561</v>
          </cell>
        </row>
        <row r="336">
          <cell r="A336">
            <v>56562</v>
          </cell>
        </row>
        <row r="337">
          <cell r="A337">
            <v>56563</v>
          </cell>
        </row>
        <row r="338">
          <cell r="A338">
            <v>56566</v>
          </cell>
        </row>
        <row r="339">
          <cell r="A339">
            <v>56568</v>
          </cell>
          <cell r="D339">
            <v>23</v>
          </cell>
        </row>
        <row r="340">
          <cell r="A340">
            <v>56569</v>
          </cell>
        </row>
        <row r="341">
          <cell r="A341">
            <v>56570</v>
          </cell>
        </row>
        <row r="342">
          <cell r="A342">
            <v>56572</v>
          </cell>
        </row>
        <row r="343">
          <cell r="A343">
            <v>56574</v>
          </cell>
        </row>
        <row r="344">
          <cell r="A344">
            <v>56577</v>
          </cell>
        </row>
        <row r="345">
          <cell r="A345">
            <v>56578</v>
          </cell>
        </row>
        <row r="346">
          <cell r="A346">
            <v>56584</v>
          </cell>
        </row>
        <row r="347">
          <cell r="A347">
            <v>56585</v>
          </cell>
        </row>
        <row r="348">
          <cell r="A348">
            <v>56586</v>
          </cell>
        </row>
        <row r="349">
          <cell r="A349">
            <v>56587</v>
          </cell>
        </row>
        <row r="350">
          <cell r="A350">
            <v>56592</v>
          </cell>
          <cell r="D350">
            <v>37</v>
          </cell>
        </row>
        <row r="351">
          <cell r="A351">
            <v>56864</v>
          </cell>
        </row>
        <row r="352">
          <cell r="A352">
            <v>56865</v>
          </cell>
        </row>
        <row r="353">
          <cell r="A353">
            <v>56867</v>
          </cell>
        </row>
        <row r="354">
          <cell r="A354">
            <v>56868</v>
          </cell>
        </row>
        <row r="355">
          <cell r="A355">
            <v>56880</v>
          </cell>
        </row>
        <row r="356">
          <cell r="A356">
            <v>56889</v>
          </cell>
        </row>
        <row r="357">
          <cell r="A357">
            <v>56890</v>
          </cell>
        </row>
        <row r="358">
          <cell r="A358">
            <v>56891</v>
          </cell>
        </row>
        <row r="359">
          <cell r="A359">
            <v>56892</v>
          </cell>
        </row>
        <row r="360">
          <cell r="A360">
            <v>56893</v>
          </cell>
        </row>
        <row r="361">
          <cell r="A361">
            <v>56894</v>
          </cell>
        </row>
        <row r="362">
          <cell r="A362">
            <v>56895</v>
          </cell>
        </row>
        <row r="363">
          <cell r="A363">
            <v>59900</v>
          </cell>
        </row>
        <row r="364">
          <cell r="A364">
            <v>59901</v>
          </cell>
        </row>
        <row r="365">
          <cell r="A365">
            <v>59902</v>
          </cell>
        </row>
        <row r="366">
          <cell r="A366">
            <v>59907</v>
          </cell>
        </row>
        <row r="367">
          <cell r="A367">
            <v>59910</v>
          </cell>
        </row>
        <row r="368">
          <cell r="A368">
            <v>59911</v>
          </cell>
        </row>
        <row r="369">
          <cell r="A369">
            <v>59915</v>
          </cell>
        </row>
        <row r="370">
          <cell r="A370">
            <v>59917</v>
          </cell>
        </row>
        <row r="371">
          <cell r="A371">
            <v>59920</v>
          </cell>
        </row>
        <row r="372">
          <cell r="A372">
            <v>59923</v>
          </cell>
        </row>
        <row r="373">
          <cell r="A373">
            <v>59925</v>
          </cell>
        </row>
        <row r="374">
          <cell r="A374">
            <v>59935</v>
          </cell>
        </row>
        <row r="375">
          <cell r="A375">
            <v>59938</v>
          </cell>
        </row>
        <row r="376">
          <cell r="A376">
            <v>59940</v>
          </cell>
        </row>
        <row r="377">
          <cell r="A377">
            <v>59943</v>
          </cell>
        </row>
        <row r="378">
          <cell r="A378">
            <v>59945</v>
          </cell>
        </row>
        <row r="379">
          <cell r="A379">
            <v>59948</v>
          </cell>
        </row>
        <row r="380">
          <cell r="A380">
            <v>59949</v>
          </cell>
        </row>
        <row r="381">
          <cell r="A381">
            <v>59950</v>
          </cell>
        </row>
        <row r="382">
          <cell r="A382">
            <v>59952</v>
          </cell>
        </row>
        <row r="383">
          <cell r="A383">
            <v>59953</v>
          </cell>
        </row>
        <row r="384">
          <cell r="A384">
            <v>59955</v>
          </cell>
        </row>
        <row r="385">
          <cell r="A385">
            <v>59957</v>
          </cell>
        </row>
        <row r="386">
          <cell r="A386">
            <v>59958</v>
          </cell>
        </row>
        <row r="387">
          <cell r="A387">
            <v>59959</v>
          </cell>
        </row>
        <row r="388">
          <cell r="A388">
            <v>59960</v>
          </cell>
        </row>
        <row r="389">
          <cell r="A389">
            <v>59963</v>
          </cell>
        </row>
        <row r="390">
          <cell r="A390">
            <v>59964</v>
          </cell>
        </row>
        <row r="391">
          <cell r="A391">
            <v>59968</v>
          </cell>
          <cell r="D391">
            <v>13</v>
          </cell>
        </row>
        <row r="392">
          <cell r="A392">
            <v>59969</v>
          </cell>
          <cell r="D392">
            <v>1</v>
          </cell>
        </row>
        <row r="393">
          <cell r="A393">
            <v>59973</v>
          </cell>
        </row>
        <row r="394">
          <cell r="A394">
            <v>59974</v>
          </cell>
          <cell r="D394">
            <v>2</v>
          </cell>
        </row>
        <row r="395">
          <cell r="A395">
            <v>59983</v>
          </cell>
        </row>
        <row r="396">
          <cell r="A396">
            <v>59984</v>
          </cell>
        </row>
        <row r="397">
          <cell r="A397">
            <v>59985</v>
          </cell>
        </row>
        <row r="398">
          <cell r="A398">
            <v>59986</v>
          </cell>
        </row>
        <row r="399">
          <cell r="A399">
            <v>59987</v>
          </cell>
        </row>
        <row r="400">
          <cell r="A400">
            <v>59988</v>
          </cell>
        </row>
        <row r="401">
          <cell r="A401">
            <v>59989</v>
          </cell>
        </row>
        <row r="402">
          <cell r="A402">
            <v>59990</v>
          </cell>
        </row>
        <row r="403">
          <cell r="A403">
            <v>59992</v>
          </cell>
          <cell r="D403">
            <v>13</v>
          </cell>
        </row>
        <row r="404">
          <cell r="A404">
            <v>59995</v>
          </cell>
        </row>
        <row r="405">
          <cell r="A405">
            <v>59996</v>
          </cell>
          <cell r="D405">
            <v>2</v>
          </cell>
        </row>
        <row r="406">
          <cell r="A406">
            <v>59997</v>
          </cell>
        </row>
        <row r="407">
          <cell r="A407">
            <v>59998</v>
          </cell>
          <cell r="D407">
            <v>1</v>
          </cell>
        </row>
        <row r="408">
          <cell r="A408">
            <v>69900</v>
          </cell>
        </row>
        <row r="409">
          <cell r="A409">
            <v>69901</v>
          </cell>
        </row>
        <row r="410">
          <cell r="A410">
            <v>69902</v>
          </cell>
        </row>
        <row r="411">
          <cell r="A411">
            <v>69907</v>
          </cell>
        </row>
        <row r="412">
          <cell r="A412">
            <v>69910</v>
          </cell>
        </row>
        <row r="413">
          <cell r="A413">
            <v>69911</v>
          </cell>
        </row>
        <row r="414">
          <cell r="A414">
            <v>69915</v>
          </cell>
        </row>
        <row r="415">
          <cell r="A415">
            <v>69917</v>
          </cell>
        </row>
        <row r="416">
          <cell r="A416">
            <v>69920</v>
          </cell>
        </row>
        <row r="417">
          <cell r="A417">
            <v>69923</v>
          </cell>
        </row>
        <row r="418">
          <cell r="A418">
            <v>69925</v>
          </cell>
        </row>
        <row r="419">
          <cell r="A419">
            <v>69935</v>
          </cell>
        </row>
        <row r="420">
          <cell r="A420">
            <v>69938</v>
          </cell>
        </row>
        <row r="421">
          <cell r="A421">
            <v>69940</v>
          </cell>
        </row>
        <row r="422">
          <cell r="A422">
            <v>69943</v>
          </cell>
        </row>
        <row r="423">
          <cell r="A423">
            <v>69945</v>
          </cell>
        </row>
        <row r="424">
          <cell r="A424">
            <v>69948</v>
          </cell>
        </row>
        <row r="425">
          <cell r="A425">
            <v>69949</v>
          </cell>
        </row>
        <row r="426">
          <cell r="A426">
            <v>69950</v>
          </cell>
        </row>
        <row r="427">
          <cell r="A427">
            <v>69952</v>
          </cell>
        </row>
        <row r="428">
          <cell r="A428">
            <v>69953</v>
          </cell>
        </row>
        <row r="429">
          <cell r="A429">
            <v>69955</v>
          </cell>
        </row>
        <row r="430">
          <cell r="A430">
            <v>69957</v>
          </cell>
        </row>
        <row r="431">
          <cell r="A431">
            <v>69958</v>
          </cell>
        </row>
        <row r="432">
          <cell r="A432">
            <v>69959</v>
          </cell>
        </row>
        <row r="433">
          <cell r="A433">
            <v>69960</v>
          </cell>
        </row>
        <row r="434">
          <cell r="A434">
            <v>69963</v>
          </cell>
        </row>
        <row r="435">
          <cell r="A435">
            <v>69964</v>
          </cell>
        </row>
        <row r="436">
          <cell r="A436">
            <v>69968</v>
          </cell>
        </row>
        <row r="437">
          <cell r="A437">
            <v>69969</v>
          </cell>
        </row>
        <row r="438">
          <cell r="A438">
            <v>69973</v>
          </cell>
        </row>
        <row r="439">
          <cell r="A439">
            <v>69974</v>
          </cell>
          <cell r="D439">
            <v>4</v>
          </cell>
        </row>
        <row r="440">
          <cell r="A440">
            <v>69983</v>
          </cell>
        </row>
        <row r="441">
          <cell r="A441">
            <v>69984</v>
          </cell>
        </row>
        <row r="442">
          <cell r="A442">
            <v>69985</v>
          </cell>
        </row>
        <row r="443">
          <cell r="A443">
            <v>69986</v>
          </cell>
        </row>
        <row r="444">
          <cell r="A444">
            <v>69987</v>
          </cell>
        </row>
        <row r="445">
          <cell r="A445">
            <v>69988</v>
          </cell>
        </row>
        <row r="446">
          <cell r="A446">
            <v>69989</v>
          </cell>
        </row>
        <row r="447">
          <cell r="A447">
            <v>69990</v>
          </cell>
          <cell r="D447">
            <v>1</v>
          </cell>
        </row>
        <row r="448">
          <cell r="A448">
            <v>69992</v>
          </cell>
        </row>
        <row r="449">
          <cell r="A449">
            <v>69995</v>
          </cell>
        </row>
        <row r="450">
          <cell r="A450">
            <v>69996</v>
          </cell>
        </row>
        <row r="451">
          <cell r="A451">
            <v>69997</v>
          </cell>
        </row>
        <row r="452">
          <cell r="A452">
            <v>69998</v>
          </cell>
        </row>
        <row r="453">
          <cell r="A453">
            <v>79900</v>
          </cell>
        </row>
        <row r="454">
          <cell r="A454">
            <v>79901</v>
          </cell>
        </row>
        <row r="455">
          <cell r="A455">
            <v>79902</v>
          </cell>
        </row>
        <row r="456">
          <cell r="A456">
            <v>79907</v>
          </cell>
        </row>
        <row r="457">
          <cell r="A457">
            <v>79910</v>
          </cell>
        </row>
        <row r="458">
          <cell r="A458">
            <v>79911</v>
          </cell>
        </row>
        <row r="459">
          <cell r="A459">
            <v>79915</v>
          </cell>
        </row>
        <row r="460">
          <cell r="A460">
            <v>79917</v>
          </cell>
        </row>
        <row r="461">
          <cell r="A461">
            <v>79920</v>
          </cell>
        </row>
        <row r="462">
          <cell r="A462">
            <v>79923</v>
          </cell>
        </row>
        <row r="463">
          <cell r="A463">
            <v>79925</v>
          </cell>
        </row>
        <row r="464">
          <cell r="A464">
            <v>79935</v>
          </cell>
        </row>
        <row r="465">
          <cell r="A465">
            <v>79938</v>
          </cell>
        </row>
        <row r="466">
          <cell r="A466">
            <v>79940</v>
          </cell>
        </row>
        <row r="467">
          <cell r="A467">
            <v>79943</v>
          </cell>
        </row>
        <row r="468">
          <cell r="A468">
            <v>79945</v>
          </cell>
        </row>
        <row r="469">
          <cell r="A469">
            <v>79948</v>
          </cell>
        </row>
        <row r="470">
          <cell r="A470">
            <v>79949</v>
          </cell>
        </row>
        <row r="471">
          <cell r="A471">
            <v>79950</v>
          </cell>
        </row>
        <row r="472">
          <cell r="A472">
            <v>79952</v>
          </cell>
        </row>
        <row r="473">
          <cell r="A473">
            <v>79953</v>
          </cell>
        </row>
        <row r="474">
          <cell r="A474">
            <v>79955</v>
          </cell>
        </row>
        <row r="475">
          <cell r="A475">
            <v>79957</v>
          </cell>
        </row>
        <row r="476">
          <cell r="A476">
            <v>79958</v>
          </cell>
        </row>
        <row r="477">
          <cell r="A477">
            <v>79959</v>
          </cell>
        </row>
        <row r="478">
          <cell r="A478">
            <v>79960</v>
          </cell>
        </row>
        <row r="479">
          <cell r="A479">
            <v>79963</v>
          </cell>
        </row>
        <row r="480">
          <cell r="A480">
            <v>79964</v>
          </cell>
        </row>
        <row r="481">
          <cell r="A481">
            <v>79968</v>
          </cell>
          <cell r="D481">
            <v>8</v>
          </cell>
        </row>
        <row r="482">
          <cell r="A482">
            <v>79969</v>
          </cell>
        </row>
        <row r="483">
          <cell r="A483">
            <v>79973</v>
          </cell>
        </row>
        <row r="484">
          <cell r="A484">
            <v>79974</v>
          </cell>
          <cell r="D484">
            <v>3</v>
          </cell>
        </row>
        <row r="485">
          <cell r="A485">
            <v>79983</v>
          </cell>
        </row>
        <row r="486">
          <cell r="A486">
            <v>79984</v>
          </cell>
        </row>
        <row r="487">
          <cell r="A487">
            <v>79985</v>
          </cell>
        </row>
        <row r="488">
          <cell r="A488">
            <v>79986</v>
          </cell>
        </row>
        <row r="489">
          <cell r="A489">
            <v>79987</v>
          </cell>
        </row>
        <row r="490">
          <cell r="A490">
            <v>79988</v>
          </cell>
        </row>
        <row r="491">
          <cell r="A491">
            <v>79989</v>
          </cell>
        </row>
        <row r="492">
          <cell r="A492">
            <v>79990</v>
          </cell>
        </row>
        <row r="493">
          <cell r="A493">
            <v>79992</v>
          </cell>
        </row>
        <row r="494">
          <cell r="A494">
            <v>79995</v>
          </cell>
        </row>
        <row r="495">
          <cell r="A495">
            <v>79996</v>
          </cell>
        </row>
        <row r="496">
          <cell r="A496">
            <v>79997</v>
          </cell>
        </row>
        <row r="497">
          <cell r="A497">
            <v>79998</v>
          </cell>
        </row>
        <row r="498">
          <cell r="A498">
            <v>80316</v>
          </cell>
        </row>
        <row r="499">
          <cell r="A499">
            <v>80323</v>
          </cell>
        </row>
        <row r="500">
          <cell r="A500">
            <v>80416</v>
          </cell>
        </row>
        <row r="501">
          <cell r="A501">
            <v>80423</v>
          </cell>
        </row>
        <row r="502">
          <cell r="A502">
            <v>80516</v>
          </cell>
        </row>
        <row r="503">
          <cell r="A503">
            <v>80523</v>
          </cell>
        </row>
        <row r="504">
          <cell r="A504">
            <v>80616</v>
          </cell>
        </row>
        <row r="505">
          <cell r="A505">
            <v>80623</v>
          </cell>
        </row>
        <row r="506">
          <cell r="A506">
            <v>81217</v>
          </cell>
        </row>
        <row r="507">
          <cell r="A507">
            <v>82318</v>
          </cell>
        </row>
        <row r="508">
          <cell r="A508">
            <v>82418</v>
          </cell>
        </row>
        <row r="509">
          <cell r="A509">
            <v>82510</v>
          </cell>
        </row>
        <row r="510">
          <cell r="A510">
            <v>82518</v>
          </cell>
        </row>
      </sheetData>
      <sheetData sheetId="1"/>
    </sheetDataSet>
  </externalBook>
</externalLink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1C446-CF26-4C48-A3C9-ADE2C3CCC94A}">
  <dimension ref="A1:F6"/>
  <sheetViews>
    <sheetView workbookViewId="0">
      <selection activeCell="D13" sqref="D13"/>
    </sheetView>
  </sheetViews>
  <sheetFormatPr defaultRowHeight="14.4" x14ac:dyDescent="0.3"/>
  <sheetData>
    <row r="1" spans="1:6" x14ac:dyDescent="0.3">
      <c r="A1" t="s">
        <v>1356</v>
      </c>
    </row>
    <row r="3" spans="1:6" x14ac:dyDescent="0.3">
      <c r="A3" cm="1">
        <f t="array" ref="A3">IFERROR(IF(J2="SET",MIN(_xlfn._xlws.FILTER($Z$2:$Z$563, ISNUMBER(MATCH(TRIM($A$2:$A$563), TRIM(_xlfn.TEXTSPLIT(I2, ",")), 0)))),ROUNDUP(Z2*0.8,0))+AA2,Z2)</f>
        <v>0</v>
      </c>
      <c r="F3" cm="1">
        <f t="array" ref="F3">IFERROR(IF(#REF!="SET",IF(#REF!="Steak Set",ROUNDDOWN(MIN(_xlfn._xlws.FILTER($V$3:$V$562,ISNUMBER(MATCH(TRIM($A$3:$A$562),TRIM(_xlfn.TEXTSPLIT(#REF!,",")),0))))/4,0)+E3,IF(MIN(_xlfn._xlws.FILTER($V$3:$V$562,ISNUMBER(MATCH(TRIM($A$3:$A$562),TRIM(_xlfn.TEXTSPLIT(#REF!,",")),0))))&gt;$L$1,MIN(_xlfn._xlws.FILTER($V$3:$V$562,ISNUMBER(MATCH(TRIM($A$3:$A$562),TRIM(_xlfn.TEXTSPLIT(#REF!,",")),0))))+E3,0+E3)),ROUNDUP(D3*0.9,0)+E3),ROUNDUP(D3*0.9,0)+E3)</f>
        <v>0</v>
      </c>
    </row>
    <row r="5" spans="1:6" ht="15.6" x14ac:dyDescent="0.4">
      <c r="A5" s="17" t="s">
        <v>1405</v>
      </c>
    </row>
    <row r="6" spans="1:6" x14ac:dyDescent="0.3">
      <c r="F6" s="21" cm="1">
        <f t="array" ref="F6">IFERROR(IF(#REF!="SET",IF(#REF!="Steak Set",ROUNDDOWN(MIN(_xlfn._xlws.FILTER($V$3:$V$562,ISNUMBER(MATCH(TRIM($A$3:$A$562),TRIM(_xlfn.TEXTSPLIT(#REF!,",")),0))))/4,0)+E6,IF(MIN(_xlfn._xlws.FILTER($V$3:$V$562,ISNUMBER(MATCH(TRIM($A$3:$A$562),TRIM(_xlfn.TEXTSPLIT(#REF!,",")),0))))&gt;$L$1,MIN(_xlfn._xlws.FILTER($V$3:$V$562,ISNUMBER(MATCH(TRIM($A$3:$A$562),TRIM(_xlfn.TEXTSPLIT(#REF!,",")),0))))+E6,0+E6)),ROUNDUP(D6*0.9,0)+E6),ROUNDUP(D6*0.9,0)+E6)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5B5B5-4202-485B-B46E-85A8B8C6624C}">
  <sheetPr>
    <tabColor rgb="FF92D050"/>
  </sheetPr>
  <dimension ref="A1:A23"/>
  <sheetViews>
    <sheetView workbookViewId="0">
      <selection activeCell="A18" sqref="A18"/>
    </sheetView>
  </sheetViews>
  <sheetFormatPr defaultRowHeight="14.4" x14ac:dyDescent="0.3"/>
  <cols>
    <col min="1" max="1" width="121.6640625" bestFit="1" customWidth="1"/>
  </cols>
  <sheetData>
    <row r="1" spans="1:1" ht="15.6" x14ac:dyDescent="0.3">
      <c r="A1" s="15" t="s">
        <v>1302</v>
      </c>
    </row>
    <row r="3" spans="1:1" x14ac:dyDescent="0.3">
      <c r="A3" t="s">
        <v>1303</v>
      </c>
    </row>
    <row r="4" spans="1:1" x14ac:dyDescent="0.3">
      <c r="A4" t="s">
        <v>1304</v>
      </c>
    </row>
    <row r="5" spans="1:1" x14ac:dyDescent="0.3">
      <c r="A5" t="s">
        <v>1305</v>
      </c>
    </row>
    <row r="6" spans="1:1" x14ac:dyDescent="0.3">
      <c r="A6" t="s">
        <v>1306</v>
      </c>
    </row>
    <row r="7" spans="1:1" x14ac:dyDescent="0.3">
      <c r="A7" t="s">
        <v>1307</v>
      </c>
    </row>
    <row r="8" spans="1:1" x14ac:dyDescent="0.3">
      <c r="A8" t="s">
        <v>1308</v>
      </c>
    </row>
    <row r="9" spans="1:1" x14ac:dyDescent="0.3">
      <c r="A9" t="s">
        <v>1309</v>
      </c>
    </row>
    <row r="10" spans="1:1" x14ac:dyDescent="0.3">
      <c r="A10" t="s">
        <v>1310</v>
      </c>
    </row>
    <row r="11" spans="1:1" x14ac:dyDescent="0.3">
      <c r="A11" t="s">
        <v>1311</v>
      </c>
    </row>
    <row r="12" spans="1:1" x14ac:dyDescent="0.3">
      <c r="A12" t="s">
        <v>1312</v>
      </c>
    </row>
    <row r="13" spans="1:1" x14ac:dyDescent="0.3">
      <c r="A13" t="s">
        <v>1313</v>
      </c>
    </row>
    <row r="15" spans="1:1" x14ac:dyDescent="0.3">
      <c r="A15" s="18" t="s">
        <v>1368</v>
      </c>
    </row>
    <row r="16" spans="1:1" x14ac:dyDescent="0.3">
      <c r="A16" t="s">
        <v>1367</v>
      </c>
    </row>
    <row r="17" spans="1:1" x14ac:dyDescent="0.3">
      <c r="A17" t="s">
        <v>1364</v>
      </c>
    </row>
    <row r="18" spans="1:1" x14ac:dyDescent="0.3">
      <c r="A18" t="s">
        <v>1362</v>
      </c>
    </row>
    <row r="19" spans="1:1" x14ac:dyDescent="0.3">
      <c r="A19" t="s">
        <v>1363</v>
      </c>
    </row>
    <row r="20" spans="1:1" x14ac:dyDescent="0.3">
      <c r="A20" t="s">
        <v>1365</v>
      </c>
    </row>
    <row r="21" spans="1:1" x14ac:dyDescent="0.3">
      <c r="A21" t="s">
        <v>1366</v>
      </c>
    </row>
    <row r="22" spans="1:1" x14ac:dyDescent="0.3">
      <c r="A22" t="s">
        <v>1357</v>
      </c>
    </row>
    <row r="23" spans="1:1" x14ac:dyDescent="0.3">
      <c r="A23" t="s">
        <v>1358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6929F-CD89-4B69-BA7F-1152B2D4F9CC}">
  <sheetPr filterMode="1">
    <tabColor theme="5" tint="0.59999389629810485"/>
    <pageSetUpPr fitToPage="1"/>
  </sheetPr>
  <dimension ref="A1:V650"/>
  <sheetViews>
    <sheetView tabSelected="1" zoomScale="90" zoomScaleNormal="90" zoomScaleSheetLayoutView="85" workbookViewId="0">
      <pane xSplit="8" ySplit="2" topLeftCell="N3" activePane="bottomRight" state="frozen"/>
      <selection pane="topRight" activeCell="C1" sqref="C1"/>
      <selection pane="bottomLeft" activeCell="A2" sqref="A2"/>
      <selection pane="bottomRight" activeCell="Q12" sqref="Q12"/>
    </sheetView>
  </sheetViews>
  <sheetFormatPr defaultColWidth="8.6640625" defaultRowHeight="15.6" customHeight="1" x14ac:dyDescent="0.3"/>
  <cols>
    <col min="1" max="1" width="9" style="2" hidden="1" customWidth="1"/>
    <col min="2" max="2" width="9.88671875" style="50" customWidth="1"/>
    <col min="3" max="3" width="10" style="2" customWidth="1"/>
    <col min="4" max="4" width="12" style="14" customWidth="1"/>
    <col min="5" max="5" width="9.88671875" style="2" customWidth="1"/>
    <col min="6" max="6" width="16.33203125" style="3" hidden="1" customWidth="1"/>
    <col min="7" max="7" width="8.88671875" style="3" hidden="1" customWidth="1"/>
    <col min="8" max="8" width="50.33203125" style="8" customWidth="1"/>
    <col min="9" max="9" width="13.33203125" style="11" customWidth="1"/>
    <col min="10" max="10" width="17.88671875" style="1" customWidth="1"/>
    <col min="11" max="12" width="14.109375" style="1" customWidth="1"/>
    <col min="13" max="13" width="11.109375" style="3" customWidth="1"/>
    <col min="14" max="14" width="46.5546875" style="40" customWidth="1"/>
    <col min="15" max="15" width="9.88671875" style="2" customWidth="1"/>
    <col min="16" max="16" width="8.6640625" style="2" customWidth="1"/>
    <col min="17" max="17" width="20.21875" style="2" bestFit="1" customWidth="1"/>
    <col min="20" max="20" width="40.109375" bestFit="1" customWidth="1"/>
  </cols>
  <sheetData>
    <row r="1" spans="1:20" ht="21.75" hidden="1" customHeight="1" thickBot="1" x14ac:dyDescent="0.45">
      <c r="B1" s="2"/>
      <c r="D1" s="19" t="s">
        <v>1375</v>
      </c>
      <c r="E1" s="20">
        <v>2</v>
      </c>
      <c r="O1" s="37"/>
      <c r="P1" s="37"/>
      <c r="Q1" s="37"/>
      <c r="R1" s="37"/>
      <c r="S1" s="37"/>
      <c r="T1" s="20">
        <v>5</v>
      </c>
    </row>
    <row r="2" spans="1:20" s="64" customFormat="1" ht="37.5" customHeight="1" x14ac:dyDescent="0.3">
      <c r="A2" s="10" t="s">
        <v>241</v>
      </c>
      <c r="B2" s="58" t="s">
        <v>241</v>
      </c>
      <c r="C2" s="59" t="s">
        <v>1287</v>
      </c>
      <c r="D2" s="60" t="s">
        <v>1253</v>
      </c>
      <c r="E2" s="59" t="s">
        <v>1245</v>
      </c>
      <c r="F2" s="10" t="s">
        <v>1683</v>
      </c>
      <c r="G2" s="10" t="s">
        <v>1425</v>
      </c>
      <c r="H2" s="61" t="s">
        <v>0</v>
      </c>
      <c r="I2" s="60" t="s">
        <v>1676</v>
      </c>
      <c r="J2" s="62" t="s">
        <v>393</v>
      </c>
      <c r="K2" s="10" t="s">
        <v>1722</v>
      </c>
      <c r="L2" s="10" t="s">
        <v>1</v>
      </c>
      <c r="M2" s="10" t="s">
        <v>1252</v>
      </c>
      <c r="N2" s="35" t="s">
        <v>1314</v>
      </c>
      <c r="O2" s="54" t="s">
        <v>1752</v>
      </c>
      <c r="P2" s="54" t="s">
        <v>1751</v>
      </c>
      <c r="Q2" s="63" t="s">
        <v>1753</v>
      </c>
      <c r="T2" s="65" t="s">
        <v>1624</v>
      </c>
    </row>
    <row r="3" spans="1:20" ht="14.4" x14ac:dyDescent="0.3">
      <c r="A3" s="1">
        <v>5005</v>
      </c>
      <c r="B3" s="50" t="s">
        <v>1218</v>
      </c>
      <c r="C3" s="1" t="s">
        <v>1259</v>
      </c>
      <c r="D3" s="1" t="s">
        <v>624</v>
      </c>
      <c r="E3" s="1" t="s">
        <v>623</v>
      </c>
      <c r="F3" s="9"/>
      <c r="G3" s="9"/>
      <c r="H3" s="53" t="s">
        <v>1416</v>
      </c>
      <c r="I3" s="9" t="b">
        <f t="shared" ref="I3:I35" si="0">ISNUMBER(SEARCH($I$2,H3))</f>
        <v>0</v>
      </c>
      <c r="J3" s="1" t="s">
        <v>119</v>
      </c>
      <c r="K3" s="1" t="s">
        <v>435</v>
      </c>
      <c r="L3" s="1" t="s">
        <v>435</v>
      </c>
      <c r="M3" s="9"/>
      <c r="N3" s="35"/>
      <c r="O3" s="2">
        <v>9</v>
      </c>
      <c r="P3" s="2" cm="1">
        <f t="array" ref="P3">_xlfn.XLOOKUP(TRIM(B3),TRIM('[1]wc-product-export-16-3-2026-177'!$A:$A),'[1]wc-product-export-16-3-2026-177'!$D:$D,0,0)</f>
        <v>0</v>
      </c>
      <c r="Q3" s="2" cm="1">
        <f t="array" ref="Q3">IF(TRIM($D3)="SET",IF($K3="Steak Set1",ROUNDDOWN(IFERROR(MIN(_xlfn._xlws.FILTER(O$3:O$650,ISNUMBER(MATCH(TRIM($B$3:$B$650),TRIM(_xlfn.TEXTSPLIT($N3,",")),0)))),0)/4,0)+P3,IF(IFERROR(MIN(_xlfn._xlws.FILTER(O$3:O$650,ISNUMBER(MATCH(TRIM($B$3:$B$650),TRIM(_xlfn.TEXTSPLIT($N3,",")),0)))),0)&gt;=$E$1,IFERROR(MIN(_xlfn._xlws.FILTER(O$3:O$650,ISNUMBER(MATCH(TRIM($B$3:$B$650),TRIM(_xlfn.TEXTSPLIT($N3,",")),0)))),0)+P3,P3)),IF(TRIM($D3)="EA",IF(TRIM($E3)="M",ROUNDUP(O3*0.85,0),IF(TRIM($E3)="P",O3,P3)),P3))</f>
        <v>9</v>
      </c>
      <c r="T3" t="str" cm="1">
        <f t="array" ref="T3">IFERROR(IF(D3="SET",_xlfn.TEXTJOIN(", ",TRUE,_xlfn._xlws.FILTER(TRANSPOSE(TRIM(_xlfn.TEXTSPLIT(N3,","))),COUNTIFS(B$3:B$650,TRANSPOSE(TRIM(_xlfn.TEXTSPLIT(N3,","))),O$3:O$650,"&lt;="&amp;$T$1))),""),"")</f>
        <v/>
      </c>
    </row>
    <row r="4" spans="1:20" ht="14.4" x14ac:dyDescent="0.3">
      <c r="A4" s="1">
        <v>5006</v>
      </c>
      <c r="B4" s="50" t="s">
        <v>1209</v>
      </c>
      <c r="C4" s="1" t="s">
        <v>1259</v>
      </c>
      <c r="D4" s="1" t="s">
        <v>624</v>
      </c>
      <c r="E4" s="1" t="s">
        <v>623</v>
      </c>
      <c r="F4" s="9"/>
      <c r="G4" s="9"/>
      <c r="H4" s="16" t="s">
        <v>1417</v>
      </c>
      <c r="I4" s="9" t="b">
        <f t="shared" si="0"/>
        <v>0</v>
      </c>
      <c r="J4" s="1" t="s">
        <v>119</v>
      </c>
      <c r="K4" s="1" t="s">
        <v>435</v>
      </c>
      <c r="L4" s="1" t="s">
        <v>435</v>
      </c>
      <c r="M4" s="9"/>
      <c r="N4" s="35"/>
      <c r="O4" s="2">
        <v>17</v>
      </c>
      <c r="P4" s="2" cm="1">
        <f t="array" ref="P4">_xlfn.XLOOKUP(TRIM(B4),TRIM('[1]wc-product-export-16-3-2026-177'!$A:$A),'[1]wc-product-export-16-3-2026-177'!$D:$D,0,0)</f>
        <v>0</v>
      </c>
      <c r="Q4" s="2" cm="1">
        <f t="array" ref="Q4">IF(TRIM($D4)="SET",IF($K4="Steak Set1",ROUNDDOWN(IFERROR(MIN(_xlfn._xlws.FILTER(O$3:O$650,ISNUMBER(MATCH(TRIM($B$3:$B$650),TRIM(_xlfn.TEXTSPLIT($N4,",")),0)))),0)/4,0)+P4,IF(IFERROR(MIN(_xlfn._xlws.FILTER(O$3:O$650,ISNUMBER(MATCH(TRIM($B$3:$B$650),TRIM(_xlfn.TEXTSPLIT($N4,",")),0)))),0)&gt;=$E$1,IFERROR(MIN(_xlfn._xlws.FILTER(O$3:O$650,ISNUMBER(MATCH(TRIM($B$3:$B$650),TRIM(_xlfn.TEXTSPLIT($N4,",")),0)))),0)+P4,P4)),IF(TRIM($D4)="EA",IF(TRIM($E4)="M",ROUNDUP(O4*0.85,0),IF(TRIM($E4)="P",O4,P4)),P4))</f>
        <v>17</v>
      </c>
      <c r="T4" t="str" cm="1">
        <f t="array" ref="T4">IFERROR(IF(D4="SET",_xlfn.TEXTJOIN(", ",TRUE,_xlfn._xlws.FILTER(TRANSPOSE(TRIM(_xlfn.TEXTSPLIT(N4,","))),COUNTIFS(B$3:B$650,TRANSPOSE(TRIM(_xlfn.TEXTSPLIT(N4,","))),O$3:O$650,"&lt;="&amp;$T$1))),""),"")</f>
        <v/>
      </c>
    </row>
    <row r="5" spans="1:20" ht="14.4" x14ac:dyDescent="0.3">
      <c r="A5" s="1">
        <v>5013</v>
      </c>
      <c r="B5" s="50" t="s">
        <v>1197</v>
      </c>
      <c r="C5" s="1" t="s">
        <v>1259</v>
      </c>
      <c r="D5" s="1" t="s">
        <v>624</v>
      </c>
      <c r="E5" s="1" t="s">
        <v>623</v>
      </c>
      <c r="F5" s="9"/>
      <c r="G5" s="9"/>
      <c r="H5" s="16" t="s">
        <v>1419</v>
      </c>
      <c r="I5" s="9" t="b">
        <f t="shared" si="0"/>
        <v>0</v>
      </c>
      <c r="J5" s="1" t="s">
        <v>119</v>
      </c>
      <c r="K5" s="1" t="s">
        <v>435</v>
      </c>
      <c r="L5" s="1" t="s">
        <v>435</v>
      </c>
      <c r="M5" s="9"/>
      <c r="N5" s="35"/>
      <c r="O5" s="2">
        <v>16</v>
      </c>
      <c r="P5" s="2" cm="1">
        <f t="array" ref="P5">_xlfn.XLOOKUP(TRIM(B5),TRIM('[1]wc-product-export-16-3-2026-177'!$A:$A),'[1]wc-product-export-16-3-2026-177'!$D:$D,0,0)</f>
        <v>0</v>
      </c>
      <c r="Q5" s="2" cm="1">
        <f t="array" ref="Q5">IF(TRIM($D5)="SET",IF($K5="Steak Set1",ROUNDDOWN(IFERROR(MIN(_xlfn._xlws.FILTER(O$3:O$650,ISNUMBER(MATCH(TRIM($B$3:$B$650),TRIM(_xlfn.TEXTSPLIT($N5,",")),0)))),0)/4,0)+P5,IF(IFERROR(MIN(_xlfn._xlws.FILTER(O$3:O$650,ISNUMBER(MATCH(TRIM($B$3:$B$650),TRIM(_xlfn.TEXTSPLIT($N5,",")),0)))),0)&gt;=$E$1,IFERROR(MIN(_xlfn._xlws.FILTER(O$3:O$650,ISNUMBER(MATCH(TRIM($B$3:$B$650),TRIM(_xlfn.TEXTSPLIT($N5,",")),0)))),0)+P5,P5)),IF(TRIM($D5)="EA",IF(TRIM($E5)="M",ROUNDUP(O5*0.85,0),IF(TRIM($E5)="P",O5,P5)),P5))</f>
        <v>16</v>
      </c>
      <c r="T5" t="str" cm="1">
        <f t="array" ref="T5">IFERROR(IF(D5="SET",_xlfn.TEXTJOIN(", ",TRUE,_xlfn._xlws.FILTER(TRANSPOSE(TRIM(_xlfn.TEXTSPLIT(N5,","))),COUNTIFS(B$3:B$650,TRANSPOSE(TRIM(_xlfn.TEXTSPLIT(N5,","))),O$3:O$650,"&lt;="&amp;$T$1))),""),"")</f>
        <v/>
      </c>
    </row>
    <row r="6" spans="1:20" ht="14.4" x14ac:dyDescent="0.3">
      <c r="A6" s="1"/>
      <c r="B6" s="51" t="s">
        <v>622</v>
      </c>
      <c r="C6" s="1" t="s">
        <v>1259</v>
      </c>
      <c r="D6" s="1" t="s">
        <v>624</v>
      </c>
      <c r="E6" s="1" t="s">
        <v>623</v>
      </c>
      <c r="F6" s="9"/>
      <c r="G6" s="9"/>
      <c r="H6" s="16" t="s">
        <v>1746</v>
      </c>
      <c r="I6" s="9" t="b">
        <f t="shared" si="0"/>
        <v>0</v>
      </c>
      <c r="J6" s="1" t="s">
        <v>119</v>
      </c>
      <c r="K6" s="1" t="s">
        <v>435</v>
      </c>
      <c r="L6" s="1" t="s">
        <v>435</v>
      </c>
      <c r="M6" s="9"/>
      <c r="N6" s="35"/>
      <c r="O6" s="2" t="s">
        <v>458</v>
      </c>
      <c r="P6" s="2" cm="1">
        <f t="array" ref="P6">_xlfn.XLOOKUP(TRIM(B6),TRIM('[1]wc-product-export-16-3-2026-177'!$A:$A),'[1]wc-product-export-16-3-2026-177'!$D:$D,0,0)</f>
        <v>0</v>
      </c>
      <c r="T6" t="str" cm="1">
        <f t="array" ref="T6">IFERROR(IF(D6="SET",_xlfn.TEXTJOIN(", ",TRUE,_xlfn._xlws.FILTER(TRANSPOSE(TRIM(_xlfn.TEXTSPLIT(N6,","))),COUNTIFS(B$3:B$650,TRANSPOSE(TRIM(_xlfn.TEXTSPLIT(N6,","))),O$3:O$650,"&lt;="&amp;$T$1))),""),"")</f>
        <v/>
      </c>
    </row>
    <row r="7" spans="1:20" ht="14.4" x14ac:dyDescent="0.3">
      <c r="A7" s="1">
        <v>5050</v>
      </c>
      <c r="B7" s="55" t="s">
        <v>625</v>
      </c>
      <c r="C7" s="2" t="s">
        <v>1259</v>
      </c>
      <c r="D7" s="1" t="s">
        <v>624</v>
      </c>
      <c r="E7" s="1" t="s">
        <v>686</v>
      </c>
      <c r="F7" s="9"/>
      <c r="G7" s="9"/>
      <c r="H7" s="16" t="s">
        <v>228</v>
      </c>
      <c r="I7" s="9" t="b">
        <f t="shared" si="0"/>
        <v>0</v>
      </c>
      <c r="J7" s="1" t="s">
        <v>119</v>
      </c>
      <c r="K7" s="1" t="s">
        <v>354</v>
      </c>
      <c r="L7" s="1" t="s">
        <v>354</v>
      </c>
      <c r="M7" s="9"/>
      <c r="N7" s="35"/>
      <c r="O7" s="24">
        <v>16</v>
      </c>
      <c r="P7" s="2" cm="1">
        <f t="array" ref="P7">_xlfn.XLOOKUP(TRIM(B7),TRIM('[1]wc-product-export-16-3-2026-177'!$A:$A),'[1]wc-product-export-16-3-2026-177'!$D:$D,0,0)</f>
        <v>0</v>
      </c>
      <c r="Q7" s="2" cm="1">
        <f t="array" ref="Q7">IF(TRIM($D7)="SET",IF($K7="Steak Set1",ROUNDDOWN(IFERROR(MIN(_xlfn._xlws.FILTER(O$3:O$650,ISNUMBER(MATCH(TRIM($B$3:$B$650),TRIM(_xlfn.TEXTSPLIT($N7,",")),0)))),0)/4,0)+P7,IF(IFERROR(MIN(_xlfn._xlws.FILTER(O$3:O$650,ISNUMBER(MATCH(TRIM($B$3:$B$650),TRIM(_xlfn.TEXTSPLIT($N7,",")),0)))),0)&gt;=$E$1,IFERROR(MIN(_xlfn._xlws.FILTER(O$3:O$650,ISNUMBER(MATCH(TRIM($B$3:$B$650),TRIM(_xlfn.TEXTSPLIT($N7,",")),0)))),0)+P7,P7)),IF(TRIM($D7)="EA",IF(TRIM($E7)="M",ROUNDUP(O7*0.85,0),IF(TRIM($E7)="P",O7,P7)),P7))</f>
        <v>14</v>
      </c>
      <c r="T7" t="str" cm="1">
        <f t="array" ref="T7">IFERROR(IF(D7="SET",_xlfn.TEXTJOIN(", ",TRUE,_xlfn._xlws.FILTER(TRANSPOSE(TRIM(_xlfn.TEXTSPLIT(N7,","))),COUNTIFS(B$3:B$650,TRANSPOSE(TRIM(_xlfn.TEXTSPLIT(N7,","))),O$3:O$650,"&lt;="&amp;$T$1))),""),"")</f>
        <v/>
      </c>
    </row>
    <row r="8" spans="1:20" ht="14.4" x14ac:dyDescent="0.3">
      <c r="A8" s="1">
        <v>5072</v>
      </c>
      <c r="B8" s="55" t="s">
        <v>627</v>
      </c>
      <c r="C8" s="1" t="s">
        <v>1259</v>
      </c>
      <c r="D8" s="1" t="s">
        <v>628</v>
      </c>
      <c r="E8" s="1" t="s">
        <v>686</v>
      </c>
      <c r="F8" s="9" t="s">
        <v>1689</v>
      </c>
      <c r="G8" s="9"/>
      <c r="H8" s="16" t="s">
        <v>227</v>
      </c>
      <c r="I8" s="9" t="b">
        <f t="shared" si="0"/>
        <v>0</v>
      </c>
      <c r="J8" s="1" t="s">
        <v>119</v>
      </c>
      <c r="K8" s="1" t="s">
        <v>354</v>
      </c>
      <c r="L8" s="1" t="s">
        <v>354</v>
      </c>
      <c r="M8" s="9"/>
      <c r="N8" s="35" t="s">
        <v>1609</v>
      </c>
      <c r="O8" s="24">
        <v>18</v>
      </c>
      <c r="P8" s="2" cm="1">
        <f t="array" ref="P8">_xlfn.XLOOKUP(TRIM(B8),TRIM('[1]wc-product-export-16-3-2026-177'!$A:$A),'[1]wc-product-export-16-3-2026-177'!$D:$D,0,0)</f>
        <v>0</v>
      </c>
      <c r="Q8" s="2" cm="1">
        <f t="array" ref="Q8">IF(TRIM($D8)="SET",IF($K8="Steak Set1",ROUNDDOWN(IFERROR(MIN(_xlfn._xlws.FILTER(O$3:O$650,ISNUMBER(MATCH(TRIM($B$3:$B$650),TRIM(_xlfn.TEXTSPLIT($N8,",")),0)))),0)/4,0)+P8,IF(IFERROR(MIN(_xlfn._xlws.FILTER(O$3:O$650,ISNUMBER(MATCH(TRIM($B$3:$B$650),TRIM(_xlfn.TEXTSPLIT($N8,",")),0)))),0)&gt;=$E$1,IFERROR(MIN(_xlfn._xlws.FILTER(O$3:O$650,ISNUMBER(MATCH(TRIM($B$3:$B$650),TRIM(_xlfn.TEXTSPLIT($N8,",")),0)))),0)+P8,P8)),IF(TRIM($D8)="EA",IF(TRIM($E8)="M",ROUNDUP(O8*0.85,0),IF(TRIM($E8)="P",O8,P8)),P8))</f>
        <v>16</v>
      </c>
      <c r="T8" t="str" cm="1">
        <f t="array" ref="T8">IFERROR(IF(D8="SET",_xlfn.TEXTJOIN(", ",TRUE,_xlfn._xlws.FILTER(TRANSPOSE(TRIM(_xlfn.TEXTSPLIT(N8,","))),COUNTIFS(B$3:B$650,TRANSPOSE(TRIM(_xlfn.TEXTSPLIT(N8,","))),O$3:O$650,"&lt;="&amp;$T$1))),""),"")</f>
        <v/>
      </c>
    </row>
    <row r="9" spans="1:20" ht="14.4" x14ac:dyDescent="0.3">
      <c r="B9" s="55" t="s">
        <v>1699</v>
      </c>
      <c r="C9" s="1" t="s">
        <v>1259</v>
      </c>
      <c r="D9" s="1" t="s">
        <v>628</v>
      </c>
      <c r="E9" s="2" t="s">
        <v>686</v>
      </c>
      <c r="H9" s="49" t="s">
        <v>1703</v>
      </c>
      <c r="I9" s="9" t="b">
        <f t="shared" si="0"/>
        <v>0</v>
      </c>
      <c r="J9" s="1" t="s">
        <v>119</v>
      </c>
      <c r="K9" s="1" t="s">
        <v>354</v>
      </c>
      <c r="L9" s="1" t="s">
        <v>354</v>
      </c>
      <c r="N9" s="40" t="s">
        <v>1704</v>
      </c>
      <c r="O9" s="24">
        <v>16</v>
      </c>
      <c r="P9" s="2" cm="1">
        <f t="array" ref="P9">_xlfn.XLOOKUP(TRIM(B9),TRIM('[1]wc-product-export-16-3-2026-177'!$A:$A),'[1]wc-product-export-16-3-2026-177'!$D:$D,0,0)</f>
        <v>0</v>
      </c>
      <c r="Q9" s="2" cm="1">
        <f t="array" ref="Q9">IF(TRIM($D9)="SET",IF($K9="Steak Set1",ROUNDDOWN(IFERROR(MIN(_xlfn._xlws.FILTER(O$3:O$650,ISNUMBER(MATCH(TRIM($B$3:$B$650),TRIM(_xlfn.TEXTSPLIT($N9,",")),0)))),0)/4,0)+P9,IF(IFERROR(MIN(_xlfn._xlws.FILTER(O$3:O$650,ISNUMBER(MATCH(TRIM($B$3:$B$650),TRIM(_xlfn.TEXTSPLIT($N9,",")),0)))),0)&gt;=$E$1,IFERROR(MIN(_xlfn._xlws.FILTER(O$3:O$650,ISNUMBER(MATCH(TRIM($B$3:$B$650),TRIM(_xlfn.TEXTSPLIT($N9,",")),0)))),0)+P9,P9)),IF(TRIM($D9)="EA",IF(TRIM($E9)="M",ROUNDUP(O9*0.85,0),IF(TRIM($E9)="P",O9,P9)),P9))</f>
        <v>16</v>
      </c>
      <c r="T9" t="str" cm="1">
        <f t="array" ref="T9">IFERROR(IF(D9="SET",_xlfn.TEXTJOIN(", ",TRUE,_xlfn._xlws.FILTER(TRANSPOSE(TRIM(_xlfn.TEXTSPLIT(N9,","))),COUNTIFS(B$3:B$650,TRANSPOSE(TRIM(_xlfn.TEXTSPLIT(N9,","))),O$3:O$650,"&lt;="&amp;$T$1))),""),"")</f>
        <v/>
      </c>
    </row>
    <row r="10" spans="1:20" ht="14.4" hidden="1" x14ac:dyDescent="0.3">
      <c r="A10" s="1" t="s">
        <v>1430</v>
      </c>
      <c r="B10" s="1" t="s">
        <v>1430</v>
      </c>
      <c r="C10" s="1" t="s">
        <v>1259</v>
      </c>
      <c r="D10" s="14" t="s">
        <v>624</v>
      </c>
      <c r="E10" s="2" t="s">
        <v>686</v>
      </c>
      <c r="F10" s="9" t="s">
        <v>1690</v>
      </c>
      <c r="H10" s="53" t="s">
        <v>1481</v>
      </c>
      <c r="I10" s="9" t="b">
        <f t="shared" si="0"/>
        <v>0</v>
      </c>
      <c r="J10" s="1" t="s">
        <v>1529</v>
      </c>
      <c r="K10" s="1" t="s">
        <v>1529</v>
      </c>
      <c r="L10" s="1" t="s">
        <v>1529</v>
      </c>
      <c r="N10" s="35"/>
      <c r="O10" s="2" t="s">
        <v>458</v>
      </c>
      <c r="P10" s="2" cm="1">
        <f t="array" ref="P10">_xlfn.XLOOKUP(TRIM(B10),TRIM('[1]wc-product-export-16-3-2026-177'!$A:$A),'[1]wc-product-export-16-3-2026-177'!$D:$D,0,0)</f>
        <v>0</v>
      </c>
      <c r="Q10" s="2" t="e" cm="1">
        <f t="array" ref="Q10">IF(TRIM($D10)="SET",IF($K10="Steak Set1",ROUNDDOWN(IFERROR(MIN(_xlfn._xlws.FILTER(O$3:O$650,ISNUMBER(MATCH(TRIM($B$3:$B$650),TRIM(_xlfn.TEXTSPLIT($N10,",")),0)))),0)/4,0)+P10,IF(IFERROR(MIN(_xlfn._xlws.FILTER(O$3:O$650,ISNUMBER(MATCH(TRIM($B$3:$B$650),TRIM(_xlfn.TEXTSPLIT($N10,",")),0)))),0)&gt;=$E$1,IFERROR(MIN(_xlfn._xlws.FILTER(O$3:O$650,ISNUMBER(MATCH(TRIM($B$3:$B$650),TRIM(_xlfn.TEXTSPLIT($N10,",")),0)))),0)+P10,P10)),IF(TRIM($D10)="EA",IF(TRIM($E10)="M",ROUNDUP(O10*0.85,0),IF(TRIM($E10)="P",O10,P10)),P10))</f>
        <v>#VALUE!</v>
      </c>
      <c r="T10" t="str" cm="1">
        <f t="array" ref="T10">IFERROR(IF(D10="SET",_xlfn.TEXTJOIN(", ",TRUE,_xlfn._xlws.FILTER(TRANSPOSE(TRIM(_xlfn.TEXTSPLIT(N10,","))),COUNTIFS(B$3:B$650,TRANSPOSE(TRIM(_xlfn.TEXTSPLIT(N10,","))),O$3:O$650,"&lt;="&amp;$T$1))),""),"")</f>
        <v/>
      </c>
    </row>
    <row r="11" spans="1:20" ht="14.4" hidden="1" x14ac:dyDescent="0.3">
      <c r="A11" s="1" t="s">
        <v>1452</v>
      </c>
      <c r="B11" s="1" t="s">
        <v>1452</v>
      </c>
      <c r="C11" s="1" t="s">
        <v>1259</v>
      </c>
      <c r="D11" s="14" t="s">
        <v>624</v>
      </c>
      <c r="E11" s="2" t="s">
        <v>686</v>
      </c>
      <c r="F11" s="9"/>
      <c r="H11" s="16" t="s">
        <v>1503</v>
      </c>
      <c r="I11" s="9" t="b">
        <f t="shared" si="0"/>
        <v>0</v>
      </c>
      <c r="J11" s="1" t="s">
        <v>1529</v>
      </c>
      <c r="K11" s="1" t="s">
        <v>1529</v>
      </c>
      <c r="L11" s="1" t="s">
        <v>1529</v>
      </c>
      <c r="N11" s="35"/>
      <c r="O11" s="2" t="s">
        <v>458</v>
      </c>
      <c r="P11" s="2" cm="1">
        <f t="array" ref="P11">_xlfn.XLOOKUP(TRIM(B11),TRIM('[1]wc-product-export-16-3-2026-177'!$A:$A),'[1]wc-product-export-16-3-2026-177'!$D:$D,0,0)</f>
        <v>0</v>
      </c>
      <c r="Q11" s="2" t="e" cm="1">
        <f t="array" ref="Q11">IF(TRIM($D11)="SET",IF($K11="Steak Set1",ROUNDDOWN(IFERROR(MIN(_xlfn._xlws.FILTER(O$3:O$650,ISNUMBER(MATCH(TRIM($B$3:$B$650),TRIM(_xlfn.TEXTSPLIT($N11,",")),0)))),0)/4,0)+P11,IF(IFERROR(MIN(_xlfn._xlws.FILTER(O$3:O$650,ISNUMBER(MATCH(TRIM($B$3:$B$650),TRIM(_xlfn.TEXTSPLIT($N11,",")),0)))),0)&gt;=$E$1,IFERROR(MIN(_xlfn._xlws.FILTER(O$3:O$650,ISNUMBER(MATCH(TRIM($B$3:$B$650),TRIM(_xlfn.TEXTSPLIT($N11,",")),0)))),0)+P11,P11)),IF(TRIM($D11)="EA",IF(TRIM($E11)="M",ROUNDUP(O11*0.85,0),IF(TRIM($E11)="P",O11,P11)),P11))</f>
        <v>#VALUE!</v>
      </c>
      <c r="T11" t="str" cm="1">
        <f t="array" ref="T11">IFERROR(IF(D11="SET",_xlfn.TEXTJOIN(", ",TRUE,_xlfn._xlws.FILTER(TRANSPOSE(TRIM(_xlfn.TEXTSPLIT(N11,","))),COUNTIFS(B$3:B$650,TRANSPOSE(TRIM(_xlfn.TEXTSPLIT(N11,","))),O$3:O$650,"&lt;="&amp;$T$1))),""),"")</f>
        <v/>
      </c>
    </row>
    <row r="12" spans="1:20" ht="14.4" x14ac:dyDescent="0.3">
      <c r="A12" s="1">
        <v>5044</v>
      </c>
      <c r="B12" s="1" t="s">
        <v>1192</v>
      </c>
      <c r="C12" s="1" t="s">
        <v>1259</v>
      </c>
      <c r="D12" s="1" t="s">
        <v>628</v>
      </c>
      <c r="E12" s="1" t="s">
        <v>623</v>
      </c>
      <c r="F12" s="9" t="s">
        <v>1608</v>
      </c>
      <c r="G12" s="9"/>
      <c r="H12" s="16" t="s">
        <v>1376</v>
      </c>
      <c r="I12" s="9" t="b">
        <f t="shared" si="0"/>
        <v>0</v>
      </c>
      <c r="J12" s="1" t="s">
        <v>119</v>
      </c>
      <c r="K12" s="1" t="s">
        <v>435</v>
      </c>
      <c r="L12" s="1" t="s">
        <v>435</v>
      </c>
      <c r="M12" s="9"/>
      <c r="N12" s="35"/>
      <c r="O12" s="2" t="s">
        <v>458</v>
      </c>
      <c r="P12" s="2" cm="1">
        <f t="array" ref="P12">_xlfn.XLOOKUP(TRIM(B12),TRIM('[1]wc-product-export-16-3-2026-177'!$A:$A),'[1]wc-product-export-16-3-2026-177'!$D:$D,0,0)</f>
        <v>0</v>
      </c>
      <c r="Q12" s="2" cm="1">
        <f t="array" ref="Q12">IF(TRIM($D12)="SET",IF($K12="Steak Set1",ROUNDDOWN(IFERROR(MIN(_xlfn._xlws.FILTER(O$3:O$650,ISNUMBER(MATCH(TRIM($B$3:$B$650),TRIM(_xlfn.TEXTSPLIT($N12,",")),0)))),0)/4,0)+P12,IF(IFERROR(MIN(_xlfn._xlws.FILTER(O$3:O$650,ISNUMBER(MATCH(TRIM($B$3:$B$650),TRIM(_xlfn.TEXTSPLIT($N12,",")),0)))),0)&gt;=$E$1,IFERROR(MIN(_xlfn._xlws.FILTER(O$3:O$650,ISNUMBER(MATCH(TRIM($B$3:$B$650),TRIM(_xlfn.TEXTSPLIT($N12,",")),0)))),0)+P12,P12)),IF(TRIM($D12)="EA",IF(TRIM($E12)="M",ROUNDUP(O12*0.85,0),IF(TRIM($E12)="P",O12,P12)),P12))</f>
        <v>0</v>
      </c>
      <c r="T12" t="str" cm="1">
        <f t="array" ref="T12">IFERROR(IF(D12="SET",_xlfn.TEXTJOIN(", ",TRUE,_xlfn._xlws.FILTER(TRANSPOSE(TRIM(_xlfn.TEXTSPLIT(N12,","))),COUNTIFS(B$3:B$650,TRANSPOSE(TRIM(_xlfn.TEXTSPLIT(N12,","))),O$3:O$650,"&lt;="&amp;$T$1))),""),"")</f>
        <v/>
      </c>
    </row>
    <row r="13" spans="1:20" ht="14.4" x14ac:dyDescent="0.3">
      <c r="A13" s="1">
        <v>5047</v>
      </c>
      <c r="B13" s="1" t="s">
        <v>1210</v>
      </c>
      <c r="C13" s="1" t="s">
        <v>1259</v>
      </c>
      <c r="D13" s="1" t="s">
        <v>628</v>
      </c>
      <c r="E13" s="1" t="s">
        <v>623</v>
      </c>
      <c r="F13" s="9" t="s">
        <v>1689</v>
      </c>
      <c r="G13" s="9"/>
      <c r="H13" s="16" t="s">
        <v>1379</v>
      </c>
      <c r="I13" s="9" t="b">
        <f t="shared" si="0"/>
        <v>0</v>
      </c>
      <c r="J13" s="1" t="s">
        <v>119</v>
      </c>
      <c r="K13" s="1" t="s">
        <v>435</v>
      </c>
      <c r="L13" s="1" t="s">
        <v>435</v>
      </c>
      <c r="M13" s="9"/>
      <c r="N13" s="35"/>
      <c r="O13" s="2" t="s">
        <v>458</v>
      </c>
      <c r="P13" s="2" cm="1">
        <f t="array" ref="P13">_xlfn.XLOOKUP(TRIM(B13),TRIM('[1]wc-product-export-16-3-2026-177'!$A:$A),'[1]wc-product-export-16-3-2026-177'!$D:$D,0,0)</f>
        <v>0</v>
      </c>
      <c r="Q13" s="2" cm="1">
        <f t="array" ref="Q13">IF(TRIM($D13)="SET",IF($K13="Steak Set1",ROUNDDOWN(IFERROR(MIN(_xlfn._xlws.FILTER(O$3:O$650,ISNUMBER(MATCH(TRIM($B$3:$B$650),TRIM(_xlfn.TEXTSPLIT($N13,",")),0)))),0)/4,0)+P13,IF(IFERROR(MIN(_xlfn._xlws.FILTER(O$3:O$650,ISNUMBER(MATCH(TRIM($B$3:$B$650),TRIM(_xlfn.TEXTSPLIT($N13,",")),0)))),0)&gt;=$E$1,IFERROR(MIN(_xlfn._xlws.FILTER(O$3:O$650,ISNUMBER(MATCH(TRIM($B$3:$B$650),TRIM(_xlfn.TEXTSPLIT($N13,",")),0)))),0)+P13,P13)),IF(TRIM($D13)="EA",IF(TRIM($E13)="M",ROUNDUP(O13*0.85,0),IF(TRIM($E13)="P",O13,P13)),P13))</f>
        <v>0</v>
      </c>
      <c r="T13" t="str" cm="1">
        <f t="array" ref="T13">IFERROR(IF(D13="SET",_xlfn.TEXTJOIN(", ",TRUE,_xlfn._xlws.FILTER(TRANSPOSE(TRIM(_xlfn.TEXTSPLIT(N13,","))),COUNTIFS(B$3:B$650,TRANSPOSE(TRIM(_xlfn.TEXTSPLIT(N13,","))),O$3:O$650,"&lt;="&amp;$T$1))),""),"")</f>
        <v/>
      </c>
    </row>
    <row r="14" spans="1:20" ht="14.4" hidden="1" x14ac:dyDescent="0.3">
      <c r="A14" s="1" t="s">
        <v>1441</v>
      </c>
      <c r="B14" s="1" t="s">
        <v>1441</v>
      </c>
      <c r="C14" s="1" t="s">
        <v>1259</v>
      </c>
      <c r="D14" s="14" t="s">
        <v>624</v>
      </c>
      <c r="E14" s="2" t="s">
        <v>686</v>
      </c>
      <c r="F14" s="9" t="s">
        <v>1690</v>
      </c>
      <c r="H14" s="16" t="s">
        <v>1492</v>
      </c>
      <c r="I14" s="9" t="b">
        <f t="shared" si="0"/>
        <v>0</v>
      </c>
      <c r="J14" s="1" t="s">
        <v>1529</v>
      </c>
      <c r="K14" s="1" t="s">
        <v>1529</v>
      </c>
      <c r="L14" s="1" t="s">
        <v>1529</v>
      </c>
      <c r="N14" s="35"/>
      <c r="O14" s="2" t="s">
        <v>458</v>
      </c>
      <c r="P14" s="2" cm="1">
        <f t="array" ref="P14">_xlfn.XLOOKUP(TRIM(B14),TRIM('[1]wc-product-export-16-3-2026-177'!$A:$A),'[1]wc-product-export-16-3-2026-177'!$D:$D,0,0)</f>
        <v>0</v>
      </c>
      <c r="Q14" s="2" t="e" cm="1">
        <f t="array" ref="Q14">IF(TRIM($D14)="SET",IF($K14="Steak Set1",ROUNDDOWN(IFERROR(MIN(_xlfn._xlws.FILTER(O$3:O$650,ISNUMBER(MATCH(TRIM($B$3:$B$650),TRIM(_xlfn.TEXTSPLIT($N14,",")),0)))),0)/4,0)+P14,IF(IFERROR(MIN(_xlfn._xlws.FILTER(O$3:O$650,ISNUMBER(MATCH(TRIM($B$3:$B$650),TRIM(_xlfn.TEXTSPLIT($N14,",")),0)))),0)&gt;=$E$1,IFERROR(MIN(_xlfn._xlws.FILTER(O$3:O$650,ISNUMBER(MATCH(TRIM($B$3:$B$650),TRIM(_xlfn.TEXTSPLIT($N14,",")),0)))),0)+P14,P14)),IF(TRIM($D14)="EA",IF(TRIM($E14)="M",ROUNDUP(O14*0.85,0),IF(TRIM($E14)="P",O14,P14)),P14))</f>
        <v>#VALUE!</v>
      </c>
      <c r="T14" t="str" cm="1">
        <f t="array" ref="T14">IFERROR(IF(D14="SET",_xlfn.TEXTJOIN(", ",TRUE,_xlfn._xlws.FILTER(TRANSPOSE(TRIM(_xlfn.TEXTSPLIT(N14,","))),COUNTIFS(B$3:B$650,TRANSPOSE(TRIM(_xlfn.TEXTSPLIT(N14,","))),O$3:O$650,"&lt;="&amp;$T$1))),""),"")</f>
        <v/>
      </c>
    </row>
    <row r="15" spans="1:20" ht="14.4" hidden="1" x14ac:dyDescent="0.3">
      <c r="A15" s="1" t="s">
        <v>1448</v>
      </c>
      <c r="B15" s="1" t="s">
        <v>1448</v>
      </c>
      <c r="C15" s="1" t="s">
        <v>1259</v>
      </c>
      <c r="D15" s="14" t="s">
        <v>624</v>
      </c>
      <c r="E15" s="2" t="s">
        <v>686</v>
      </c>
      <c r="F15" s="9"/>
      <c r="H15" s="16" t="s">
        <v>1499</v>
      </c>
      <c r="I15" s="9" t="b">
        <f t="shared" si="0"/>
        <v>0</v>
      </c>
      <c r="J15" s="1" t="s">
        <v>1529</v>
      </c>
      <c r="K15" s="1" t="s">
        <v>1529</v>
      </c>
      <c r="L15" s="1" t="s">
        <v>1529</v>
      </c>
      <c r="N15" s="35"/>
      <c r="O15" s="2" t="s">
        <v>458</v>
      </c>
      <c r="P15" s="2" cm="1">
        <f t="array" ref="P15">_xlfn.XLOOKUP(TRIM(B15),TRIM('[1]wc-product-export-16-3-2026-177'!$A:$A),'[1]wc-product-export-16-3-2026-177'!$D:$D,0,0)</f>
        <v>0</v>
      </c>
      <c r="Q15" s="2" t="e" cm="1">
        <f t="array" ref="Q15">IF(TRIM($D15)="SET",IF($K15="Steak Set1",ROUNDDOWN(IFERROR(MIN(_xlfn._xlws.FILTER(O$3:O$650,ISNUMBER(MATCH(TRIM($B$3:$B$650),TRIM(_xlfn.TEXTSPLIT($N15,",")),0)))),0)/4,0)+P15,IF(IFERROR(MIN(_xlfn._xlws.FILTER(O$3:O$650,ISNUMBER(MATCH(TRIM($B$3:$B$650),TRIM(_xlfn.TEXTSPLIT($N15,",")),0)))),0)&gt;=$E$1,IFERROR(MIN(_xlfn._xlws.FILTER(O$3:O$650,ISNUMBER(MATCH(TRIM($B$3:$B$650),TRIM(_xlfn.TEXTSPLIT($N15,",")),0)))),0)+P15,P15)),IF(TRIM($D15)="EA",IF(TRIM($E15)="M",ROUNDUP(O15*0.85,0),IF(TRIM($E15)="P",O15,P15)),P15))</f>
        <v>#VALUE!</v>
      </c>
      <c r="T15" t="str" cm="1">
        <f t="array" ref="T15">IFERROR(IF(D15="SET",_xlfn.TEXTJOIN(", ",TRUE,_xlfn._xlws.FILTER(TRANSPOSE(TRIM(_xlfn.TEXTSPLIT(N15,","))),COUNTIFS(B$3:B$650,TRANSPOSE(TRIM(_xlfn.TEXTSPLIT(N15,","))),O$3:O$650,"&lt;="&amp;$T$1))),""),"")</f>
        <v/>
      </c>
    </row>
    <row r="16" spans="1:20" ht="14.4" hidden="1" x14ac:dyDescent="0.3">
      <c r="A16" s="1" t="s">
        <v>1472</v>
      </c>
      <c r="B16" s="1" t="s">
        <v>1472</v>
      </c>
      <c r="C16" s="1" t="s">
        <v>1259</v>
      </c>
      <c r="D16" s="14" t="s">
        <v>624</v>
      </c>
      <c r="E16" s="2" t="s">
        <v>686</v>
      </c>
      <c r="F16" s="9"/>
      <c r="H16" s="16" t="s">
        <v>1523</v>
      </c>
      <c r="I16" s="9" t="b">
        <f t="shared" si="0"/>
        <v>0</v>
      </c>
      <c r="J16" s="1" t="s">
        <v>1529</v>
      </c>
      <c r="K16" s="1" t="s">
        <v>1529</v>
      </c>
      <c r="L16" s="1" t="s">
        <v>1529</v>
      </c>
      <c r="N16" s="35"/>
      <c r="O16" s="2" t="s">
        <v>458</v>
      </c>
      <c r="P16" s="2" cm="1">
        <f t="array" ref="P16">_xlfn.XLOOKUP(TRIM(B16),TRIM('[1]wc-product-export-16-3-2026-177'!$A:$A),'[1]wc-product-export-16-3-2026-177'!$D:$D,0,0)</f>
        <v>0</v>
      </c>
      <c r="Q16" s="2" t="e" cm="1">
        <f t="array" ref="Q16">IF(TRIM($D16)="SET",IF($K16="Steak Set1",ROUNDDOWN(IFERROR(MIN(_xlfn._xlws.FILTER(O$3:O$650,ISNUMBER(MATCH(TRIM($B$3:$B$650),TRIM(_xlfn.TEXTSPLIT($N16,",")),0)))),0)/4,0)+P16,IF(IFERROR(MIN(_xlfn._xlws.FILTER(O$3:O$650,ISNUMBER(MATCH(TRIM($B$3:$B$650),TRIM(_xlfn.TEXTSPLIT($N16,",")),0)))),0)&gt;=$E$1,IFERROR(MIN(_xlfn._xlws.FILTER(O$3:O$650,ISNUMBER(MATCH(TRIM($B$3:$B$650),TRIM(_xlfn.TEXTSPLIT($N16,",")),0)))),0)+P16,P16)),IF(TRIM($D16)="EA",IF(TRIM($E16)="M",ROUNDUP(O16*0.85,0),IF(TRIM($E16)="P",O16,P16)),P16))</f>
        <v>#VALUE!</v>
      </c>
      <c r="T16" t="str" cm="1">
        <f t="array" ref="T16">IFERROR(IF(D16="SET",_xlfn.TEXTJOIN(", ",TRUE,_xlfn._xlws.FILTER(TRANSPOSE(TRIM(_xlfn.TEXTSPLIT(N16,","))),COUNTIFS(B$3:B$650,TRANSPOSE(TRIM(_xlfn.TEXTSPLIT(N16,","))),O$3:O$650,"&lt;="&amp;$T$1))),""),"")</f>
        <v/>
      </c>
    </row>
    <row r="17" spans="1:20" ht="14.4" hidden="1" x14ac:dyDescent="0.3">
      <c r="A17" s="1" t="s">
        <v>1429</v>
      </c>
      <c r="B17" s="1" t="s">
        <v>1429</v>
      </c>
      <c r="C17" s="1" t="s">
        <v>1259</v>
      </c>
      <c r="D17" s="14" t="s">
        <v>624</v>
      </c>
      <c r="E17" s="2" t="s">
        <v>686</v>
      </c>
      <c r="F17" s="9"/>
      <c r="H17" s="16" t="s">
        <v>1479</v>
      </c>
      <c r="I17" s="9" t="b">
        <f t="shared" si="0"/>
        <v>0</v>
      </c>
      <c r="J17" s="1" t="s">
        <v>1529</v>
      </c>
      <c r="K17" s="1" t="s">
        <v>1529</v>
      </c>
      <c r="L17" s="1" t="s">
        <v>1529</v>
      </c>
      <c r="N17" s="35"/>
      <c r="O17" s="2" t="s">
        <v>458</v>
      </c>
      <c r="P17" s="2" cm="1">
        <f t="array" ref="P17">_xlfn.XLOOKUP(TRIM(B17),TRIM('[1]wc-product-export-16-3-2026-177'!$A:$A),'[1]wc-product-export-16-3-2026-177'!$D:$D,0,0)</f>
        <v>0</v>
      </c>
      <c r="Q17" s="2" t="e" cm="1">
        <f t="array" ref="Q17">IF(TRIM($D17)="SET",IF($K17="Steak Set1",ROUNDDOWN(IFERROR(MIN(_xlfn._xlws.FILTER(O$3:O$650,ISNUMBER(MATCH(TRIM($B$3:$B$650),TRIM(_xlfn.TEXTSPLIT($N17,",")),0)))),0)/4,0)+P17,IF(IFERROR(MIN(_xlfn._xlws.FILTER(O$3:O$650,ISNUMBER(MATCH(TRIM($B$3:$B$650),TRIM(_xlfn.TEXTSPLIT($N17,",")),0)))),0)&gt;=$E$1,IFERROR(MIN(_xlfn._xlws.FILTER(O$3:O$650,ISNUMBER(MATCH(TRIM($B$3:$B$650),TRIM(_xlfn.TEXTSPLIT($N17,",")),0)))),0)+P17,P17)),IF(TRIM($D17)="EA",IF(TRIM($E17)="M",ROUNDUP(O17*0.85,0),IF(TRIM($E17)="P",O17,P17)),P17))</f>
        <v>#VALUE!</v>
      </c>
      <c r="T17" t="str" cm="1">
        <f t="array" ref="T17">IFERROR(IF(D17="SET",_xlfn.TEXTJOIN(", ",TRUE,_xlfn._xlws.FILTER(TRANSPOSE(TRIM(_xlfn.TEXTSPLIT(N17,","))),COUNTIFS(B$3:B$650,TRANSPOSE(TRIM(_xlfn.TEXTSPLIT(N17,","))),O$3:O$650,"&lt;="&amp;$T$1))),""),"")</f>
        <v/>
      </c>
    </row>
    <row r="18" spans="1:20" ht="14.4" hidden="1" x14ac:dyDescent="0.3">
      <c r="A18" s="1" t="s">
        <v>1440</v>
      </c>
      <c r="B18" s="1" t="s">
        <v>1440</v>
      </c>
      <c r="C18" s="1" t="s">
        <v>1259</v>
      </c>
      <c r="D18" s="14" t="s">
        <v>624</v>
      </c>
      <c r="E18" s="2" t="s">
        <v>686</v>
      </c>
      <c r="F18" s="9"/>
      <c r="H18" s="16" t="s">
        <v>1491</v>
      </c>
      <c r="I18" s="9" t="b">
        <f t="shared" si="0"/>
        <v>0</v>
      </c>
      <c r="J18" s="1" t="s">
        <v>1529</v>
      </c>
      <c r="K18" s="1" t="s">
        <v>1529</v>
      </c>
      <c r="L18" s="1" t="s">
        <v>1529</v>
      </c>
      <c r="N18" s="35"/>
      <c r="O18" s="2" t="s">
        <v>458</v>
      </c>
      <c r="P18" s="2" cm="1">
        <f t="array" ref="P18">_xlfn.XLOOKUP(TRIM(B18),TRIM('[1]wc-product-export-16-3-2026-177'!$A:$A),'[1]wc-product-export-16-3-2026-177'!$D:$D,0,0)</f>
        <v>0</v>
      </c>
      <c r="Q18" s="2" t="e" cm="1">
        <f t="array" ref="Q18">IF(TRIM($D18)="SET",IF($K18="Steak Set1",ROUNDDOWN(IFERROR(MIN(_xlfn._xlws.FILTER(O$3:O$650,ISNUMBER(MATCH(TRIM($B$3:$B$650),TRIM(_xlfn.TEXTSPLIT($N18,",")),0)))),0)/4,0)+P18,IF(IFERROR(MIN(_xlfn._xlws.FILTER(O$3:O$650,ISNUMBER(MATCH(TRIM($B$3:$B$650),TRIM(_xlfn.TEXTSPLIT($N18,",")),0)))),0)&gt;=$E$1,IFERROR(MIN(_xlfn._xlws.FILTER(O$3:O$650,ISNUMBER(MATCH(TRIM($B$3:$B$650),TRIM(_xlfn.TEXTSPLIT($N18,",")),0)))),0)+P18,P18)),IF(TRIM($D18)="EA",IF(TRIM($E18)="M",ROUNDUP(O18*0.85,0),IF(TRIM($E18)="P",O18,P18)),P18))</f>
        <v>#VALUE!</v>
      </c>
      <c r="T18" t="str" cm="1">
        <f t="array" ref="T18">IFERROR(IF(D18="SET",_xlfn.TEXTJOIN(", ",TRUE,_xlfn._xlws.FILTER(TRANSPOSE(TRIM(_xlfn.TEXTSPLIT(N18,","))),COUNTIFS(B$3:B$650,TRANSPOSE(TRIM(_xlfn.TEXTSPLIT(N18,","))),O$3:O$650,"&lt;="&amp;$T$1))),""),"")</f>
        <v/>
      </c>
    </row>
    <row r="19" spans="1:20" ht="14.4" hidden="1" x14ac:dyDescent="0.3">
      <c r="A19" s="1" t="s">
        <v>1454</v>
      </c>
      <c r="B19" s="1" t="s">
        <v>1454</v>
      </c>
      <c r="C19" s="1" t="s">
        <v>1259</v>
      </c>
      <c r="D19" s="14" t="s">
        <v>624</v>
      </c>
      <c r="E19" s="2" t="s">
        <v>686</v>
      </c>
      <c r="F19" s="9" t="s">
        <v>1608</v>
      </c>
      <c r="H19" s="16" t="s">
        <v>1505</v>
      </c>
      <c r="I19" s="9" t="b">
        <f t="shared" si="0"/>
        <v>0</v>
      </c>
      <c r="J19" s="1" t="s">
        <v>1529</v>
      </c>
      <c r="K19" s="1" t="s">
        <v>1529</v>
      </c>
      <c r="L19" s="1" t="s">
        <v>1529</v>
      </c>
      <c r="N19" s="35"/>
      <c r="O19" s="2" t="s">
        <v>458</v>
      </c>
      <c r="P19" s="2" cm="1">
        <f t="array" ref="P19">_xlfn.XLOOKUP(TRIM(B19),TRIM('[1]wc-product-export-16-3-2026-177'!$A:$A),'[1]wc-product-export-16-3-2026-177'!$D:$D,0,0)</f>
        <v>0</v>
      </c>
      <c r="Q19" s="2" t="e" cm="1">
        <f t="array" ref="Q19">IF(TRIM($D19)="SET",IF($K19="Steak Set1",ROUNDDOWN(IFERROR(MIN(_xlfn._xlws.FILTER(O$3:O$650,ISNUMBER(MATCH(TRIM($B$3:$B$650),TRIM(_xlfn.TEXTSPLIT($N19,",")),0)))),0)/4,0)+P19,IF(IFERROR(MIN(_xlfn._xlws.FILTER(O$3:O$650,ISNUMBER(MATCH(TRIM($B$3:$B$650),TRIM(_xlfn.TEXTSPLIT($N19,",")),0)))),0)&gt;=$E$1,IFERROR(MIN(_xlfn._xlws.FILTER(O$3:O$650,ISNUMBER(MATCH(TRIM($B$3:$B$650),TRIM(_xlfn.TEXTSPLIT($N19,",")),0)))),0)+P19,P19)),IF(TRIM($D19)="EA",IF(TRIM($E19)="M",ROUNDUP(O19*0.85,0),IF(TRIM($E19)="P",O19,P19)),P19))</f>
        <v>#VALUE!</v>
      </c>
      <c r="T19" t="str" cm="1">
        <f t="array" ref="T19">IFERROR(IF(D19="SET",_xlfn.TEXTJOIN(", ",TRUE,_xlfn._xlws.FILTER(TRANSPOSE(TRIM(_xlfn.TEXTSPLIT(N19,","))),COUNTIFS(B$3:B$650,TRANSPOSE(TRIM(_xlfn.TEXTSPLIT(N19,","))),O$3:O$650,"&lt;="&amp;$T$1))),""),"")</f>
        <v/>
      </c>
    </row>
    <row r="20" spans="1:20" ht="14.4" hidden="1" x14ac:dyDescent="0.3">
      <c r="A20" s="1" t="s">
        <v>685</v>
      </c>
      <c r="B20" s="1" t="s">
        <v>685</v>
      </c>
      <c r="C20" s="1" t="s">
        <v>1259</v>
      </c>
      <c r="D20" s="14" t="s">
        <v>624</v>
      </c>
      <c r="E20" s="2" t="s">
        <v>686</v>
      </c>
      <c r="F20" s="9"/>
      <c r="H20" s="16" t="s">
        <v>1480</v>
      </c>
      <c r="I20" s="9" t="b">
        <f t="shared" si="0"/>
        <v>0</v>
      </c>
      <c r="J20" s="1" t="s">
        <v>1529</v>
      </c>
      <c r="K20" s="1" t="s">
        <v>1529</v>
      </c>
      <c r="L20" s="1" t="s">
        <v>1529</v>
      </c>
      <c r="N20" s="35"/>
      <c r="O20" s="2" t="s">
        <v>458</v>
      </c>
      <c r="P20" s="2" cm="1">
        <f t="array" ref="P20">_xlfn.XLOOKUP(TRIM(B20),TRIM('[1]wc-product-export-16-3-2026-177'!$A:$A),'[1]wc-product-export-16-3-2026-177'!$D:$D,0,0)</f>
        <v>0</v>
      </c>
      <c r="Q20" s="2" t="e" cm="1">
        <f t="array" ref="Q20">IF(TRIM($D20)="SET",IF($K20="Steak Set1",ROUNDDOWN(IFERROR(MIN(_xlfn._xlws.FILTER(O$3:O$650,ISNUMBER(MATCH(TRIM($B$3:$B$650),TRIM(_xlfn.TEXTSPLIT($N20,",")),0)))),0)/4,0)+P20,IF(IFERROR(MIN(_xlfn._xlws.FILTER(O$3:O$650,ISNUMBER(MATCH(TRIM($B$3:$B$650),TRIM(_xlfn.TEXTSPLIT($N20,",")),0)))),0)&gt;=$E$1,IFERROR(MIN(_xlfn._xlws.FILTER(O$3:O$650,ISNUMBER(MATCH(TRIM($B$3:$B$650),TRIM(_xlfn.TEXTSPLIT($N20,",")),0)))),0)+P20,P20)),IF(TRIM($D20)="EA",IF(TRIM($E20)="M",ROUNDUP(O20*0.85,0),IF(TRIM($E20)="P",O20,P20)),P20))</f>
        <v>#VALUE!</v>
      </c>
      <c r="T20" t="str" cm="1">
        <f t="array" ref="T20">IFERROR(IF(D20="SET",_xlfn.TEXTJOIN(", ",TRUE,_xlfn._xlws.FILTER(TRANSPOSE(TRIM(_xlfn.TEXTSPLIT(N20,","))),COUNTIFS(B$3:B$650,TRANSPOSE(TRIM(_xlfn.TEXTSPLIT(N20,","))),O$3:O$650,"&lt;="&amp;$T$1))),""),"")</f>
        <v/>
      </c>
    </row>
    <row r="21" spans="1:20" ht="14.4" x14ac:dyDescent="0.3">
      <c r="A21" s="1">
        <v>5014</v>
      </c>
      <c r="B21" s="50" t="s">
        <v>1198</v>
      </c>
      <c r="C21" s="1" t="s">
        <v>1259</v>
      </c>
      <c r="D21" s="1" t="s">
        <v>624</v>
      </c>
      <c r="E21" s="1" t="s">
        <v>623</v>
      </c>
      <c r="F21" s="9"/>
      <c r="G21" s="9"/>
      <c r="H21" s="16" t="s">
        <v>1420</v>
      </c>
      <c r="I21" s="9" t="b">
        <f t="shared" si="0"/>
        <v>0</v>
      </c>
      <c r="J21" s="1" t="s">
        <v>119</v>
      </c>
      <c r="K21" s="1" t="s">
        <v>435</v>
      </c>
      <c r="L21" s="1" t="s">
        <v>435</v>
      </c>
      <c r="M21" s="9"/>
      <c r="N21" s="35"/>
      <c r="O21" s="2">
        <v>11</v>
      </c>
      <c r="P21" s="2" cm="1">
        <f t="array" ref="P21">_xlfn.XLOOKUP(TRIM(B21),TRIM('[1]wc-product-export-16-3-2026-177'!$A:$A),'[1]wc-product-export-16-3-2026-177'!$D:$D,0,0)</f>
        <v>0</v>
      </c>
      <c r="Q21" s="2" cm="1">
        <f t="array" ref="Q21">IF(TRIM($D21)="SET",IF($K21="Steak Set1",ROUNDDOWN(IFERROR(MIN(_xlfn._xlws.FILTER(O$3:O$650,ISNUMBER(MATCH(TRIM($B$3:$B$650),TRIM(_xlfn.TEXTSPLIT($N21,",")),0)))),0)/4,0)+P21,IF(IFERROR(MIN(_xlfn._xlws.FILTER(O$3:O$650,ISNUMBER(MATCH(TRIM($B$3:$B$650),TRIM(_xlfn.TEXTSPLIT($N21,",")),0)))),0)&gt;=$E$1,IFERROR(MIN(_xlfn._xlws.FILTER(O$3:O$650,ISNUMBER(MATCH(TRIM($B$3:$B$650),TRIM(_xlfn.TEXTSPLIT($N21,",")),0)))),0)+P21,P21)),IF(TRIM($D21)="EA",IF(TRIM($E21)="M",ROUNDUP(O21*0.85,0),IF(TRIM($E21)="P",O21,P21)),P21))</f>
        <v>11</v>
      </c>
      <c r="T21" t="str" cm="1">
        <f t="array" ref="T21">IFERROR(IF(D21="SET",_xlfn.TEXTJOIN(", ",TRUE,_xlfn._xlws.FILTER(TRANSPOSE(TRIM(_xlfn.TEXTSPLIT(N21,","))),COUNTIFS(B$3:B$650,TRANSPOSE(TRIM(_xlfn.TEXTSPLIT(N21,","))),O$3:O$650,"&lt;="&amp;$T$1))),""),"")</f>
        <v/>
      </c>
    </row>
    <row r="22" spans="1:20" ht="14.4" x14ac:dyDescent="0.3">
      <c r="A22" s="1">
        <v>5021</v>
      </c>
      <c r="B22" s="50" t="s">
        <v>1204</v>
      </c>
      <c r="C22" s="1" t="s">
        <v>1259</v>
      </c>
      <c r="D22" s="1" t="s">
        <v>624</v>
      </c>
      <c r="E22" s="1" t="s">
        <v>623</v>
      </c>
      <c r="F22" s="9"/>
      <c r="G22" s="9"/>
      <c r="H22" s="16" t="s">
        <v>1421</v>
      </c>
      <c r="I22" s="9" t="b">
        <f t="shared" si="0"/>
        <v>0</v>
      </c>
      <c r="J22" s="1" t="s">
        <v>119</v>
      </c>
      <c r="K22" s="1" t="s">
        <v>435</v>
      </c>
      <c r="L22" s="1" t="s">
        <v>435</v>
      </c>
      <c r="M22" s="9"/>
      <c r="N22" s="35"/>
      <c r="O22" s="2">
        <v>3</v>
      </c>
      <c r="P22" s="2" cm="1">
        <f t="array" ref="P22">_xlfn.XLOOKUP(TRIM(B22),TRIM('[1]wc-product-export-16-3-2026-177'!$A:$A),'[1]wc-product-export-16-3-2026-177'!$D:$D,0,0)</f>
        <v>0</v>
      </c>
      <c r="Q22" s="2" cm="1">
        <f t="array" ref="Q22">IF(TRIM($D22)="SET",IF($K22="Steak Set1",ROUNDDOWN(IFERROR(MIN(_xlfn._xlws.FILTER(O$3:O$650,ISNUMBER(MATCH(TRIM($B$3:$B$650),TRIM(_xlfn.TEXTSPLIT($N22,",")),0)))),0)/4,0)+P22,IF(IFERROR(MIN(_xlfn._xlws.FILTER(O$3:O$650,ISNUMBER(MATCH(TRIM($B$3:$B$650),TRIM(_xlfn.TEXTSPLIT($N22,",")),0)))),0)&gt;=$E$1,IFERROR(MIN(_xlfn._xlws.FILTER(O$3:O$650,ISNUMBER(MATCH(TRIM($B$3:$B$650),TRIM(_xlfn.TEXTSPLIT($N22,",")),0)))),0)+P22,P22)),IF(TRIM($D22)="EA",IF(TRIM($E22)="M",ROUNDUP(O22*0.85,0),IF(TRIM($E22)="P",O22,P22)),P22))</f>
        <v>3</v>
      </c>
      <c r="T22" t="str" cm="1">
        <f t="array" ref="T22">IFERROR(IF(D22="SET",_xlfn.TEXTJOIN(", ",TRUE,_xlfn._xlws.FILTER(TRANSPOSE(TRIM(_xlfn.TEXTSPLIT(N22,","))),COUNTIFS(B$3:B$650,TRANSPOSE(TRIM(_xlfn.TEXTSPLIT(N22,","))),O$3:O$650,"&lt;="&amp;$T$1))),""),"")</f>
        <v/>
      </c>
    </row>
    <row r="23" spans="1:20" ht="14.4" hidden="1" x14ac:dyDescent="0.3">
      <c r="A23" s="1" t="s">
        <v>1451</v>
      </c>
      <c r="B23" s="1" t="s">
        <v>1451</v>
      </c>
      <c r="C23" s="1" t="s">
        <v>1259</v>
      </c>
      <c r="D23" s="14" t="s">
        <v>624</v>
      </c>
      <c r="E23" s="2" t="s">
        <v>686</v>
      </c>
      <c r="F23" s="9" t="s">
        <v>1689</v>
      </c>
      <c r="H23" s="16" t="s">
        <v>1502</v>
      </c>
      <c r="I23" s="9" t="b">
        <f t="shared" si="0"/>
        <v>0</v>
      </c>
      <c r="J23" s="1" t="s">
        <v>1529</v>
      </c>
      <c r="K23" s="1" t="s">
        <v>1529</v>
      </c>
      <c r="L23" s="1" t="s">
        <v>1529</v>
      </c>
      <c r="N23" s="35"/>
      <c r="O23" s="2" t="s">
        <v>458</v>
      </c>
      <c r="P23" s="2" cm="1">
        <f t="array" ref="P23">_xlfn.XLOOKUP(TRIM(B23),TRIM('[1]wc-product-export-16-3-2026-177'!$A:$A),'[1]wc-product-export-16-3-2026-177'!$D:$D,0,0)</f>
        <v>0</v>
      </c>
      <c r="Q23" s="2" t="e" cm="1">
        <f t="array" ref="Q23">IF(TRIM($D23)="SET",IF($K23="Steak Set1",ROUNDDOWN(IFERROR(MIN(_xlfn._xlws.FILTER(O$3:O$650,ISNUMBER(MATCH(TRIM($B$3:$B$650),TRIM(_xlfn.TEXTSPLIT($N23,",")),0)))),0)/4,0)+P23,IF(IFERROR(MIN(_xlfn._xlws.FILTER(O$3:O$650,ISNUMBER(MATCH(TRIM($B$3:$B$650),TRIM(_xlfn.TEXTSPLIT($N23,",")),0)))),0)&gt;=$E$1,IFERROR(MIN(_xlfn._xlws.FILTER(O$3:O$650,ISNUMBER(MATCH(TRIM($B$3:$B$650),TRIM(_xlfn.TEXTSPLIT($N23,",")),0)))),0)+P23,P23)),IF(TRIM($D23)="EA",IF(TRIM($E23)="M",ROUNDUP(O23*0.85,0),IF(TRIM($E23)="P",O23,P23)),P23))</f>
        <v>#VALUE!</v>
      </c>
      <c r="T23" t="str" cm="1">
        <f t="array" ref="T23">IFERROR(IF(D23="SET",_xlfn.TEXTJOIN(", ",TRUE,_xlfn._xlws.FILTER(TRANSPOSE(TRIM(_xlfn.TEXTSPLIT(N23,","))),COUNTIFS(B$3:B$650,TRANSPOSE(TRIM(_xlfn.TEXTSPLIT(N23,","))),O$3:O$650,"&lt;="&amp;$T$1))),""),"")</f>
        <v/>
      </c>
    </row>
    <row r="24" spans="1:20" ht="14.4" hidden="1" x14ac:dyDescent="0.3">
      <c r="A24" s="1" t="s">
        <v>1432</v>
      </c>
      <c r="B24" s="1" t="s">
        <v>1432</v>
      </c>
      <c r="C24" s="1" t="s">
        <v>1259</v>
      </c>
      <c r="D24" s="14" t="s">
        <v>624</v>
      </c>
      <c r="E24" s="2" t="s">
        <v>686</v>
      </c>
      <c r="F24" s="9"/>
      <c r="H24" s="16" t="s">
        <v>1483</v>
      </c>
      <c r="I24" s="9" t="b">
        <f t="shared" si="0"/>
        <v>0</v>
      </c>
      <c r="J24" s="1" t="s">
        <v>1529</v>
      </c>
      <c r="K24" s="1" t="s">
        <v>1529</v>
      </c>
      <c r="L24" s="1" t="s">
        <v>1529</v>
      </c>
      <c r="N24" s="35"/>
      <c r="O24" s="2" t="s">
        <v>458</v>
      </c>
      <c r="P24" s="2" cm="1">
        <f t="array" ref="P24">_xlfn.XLOOKUP(TRIM(B24),TRIM('[1]wc-product-export-16-3-2026-177'!$A:$A),'[1]wc-product-export-16-3-2026-177'!$D:$D,0,0)</f>
        <v>0</v>
      </c>
      <c r="Q24" s="2" t="e" cm="1">
        <f t="array" ref="Q24">IF(TRIM($D24)="SET",IF($K24="Steak Set1",ROUNDDOWN(IFERROR(MIN(_xlfn._xlws.FILTER(O$3:O$650,ISNUMBER(MATCH(TRIM($B$3:$B$650),TRIM(_xlfn.TEXTSPLIT($N24,",")),0)))),0)/4,0)+P24,IF(IFERROR(MIN(_xlfn._xlws.FILTER(O$3:O$650,ISNUMBER(MATCH(TRIM($B$3:$B$650),TRIM(_xlfn.TEXTSPLIT($N24,",")),0)))),0)&gt;=$E$1,IFERROR(MIN(_xlfn._xlws.FILTER(O$3:O$650,ISNUMBER(MATCH(TRIM($B$3:$B$650),TRIM(_xlfn.TEXTSPLIT($N24,",")),0)))),0)+P24,P24)),IF(TRIM($D24)="EA",IF(TRIM($E24)="M",ROUNDUP(O24*0.85,0),IF(TRIM($E24)="P",O24,P24)),P24))</f>
        <v>#VALUE!</v>
      </c>
      <c r="T24" t="str" cm="1">
        <f t="array" ref="T24">IFERROR(IF(D24="SET",_xlfn.TEXTJOIN(", ",TRUE,_xlfn._xlws.FILTER(TRANSPOSE(TRIM(_xlfn.TEXTSPLIT(N24,","))),COUNTIFS(B$3:B$650,TRANSPOSE(TRIM(_xlfn.TEXTSPLIT(N24,","))),O$3:O$650,"&lt;="&amp;$T$1))),""),"")</f>
        <v/>
      </c>
    </row>
    <row r="25" spans="1:20" ht="14.4" x14ac:dyDescent="0.3">
      <c r="A25" s="1">
        <v>5022</v>
      </c>
      <c r="B25" s="50" t="s">
        <v>1194</v>
      </c>
      <c r="C25" s="1" t="s">
        <v>1259</v>
      </c>
      <c r="D25" s="1" t="s">
        <v>624</v>
      </c>
      <c r="E25" s="1" t="s">
        <v>623</v>
      </c>
      <c r="F25" s="9"/>
      <c r="G25" s="9"/>
      <c r="H25" s="16" t="s">
        <v>1422</v>
      </c>
      <c r="I25" s="9" t="b">
        <f t="shared" si="0"/>
        <v>0</v>
      </c>
      <c r="J25" s="1" t="s">
        <v>119</v>
      </c>
      <c r="K25" s="1" t="s">
        <v>435</v>
      </c>
      <c r="L25" s="1" t="s">
        <v>435</v>
      </c>
      <c r="M25" s="9"/>
      <c r="N25" s="35"/>
      <c r="O25" s="2">
        <v>6</v>
      </c>
      <c r="P25" s="2" cm="1">
        <f t="array" ref="P25">_xlfn.XLOOKUP(TRIM(B25),TRIM('[1]wc-product-export-16-3-2026-177'!$A:$A),'[1]wc-product-export-16-3-2026-177'!$D:$D,0,0)</f>
        <v>0</v>
      </c>
      <c r="Q25" s="2" cm="1">
        <f t="array" ref="Q25">IF(TRIM($D25)="SET",IF($K25="Steak Set1",ROUNDDOWN(IFERROR(MIN(_xlfn._xlws.FILTER(O$3:O$650,ISNUMBER(MATCH(TRIM($B$3:$B$650),TRIM(_xlfn.TEXTSPLIT($N25,",")),0)))),0)/4,0)+P25,IF(IFERROR(MIN(_xlfn._xlws.FILTER(O$3:O$650,ISNUMBER(MATCH(TRIM($B$3:$B$650),TRIM(_xlfn.TEXTSPLIT($N25,",")),0)))),0)&gt;=$E$1,IFERROR(MIN(_xlfn._xlws.FILTER(O$3:O$650,ISNUMBER(MATCH(TRIM($B$3:$B$650),TRIM(_xlfn.TEXTSPLIT($N25,",")),0)))),0)+P25,P25)),IF(TRIM($D25)="EA",IF(TRIM($E25)="M",ROUNDUP(O25*0.85,0),IF(TRIM($E25)="P",O25,P25)),P25))</f>
        <v>6</v>
      </c>
      <c r="T25" t="str" cm="1">
        <f t="array" ref="T25">IFERROR(IF(D25="SET",_xlfn.TEXTJOIN(", ",TRUE,_xlfn._xlws.FILTER(TRANSPOSE(TRIM(_xlfn.TEXTSPLIT(N25,","))),COUNTIFS(B$3:B$650,TRANSPOSE(TRIM(_xlfn.TEXTSPLIT(N25,","))),O$3:O$650,"&lt;="&amp;$T$1))),""),"")</f>
        <v/>
      </c>
    </row>
    <row r="26" spans="1:20" ht="14.4" hidden="1" x14ac:dyDescent="0.3">
      <c r="A26" s="1" t="s">
        <v>1456</v>
      </c>
      <c r="B26" s="1" t="s">
        <v>1456</v>
      </c>
      <c r="C26" s="1" t="s">
        <v>1259</v>
      </c>
      <c r="D26" s="14" t="s">
        <v>624</v>
      </c>
      <c r="E26" s="2" t="s">
        <v>686</v>
      </c>
      <c r="F26" s="9" t="s">
        <v>1608</v>
      </c>
      <c r="H26" s="16" t="s">
        <v>1507</v>
      </c>
      <c r="I26" s="9" t="b">
        <f t="shared" si="0"/>
        <v>0</v>
      </c>
      <c r="J26" s="1" t="s">
        <v>1529</v>
      </c>
      <c r="K26" s="1" t="s">
        <v>1529</v>
      </c>
      <c r="L26" s="1" t="s">
        <v>1529</v>
      </c>
      <c r="N26" s="35"/>
      <c r="O26" s="2" t="s">
        <v>458</v>
      </c>
      <c r="P26" s="2" cm="1">
        <f t="array" ref="P26">_xlfn.XLOOKUP(TRIM(B26),TRIM('[1]wc-product-export-16-3-2026-177'!$A:$A),'[1]wc-product-export-16-3-2026-177'!$D:$D,0,0)</f>
        <v>0</v>
      </c>
      <c r="Q26" s="2" t="e" cm="1">
        <f t="array" ref="Q26">IF(TRIM($D26)="SET",IF($K26="Steak Set1",ROUNDDOWN(IFERROR(MIN(_xlfn._xlws.FILTER(O$3:O$650,ISNUMBER(MATCH(TRIM($B$3:$B$650),TRIM(_xlfn.TEXTSPLIT($N26,",")),0)))),0)/4,0)+P26,IF(IFERROR(MIN(_xlfn._xlws.FILTER(O$3:O$650,ISNUMBER(MATCH(TRIM($B$3:$B$650),TRIM(_xlfn.TEXTSPLIT($N26,",")),0)))),0)&gt;=$E$1,IFERROR(MIN(_xlfn._xlws.FILTER(O$3:O$650,ISNUMBER(MATCH(TRIM($B$3:$B$650),TRIM(_xlfn.TEXTSPLIT($N26,",")),0)))),0)+P26,P26)),IF(TRIM($D26)="EA",IF(TRIM($E26)="M",ROUNDUP(O26*0.85,0),IF(TRIM($E26)="P",O26,P26)),P26))</f>
        <v>#VALUE!</v>
      </c>
      <c r="T26" t="str" cm="1">
        <f t="array" ref="T26">IFERROR(IF(D26="SET",_xlfn.TEXTJOIN(", ",TRUE,_xlfn._xlws.FILTER(TRANSPOSE(TRIM(_xlfn.TEXTSPLIT(N26,","))),COUNTIFS(B$3:B$650,TRANSPOSE(TRIM(_xlfn.TEXTSPLIT(N26,","))),O$3:O$650,"&lt;="&amp;$T$1))),""),"")</f>
        <v/>
      </c>
    </row>
    <row r="27" spans="1:20" ht="14.4" hidden="1" x14ac:dyDescent="0.3">
      <c r="A27" s="1" t="s">
        <v>1457</v>
      </c>
      <c r="B27" s="1" t="s">
        <v>1457</v>
      </c>
      <c r="C27" s="1" t="s">
        <v>1259</v>
      </c>
      <c r="D27" s="14" t="s">
        <v>624</v>
      </c>
      <c r="E27" s="2" t="s">
        <v>686</v>
      </c>
      <c r="F27" s="9" t="s">
        <v>1690</v>
      </c>
      <c r="H27" s="16" t="s">
        <v>1508</v>
      </c>
      <c r="I27" s="9" t="b">
        <f t="shared" si="0"/>
        <v>0</v>
      </c>
      <c r="J27" s="1" t="s">
        <v>1529</v>
      </c>
      <c r="K27" s="1" t="s">
        <v>1529</v>
      </c>
      <c r="L27" s="1" t="s">
        <v>1529</v>
      </c>
      <c r="N27" s="35"/>
      <c r="O27" s="2" t="s">
        <v>458</v>
      </c>
      <c r="P27" s="2" cm="1">
        <f t="array" ref="P27">_xlfn.XLOOKUP(TRIM(B27),TRIM('[1]wc-product-export-16-3-2026-177'!$A:$A),'[1]wc-product-export-16-3-2026-177'!$D:$D,0,0)</f>
        <v>0</v>
      </c>
      <c r="Q27" s="2" t="e" cm="1">
        <f t="array" ref="Q27">IF(TRIM($D27)="SET",IF($K27="Steak Set1",ROUNDDOWN(IFERROR(MIN(_xlfn._xlws.FILTER(O$3:O$650,ISNUMBER(MATCH(TRIM($B$3:$B$650),TRIM(_xlfn.TEXTSPLIT($N27,",")),0)))),0)/4,0)+P27,IF(IFERROR(MIN(_xlfn._xlws.FILTER(O$3:O$650,ISNUMBER(MATCH(TRIM($B$3:$B$650),TRIM(_xlfn.TEXTSPLIT($N27,",")),0)))),0)&gt;=$E$1,IFERROR(MIN(_xlfn._xlws.FILTER(O$3:O$650,ISNUMBER(MATCH(TRIM($B$3:$B$650),TRIM(_xlfn.TEXTSPLIT($N27,",")),0)))),0)+P27,P27)),IF(TRIM($D27)="EA",IF(TRIM($E27)="M",ROUNDUP(O27*0.85,0),IF(TRIM($E27)="P",O27,P27)),P27))</f>
        <v>#VALUE!</v>
      </c>
      <c r="T27" t="str" cm="1">
        <f t="array" ref="T27">IFERROR(IF(D27="SET",_xlfn.TEXTJOIN(", ",TRUE,_xlfn._xlws.FILTER(TRANSPOSE(TRIM(_xlfn.TEXTSPLIT(N27,","))),COUNTIFS(B$3:B$650,TRANSPOSE(TRIM(_xlfn.TEXTSPLIT(N27,","))),O$3:O$650,"&lt;="&amp;$T$1))),""),"")</f>
        <v/>
      </c>
    </row>
    <row r="28" spans="1:20" ht="14.4" hidden="1" x14ac:dyDescent="0.3">
      <c r="A28" s="1" t="s">
        <v>1458</v>
      </c>
      <c r="B28" s="1" t="s">
        <v>1458</v>
      </c>
      <c r="C28" s="1" t="s">
        <v>1259</v>
      </c>
      <c r="D28" s="14" t="s">
        <v>624</v>
      </c>
      <c r="E28" s="2" t="s">
        <v>686</v>
      </c>
      <c r="F28" s="9" t="s">
        <v>1608</v>
      </c>
      <c r="H28" s="16" t="s">
        <v>1509</v>
      </c>
      <c r="I28" s="9" t="b">
        <f t="shared" si="0"/>
        <v>0</v>
      </c>
      <c r="J28" s="1" t="s">
        <v>1529</v>
      </c>
      <c r="K28" s="1" t="s">
        <v>1529</v>
      </c>
      <c r="L28" s="1" t="s">
        <v>1529</v>
      </c>
      <c r="N28" s="35"/>
      <c r="O28" s="2" t="s">
        <v>458</v>
      </c>
      <c r="P28" s="2" cm="1">
        <f t="array" ref="P28">_xlfn.XLOOKUP(TRIM(B28),TRIM('[1]wc-product-export-16-3-2026-177'!$A:$A),'[1]wc-product-export-16-3-2026-177'!$D:$D,0,0)</f>
        <v>0</v>
      </c>
      <c r="Q28" s="2" t="e" cm="1">
        <f t="array" ref="Q28">IF(TRIM($D28)="SET",IF($K28="Steak Set1",ROUNDDOWN(IFERROR(MIN(_xlfn._xlws.FILTER(O$3:O$650,ISNUMBER(MATCH(TRIM($B$3:$B$650),TRIM(_xlfn.TEXTSPLIT($N28,",")),0)))),0)/4,0)+P28,IF(IFERROR(MIN(_xlfn._xlws.FILTER(O$3:O$650,ISNUMBER(MATCH(TRIM($B$3:$B$650),TRIM(_xlfn.TEXTSPLIT($N28,",")),0)))),0)&gt;=$E$1,IFERROR(MIN(_xlfn._xlws.FILTER(O$3:O$650,ISNUMBER(MATCH(TRIM($B$3:$B$650),TRIM(_xlfn.TEXTSPLIT($N28,",")),0)))),0)+P28,P28)),IF(TRIM($D28)="EA",IF(TRIM($E28)="M",ROUNDUP(O28*0.85,0),IF(TRIM($E28)="P",O28,P28)),P28))</f>
        <v>#VALUE!</v>
      </c>
      <c r="T28" t="str" cm="1">
        <f t="array" ref="T28">IFERROR(IF(D28="SET",_xlfn.TEXTJOIN(", ",TRUE,_xlfn._xlws.FILTER(TRANSPOSE(TRIM(_xlfn.TEXTSPLIT(N28,","))),COUNTIFS(B$3:B$650,TRANSPOSE(TRIM(_xlfn.TEXTSPLIT(N28,","))),O$3:O$650,"&lt;="&amp;$T$1))),""),"")</f>
        <v/>
      </c>
    </row>
    <row r="29" spans="1:20" ht="14.4" hidden="1" x14ac:dyDescent="0.3">
      <c r="A29" s="1" t="s">
        <v>1459</v>
      </c>
      <c r="B29" s="1" t="s">
        <v>1459</v>
      </c>
      <c r="C29" s="1" t="s">
        <v>1259</v>
      </c>
      <c r="D29" s="14" t="s">
        <v>624</v>
      </c>
      <c r="E29" s="2" t="s">
        <v>686</v>
      </c>
      <c r="F29" s="9"/>
      <c r="H29" s="16" t="s">
        <v>1510</v>
      </c>
      <c r="I29" s="9" t="b">
        <f t="shared" si="0"/>
        <v>0</v>
      </c>
      <c r="J29" s="1" t="s">
        <v>1529</v>
      </c>
      <c r="K29" s="1" t="s">
        <v>1529</v>
      </c>
      <c r="L29" s="1" t="s">
        <v>1529</v>
      </c>
      <c r="N29" s="35"/>
      <c r="O29" s="2" t="s">
        <v>458</v>
      </c>
      <c r="P29" s="2" cm="1">
        <f t="array" ref="P29">_xlfn.XLOOKUP(TRIM(B29),TRIM('[1]wc-product-export-16-3-2026-177'!$A:$A),'[1]wc-product-export-16-3-2026-177'!$D:$D,0,0)</f>
        <v>0</v>
      </c>
      <c r="Q29" s="2" t="e" cm="1">
        <f t="array" ref="Q29">IF(TRIM($D29)="SET",IF($K29="Steak Set1",ROUNDDOWN(IFERROR(MIN(_xlfn._xlws.FILTER(O$3:O$650,ISNUMBER(MATCH(TRIM($B$3:$B$650),TRIM(_xlfn.TEXTSPLIT($N29,",")),0)))),0)/4,0)+P29,IF(IFERROR(MIN(_xlfn._xlws.FILTER(O$3:O$650,ISNUMBER(MATCH(TRIM($B$3:$B$650),TRIM(_xlfn.TEXTSPLIT($N29,",")),0)))),0)&gt;=$E$1,IFERROR(MIN(_xlfn._xlws.FILTER(O$3:O$650,ISNUMBER(MATCH(TRIM($B$3:$B$650),TRIM(_xlfn.TEXTSPLIT($N29,",")),0)))),0)+P29,P29)),IF(TRIM($D29)="EA",IF(TRIM($E29)="M",ROUNDUP(O29*0.85,0),IF(TRIM($E29)="P",O29,P29)),P29))</f>
        <v>#VALUE!</v>
      </c>
      <c r="T29" t="str" cm="1">
        <f t="array" ref="T29">IFERROR(IF(D29="SET",_xlfn.TEXTJOIN(", ",TRUE,_xlfn._xlws.FILTER(TRANSPOSE(TRIM(_xlfn.TEXTSPLIT(N29,","))),COUNTIFS(B$3:B$650,TRANSPOSE(TRIM(_xlfn.TEXTSPLIT(N29,","))),O$3:O$650,"&lt;="&amp;$T$1))),""),"")</f>
        <v/>
      </c>
    </row>
    <row r="30" spans="1:20" ht="14.4" hidden="1" x14ac:dyDescent="0.3">
      <c r="A30" s="1" t="s">
        <v>1437</v>
      </c>
      <c r="B30" s="1" t="s">
        <v>1437</v>
      </c>
      <c r="C30" s="1" t="s">
        <v>1259</v>
      </c>
      <c r="D30" s="14" t="s">
        <v>624</v>
      </c>
      <c r="E30" s="2" t="s">
        <v>686</v>
      </c>
      <c r="F30" s="9" t="s">
        <v>1608</v>
      </c>
      <c r="H30" s="16" t="s">
        <v>1488</v>
      </c>
      <c r="I30" s="9" t="b">
        <f t="shared" si="0"/>
        <v>0</v>
      </c>
      <c r="J30" s="1" t="s">
        <v>1529</v>
      </c>
      <c r="K30" s="1" t="s">
        <v>1529</v>
      </c>
      <c r="L30" s="1" t="s">
        <v>1529</v>
      </c>
      <c r="N30" s="35"/>
      <c r="O30" s="2" t="s">
        <v>458</v>
      </c>
      <c r="P30" s="2" cm="1">
        <f t="array" ref="P30">_xlfn.XLOOKUP(TRIM(B30),TRIM('[1]wc-product-export-16-3-2026-177'!$A:$A),'[1]wc-product-export-16-3-2026-177'!$D:$D,0,0)</f>
        <v>0</v>
      </c>
      <c r="Q30" s="2" t="e" cm="1">
        <f t="array" ref="Q30">IF(TRIM($D30)="SET",IF($K30="Steak Set1",ROUNDDOWN(IFERROR(MIN(_xlfn._xlws.FILTER(O$3:O$650,ISNUMBER(MATCH(TRIM($B$3:$B$650),TRIM(_xlfn.TEXTSPLIT($N30,",")),0)))),0)/4,0)+P30,IF(IFERROR(MIN(_xlfn._xlws.FILTER(O$3:O$650,ISNUMBER(MATCH(TRIM($B$3:$B$650),TRIM(_xlfn.TEXTSPLIT($N30,",")),0)))),0)&gt;=$E$1,IFERROR(MIN(_xlfn._xlws.FILTER(O$3:O$650,ISNUMBER(MATCH(TRIM($B$3:$B$650),TRIM(_xlfn.TEXTSPLIT($N30,",")),0)))),0)+P30,P30)),IF(TRIM($D30)="EA",IF(TRIM($E30)="M",ROUNDUP(O30*0.85,0),IF(TRIM($E30)="P",O30,P30)),P30))</f>
        <v>#VALUE!</v>
      </c>
      <c r="T30" t="str" cm="1">
        <f t="array" ref="T30">IFERROR(IF(D30="SET",_xlfn.TEXTJOIN(", ",TRUE,_xlfn._xlws.FILTER(TRANSPOSE(TRIM(_xlfn.TEXTSPLIT(N30,","))),COUNTIFS(B$3:B$650,TRANSPOSE(TRIM(_xlfn.TEXTSPLIT(N30,","))),O$3:O$650,"&lt;="&amp;$T$1))),""),"")</f>
        <v/>
      </c>
    </row>
    <row r="31" spans="1:20" ht="14.4" hidden="1" x14ac:dyDescent="0.3">
      <c r="A31" s="1" t="s">
        <v>1460</v>
      </c>
      <c r="B31" s="1" t="s">
        <v>1460</v>
      </c>
      <c r="C31" s="1" t="s">
        <v>1259</v>
      </c>
      <c r="D31" s="14" t="s">
        <v>624</v>
      </c>
      <c r="E31" s="2" t="s">
        <v>686</v>
      </c>
      <c r="F31" s="9" t="s">
        <v>1608</v>
      </c>
      <c r="H31" s="16" t="s">
        <v>1511</v>
      </c>
      <c r="I31" s="9" t="b">
        <f t="shared" si="0"/>
        <v>0</v>
      </c>
      <c r="J31" s="1" t="s">
        <v>1529</v>
      </c>
      <c r="K31" s="1" t="s">
        <v>1529</v>
      </c>
      <c r="L31" s="1" t="s">
        <v>1529</v>
      </c>
      <c r="N31" s="35"/>
      <c r="O31" s="2" t="s">
        <v>458</v>
      </c>
      <c r="P31" s="2" cm="1">
        <f t="array" ref="P31">_xlfn.XLOOKUP(TRIM(B31),TRIM('[1]wc-product-export-16-3-2026-177'!$A:$A),'[1]wc-product-export-16-3-2026-177'!$D:$D,0,0)</f>
        <v>0</v>
      </c>
      <c r="Q31" s="2" t="e" cm="1">
        <f t="array" ref="Q31">IF(TRIM($D31)="SET",IF($K31="Steak Set1",ROUNDDOWN(IFERROR(MIN(_xlfn._xlws.FILTER(O$3:O$650,ISNUMBER(MATCH(TRIM($B$3:$B$650),TRIM(_xlfn.TEXTSPLIT($N31,",")),0)))),0)/4,0)+P31,IF(IFERROR(MIN(_xlfn._xlws.FILTER(O$3:O$650,ISNUMBER(MATCH(TRIM($B$3:$B$650),TRIM(_xlfn.TEXTSPLIT($N31,",")),0)))),0)&gt;=$E$1,IFERROR(MIN(_xlfn._xlws.FILTER(O$3:O$650,ISNUMBER(MATCH(TRIM($B$3:$B$650),TRIM(_xlfn.TEXTSPLIT($N31,",")),0)))),0)+P31,P31)),IF(TRIM($D31)="EA",IF(TRIM($E31)="M",ROUNDUP(O31*0.85,0),IF(TRIM($E31)="P",O31,P31)),P31))</f>
        <v>#VALUE!</v>
      </c>
      <c r="T31" t="str" cm="1">
        <f t="array" ref="T31">IFERROR(IF(D31="SET",_xlfn.TEXTJOIN(", ",TRUE,_xlfn._xlws.FILTER(TRANSPOSE(TRIM(_xlfn.TEXTSPLIT(N31,","))),COUNTIFS(B$3:B$650,TRANSPOSE(TRIM(_xlfn.TEXTSPLIT(N31,","))),O$3:O$650,"&lt;="&amp;$T$1))),""),"")</f>
        <v/>
      </c>
    </row>
    <row r="32" spans="1:20" ht="14.4" hidden="1" x14ac:dyDescent="0.3">
      <c r="A32" s="1" t="s">
        <v>1431</v>
      </c>
      <c r="B32" s="1" t="s">
        <v>1431</v>
      </c>
      <c r="C32" s="1" t="s">
        <v>1259</v>
      </c>
      <c r="D32" s="14" t="s">
        <v>624</v>
      </c>
      <c r="E32" s="2" t="s">
        <v>686</v>
      </c>
      <c r="F32" s="9"/>
      <c r="H32" s="16" t="s">
        <v>1482</v>
      </c>
      <c r="I32" s="9" t="b">
        <f t="shared" si="0"/>
        <v>0</v>
      </c>
      <c r="J32" s="1" t="s">
        <v>1529</v>
      </c>
      <c r="K32" s="1" t="s">
        <v>1529</v>
      </c>
      <c r="L32" s="1" t="s">
        <v>1529</v>
      </c>
      <c r="N32" s="35"/>
      <c r="O32" s="2" t="s">
        <v>458</v>
      </c>
      <c r="P32" s="2" cm="1">
        <f t="array" ref="P32">_xlfn.XLOOKUP(TRIM(B32),TRIM('[1]wc-product-export-16-3-2026-177'!$A:$A),'[1]wc-product-export-16-3-2026-177'!$D:$D,0,0)</f>
        <v>0</v>
      </c>
      <c r="Q32" s="2" t="e" cm="1">
        <f t="array" ref="Q32">IF(TRIM($D32)="SET",IF($K32="Steak Set1",ROUNDDOWN(IFERROR(MIN(_xlfn._xlws.FILTER(O$3:O$650,ISNUMBER(MATCH(TRIM($B$3:$B$650),TRIM(_xlfn.TEXTSPLIT($N32,",")),0)))),0)/4,0)+P32,IF(IFERROR(MIN(_xlfn._xlws.FILTER(O$3:O$650,ISNUMBER(MATCH(TRIM($B$3:$B$650),TRIM(_xlfn.TEXTSPLIT($N32,",")),0)))),0)&gt;=$E$1,IFERROR(MIN(_xlfn._xlws.FILTER(O$3:O$650,ISNUMBER(MATCH(TRIM($B$3:$B$650),TRIM(_xlfn.TEXTSPLIT($N32,",")),0)))),0)+P32,P32)),IF(TRIM($D32)="EA",IF(TRIM($E32)="M",ROUNDUP(O32*0.85,0),IF(TRIM($E32)="P",O32,P32)),P32))</f>
        <v>#VALUE!</v>
      </c>
      <c r="T32" t="str" cm="1">
        <f t="array" ref="T32">IFERROR(IF(D32="SET",_xlfn.TEXTJOIN(", ",TRUE,_xlfn._xlws.FILTER(TRANSPOSE(TRIM(_xlfn.TEXTSPLIT(N32,","))),COUNTIFS(B$3:B$650,TRANSPOSE(TRIM(_xlfn.TEXTSPLIT(N32,","))),O$3:O$650,"&lt;="&amp;$T$1))),""),"")</f>
        <v/>
      </c>
    </row>
    <row r="33" spans="1:20" ht="14.4" x14ac:dyDescent="0.3">
      <c r="A33" s="1">
        <v>5025</v>
      </c>
      <c r="B33" s="50" t="s">
        <v>1167</v>
      </c>
      <c r="C33" s="1" t="s">
        <v>1259</v>
      </c>
      <c r="D33" s="1" t="s">
        <v>624</v>
      </c>
      <c r="E33" s="1" t="s">
        <v>623</v>
      </c>
      <c r="F33" s="9"/>
      <c r="G33" s="9"/>
      <c r="H33" s="16" t="s">
        <v>1423</v>
      </c>
      <c r="I33" s="9" t="b">
        <f t="shared" si="0"/>
        <v>0</v>
      </c>
      <c r="J33" s="1" t="s">
        <v>119</v>
      </c>
      <c r="K33" s="1" t="s">
        <v>435</v>
      </c>
      <c r="L33" s="1" t="s">
        <v>435</v>
      </c>
      <c r="M33" s="9"/>
      <c r="N33" s="35"/>
      <c r="O33" s="2">
        <v>0</v>
      </c>
      <c r="P33" s="2" cm="1">
        <f t="array" ref="P33">_xlfn.XLOOKUP(TRIM(B33),TRIM('[1]wc-product-export-16-3-2026-177'!$A:$A),'[1]wc-product-export-16-3-2026-177'!$D:$D,0,0)</f>
        <v>0</v>
      </c>
      <c r="Q33" s="2" cm="1">
        <f t="array" ref="Q33">IF(TRIM($D33)="SET",IF($K33="Steak Set1",ROUNDDOWN(IFERROR(MIN(_xlfn._xlws.FILTER(O$3:O$650,ISNUMBER(MATCH(TRIM($B$3:$B$650),TRIM(_xlfn.TEXTSPLIT($N33,",")),0)))),0)/4,0)+P33,IF(IFERROR(MIN(_xlfn._xlws.FILTER(O$3:O$650,ISNUMBER(MATCH(TRIM($B$3:$B$650),TRIM(_xlfn.TEXTSPLIT($N33,",")),0)))),0)&gt;=$E$1,IFERROR(MIN(_xlfn._xlws.FILTER(O$3:O$650,ISNUMBER(MATCH(TRIM($B$3:$B$650),TRIM(_xlfn.TEXTSPLIT($N33,",")),0)))),0)+P33,P33)),IF(TRIM($D33)="EA",IF(TRIM($E33)="M",ROUNDUP(O33*0.85,0),IF(TRIM($E33)="P",O33,P33)),P33))</f>
        <v>0</v>
      </c>
      <c r="T33" t="str" cm="1">
        <f t="array" ref="T33">IFERROR(IF(D33="SET",_xlfn.TEXTJOIN(", ",TRUE,_xlfn._xlws.FILTER(TRANSPOSE(TRIM(_xlfn.TEXTSPLIT(N33,","))),COUNTIFS(B$3:B$650,TRANSPOSE(TRIM(_xlfn.TEXTSPLIT(N33,","))),O$3:O$650,"&lt;="&amp;$T$1))),""),"")</f>
        <v/>
      </c>
    </row>
    <row r="34" spans="1:20" ht="14.4" hidden="1" x14ac:dyDescent="0.3">
      <c r="A34" s="1" t="s">
        <v>1444</v>
      </c>
      <c r="B34" s="1" t="s">
        <v>1444</v>
      </c>
      <c r="C34" s="1" t="s">
        <v>1259</v>
      </c>
      <c r="D34" s="14" t="s">
        <v>624</v>
      </c>
      <c r="E34" s="2" t="s">
        <v>686</v>
      </c>
      <c r="F34" s="9" t="s">
        <v>1690</v>
      </c>
      <c r="H34" s="16" t="s">
        <v>1495</v>
      </c>
      <c r="I34" s="9" t="b">
        <f t="shared" si="0"/>
        <v>0</v>
      </c>
      <c r="J34" s="1" t="s">
        <v>1529</v>
      </c>
      <c r="K34" s="1" t="s">
        <v>1529</v>
      </c>
      <c r="L34" s="1" t="s">
        <v>1529</v>
      </c>
      <c r="N34" s="35"/>
      <c r="O34" s="2" t="s">
        <v>458</v>
      </c>
      <c r="P34" s="2" cm="1">
        <f t="array" ref="P34">_xlfn.XLOOKUP(TRIM(B34),TRIM('[1]wc-product-export-16-3-2026-177'!$A:$A),'[1]wc-product-export-16-3-2026-177'!$D:$D,0,0)</f>
        <v>0</v>
      </c>
      <c r="Q34" s="2" t="e" cm="1">
        <f t="array" ref="Q34">IF(TRIM($D34)="SET",IF($K34="Steak Set1",ROUNDDOWN(IFERROR(MIN(_xlfn._xlws.FILTER(O$3:O$650,ISNUMBER(MATCH(TRIM($B$3:$B$650),TRIM(_xlfn.TEXTSPLIT($N34,",")),0)))),0)/4,0)+P34,IF(IFERROR(MIN(_xlfn._xlws.FILTER(O$3:O$650,ISNUMBER(MATCH(TRIM($B$3:$B$650),TRIM(_xlfn.TEXTSPLIT($N34,",")),0)))),0)&gt;=$E$1,IFERROR(MIN(_xlfn._xlws.FILTER(O$3:O$650,ISNUMBER(MATCH(TRIM($B$3:$B$650),TRIM(_xlfn.TEXTSPLIT($N34,",")),0)))),0)+P34,P34)),IF(TRIM($D34)="EA",IF(TRIM($E34)="M",ROUNDUP(O34*0.85,0),IF(TRIM($E34)="P",O34,P34)),P34))</f>
        <v>#VALUE!</v>
      </c>
      <c r="T34" t="str" cm="1">
        <f t="array" ref="T34">IFERROR(IF(D34="SET",_xlfn.TEXTJOIN(", ",TRUE,_xlfn._xlws.FILTER(TRANSPOSE(TRIM(_xlfn.TEXTSPLIT(N34,","))),COUNTIFS(B$3:B$650,TRANSPOSE(TRIM(_xlfn.TEXTSPLIT(N34,","))),O$3:O$650,"&lt;="&amp;$T$1))),""),"")</f>
        <v/>
      </c>
    </row>
    <row r="35" spans="1:20" ht="14.4" x14ac:dyDescent="0.3">
      <c r="A35" s="1">
        <v>5026</v>
      </c>
      <c r="B35" s="50" t="s">
        <v>1169</v>
      </c>
      <c r="C35" s="1" t="s">
        <v>1259</v>
      </c>
      <c r="D35" s="1" t="s">
        <v>624</v>
      </c>
      <c r="E35" s="1" t="s">
        <v>623</v>
      </c>
      <c r="F35" s="9"/>
      <c r="G35" s="9"/>
      <c r="H35" s="16" t="s">
        <v>1424</v>
      </c>
      <c r="I35" s="9" t="b">
        <f t="shared" si="0"/>
        <v>0</v>
      </c>
      <c r="J35" s="1" t="s">
        <v>119</v>
      </c>
      <c r="K35" s="1" t="s">
        <v>435</v>
      </c>
      <c r="L35" s="1" t="s">
        <v>435</v>
      </c>
      <c r="M35" s="9"/>
      <c r="N35" s="35"/>
      <c r="O35" s="2">
        <v>1</v>
      </c>
      <c r="P35" s="2" cm="1">
        <f t="array" ref="P35">_xlfn.XLOOKUP(TRIM(B35),TRIM('[1]wc-product-export-16-3-2026-177'!$A:$A),'[1]wc-product-export-16-3-2026-177'!$D:$D,0,0)</f>
        <v>0</v>
      </c>
      <c r="Q35" s="2" cm="1">
        <f t="array" ref="Q35">IF(TRIM($D35)="SET",IF($K35="Steak Set1",ROUNDDOWN(IFERROR(MIN(_xlfn._xlws.FILTER(O$3:O$650,ISNUMBER(MATCH(TRIM($B$3:$B$650),TRIM(_xlfn.TEXTSPLIT($N35,",")),0)))),0)/4,0)+P35,IF(IFERROR(MIN(_xlfn._xlws.FILTER(O$3:O$650,ISNUMBER(MATCH(TRIM($B$3:$B$650),TRIM(_xlfn.TEXTSPLIT($N35,",")),0)))),0)&gt;=$E$1,IFERROR(MIN(_xlfn._xlws.FILTER(O$3:O$650,ISNUMBER(MATCH(TRIM($B$3:$B$650),TRIM(_xlfn.TEXTSPLIT($N35,",")),0)))),0)+P35,P35)),IF(TRIM($D35)="EA",IF(TRIM($E35)="M",ROUNDUP(O35*0.85,0),IF(TRIM($E35)="P",O35,P35)),P35))</f>
        <v>1</v>
      </c>
      <c r="T35" t="str" cm="1">
        <f t="array" ref="T35">IFERROR(IF(D35="SET",_xlfn.TEXTJOIN(", ",TRUE,_xlfn._xlws.FILTER(TRANSPOSE(TRIM(_xlfn.TEXTSPLIT(N35,","))),COUNTIFS(B$3:B$650,TRANSPOSE(TRIM(_xlfn.TEXTSPLIT(N35,","))),O$3:O$650,"&lt;="&amp;$T$1))),""),"")</f>
        <v/>
      </c>
    </row>
    <row r="36" spans="1:20" ht="14.4" hidden="1" x14ac:dyDescent="0.3">
      <c r="A36" s="1">
        <v>5004</v>
      </c>
      <c r="B36" s="1" t="s">
        <v>1196</v>
      </c>
      <c r="C36" s="1" t="s">
        <v>1259</v>
      </c>
      <c r="D36" s="1" t="s">
        <v>624</v>
      </c>
      <c r="E36" s="1" t="s">
        <v>623</v>
      </c>
      <c r="F36" s="9" t="s">
        <v>1689</v>
      </c>
      <c r="G36" s="9"/>
      <c r="H36" s="16" t="s">
        <v>1415</v>
      </c>
      <c r="I36" s="9" t="b">
        <f t="shared" ref="I36:I67" si="1">ISNUMBER(SEARCH($I$2,H36))</f>
        <v>0</v>
      </c>
      <c r="J36" s="1" t="s">
        <v>119</v>
      </c>
      <c r="K36" s="1" t="s">
        <v>435</v>
      </c>
      <c r="L36" s="1" t="s">
        <v>435</v>
      </c>
      <c r="M36" s="9"/>
      <c r="N36" s="35"/>
      <c r="O36" s="2" t="s">
        <v>458</v>
      </c>
      <c r="P36" s="2" cm="1">
        <f t="array" ref="P36">_xlfn.XLOOKUP(TRIM(B36),TRIM('[1]wc-product-export-16-3-2026-177'!$A:$A),'[1]wc-product-export-16-3-2026-177'!$D:$D,0,0)</f>
        <v>0</v>
      </c>
      <c r="Q36" s="2" t="str" cm="1">
        <f t="array" ref="Q36">IF(TRIM($D36)="SET",IF($K36="Steak Set1",ROUNDDOWN(IFERROR(MIN(_xlfn._xlws.FILTER(O$3:O$650,ISNUMBER(MATCH(TRIM($B$3:$B$650),TRIM(_xlfn.TEXTSPLIT($N36,",")),0)))),0)/4,0)+P36,IF(IFERROR(MIN(_xlfn._xlws.FILTER(O$3:O$650,ISNUMBER(MATCH(TRIM($B$3:$B$650),TRIM(_xlfn.TEXTSPLIT($N36,",")),0)))),0)&gt;=$E$1,IFERROR(MIN(_xlfn._xlws.FILTER(O$3:O$650,ISNUMBER(MATCH(TRIM($B$3:$B$650),TRIM(_xlfn.TEXTSPLIT($N36,",")),0)))),0)+P36,P36)),IF(TRIM($D36)="EA",IF(TRIM($E36)="M",ROUNDUP(O36*0.85,0),IF(TRIM($E36)="P",O36,P36)),P36))</f>
        <v>N/A</v>
      </c>
      <c r="T36" t="str" cm="1">
        <f t="array" ref="T36">IFERROR(IF(D36="SET",_xlfn.TEXTJOIN(", ",TRUE,_xlfn._xlws.FILTER(TRANSPOSE(TRIM(_xlfn.TEXTSPLIT(N36,","))),COUNTIFS(B$3:B$650,TRANSPOSE(TRIM(_xlfn.TEXTSPLIT(N36,","))),O$3:O$650,"&lt;="&amp;$T$1))),""),"")</f>
        <v/>
      </c>
    </row>
    <row r="37" spans="1:20" ht="14.4" x14ac:dyDescent="0.3">
      <c r="A37" s="1">
        <v>5028</v>
      </c>
      <c r="B37" s="50" t="s">
        <v>1170</v>
      </c>
      <c r="C37" s="1" t="s">
        <v>1259</v>
      </c>
      <c r="D37" s="1" t="s">
        <v>628</v>
      </c>
      <c r="E37" s="1" t="s">
        <v>623</v>
      </c>
      <c r="F37" s="9"/>
      <c r="G37" s="9"/>
      <c r="H37" s="16" t="s">
        <v>1369</v>
      </c>
      <c r="I37" s="9" t="b">
        <f t="shared" si="1"/>
        <v>0</v>
      </c>
      <c r="J37" s="1" t="s">
        <v>119</v>
      </c>
      <c r="K37" s="1" t="s">
        <v>435</v>
      </c>
      <c r="L37" s="1" t="s">
        <v>435</v>
      </c>
      <c r="M37" s="9"/>
      <c r="N37" s="35" t="s">
        <v>1540</v>
      </c>
      <c r="O37" s="2">
        <v>4</v>
      </c>
      <c r="P37" s="2" cm="1">
        <f t="array" ref="P37">_xlfn.XLOOKUP(TRIM(B37),TRIM('[1]wc-product-export-16-3-2026-177'!$A:$A),'[1]wc-product-export-16-3-2026-177'!$D:$D,0,0)</f>
        <v>1</v>
      </c>
      <c r="Q37" s="2" cm="1">
        <f t="array" ref="Q37">IF(TRIM($D37)="SET",IF($K37="Steak Set1",ROUNDDOWN(IFERROR(MIN(_xlfn._xlws.FILTER(O$3:O$650,ISNUMBER(MATCH(TRIM($B$3:$B$650),TRIM(_xlfn.TEXTSPLIT($N37,",")),0)))),0)/4,0)+P37,IF(IFERROR(MIN(_xlfn._xlws.FILTER(O$3:O$650,ISNUMBER(MATCH(TRIM($B$3:$B$650),TRIM(_xlfn.TEXTSPLIT($N37,",")),0)))),0)&gt;=$E$1,IFERROR(MIN(_xlfn._xlws.FILTER(O$3:O$650,ISNUMBER(MATCH(TRIM($B$3:$B$650),TRIM(_xlfn.TEXTSPLIT($N37,",")),0)))),0)+P37,P37)),IF(TRIM($D37)="EA",IF(TRIM($E37)="M",ROUNDUP(O37*0.85,0),IF(TRIM($E37)="P",O37,P37)),P37))</f>
        <v>4</v>
      </c>
      <c r="T37" t="str" cm="1">
        <f t="array" ref="T37">IFERROR(IF(D37="SET",_xlfn.TEXTJOIN(", ",TRUE,_xlfn._xlws.FILTER(TRANSPOSE(TRIM(_xlfn.TEXTSPLIT(N37,","))),COUNTIFS(B$3:B$650,TRANSPOSE(TRIM(_xlfn.TEXTSPLIT(N37,","))),O$3:O$650,"&lt;="&amp;$T$1))),""),"")</f>
        <v>05021</v>
      </c>
    </row>
    <row r="38" spans="1:20" ht="14.4" x14ac:dyDescent="0.3">
      <c r="A38" s="1">
        <v>5029</v>
      </c>
      <c r="B38" s="50" t="s">
        <v>1190</v>
      </c>
      <c r="C38" s="1" t="s">
        <v>1259</v>
      </c>
      <c r="D38" s="1" t="s">
        <v>628</v>
      </c>
      <c r="E38" s="1" t="s">
        <v>623</v>
      </c>
      <c r="F38" s="9"/>
      <c r="G38" s="9"/>
      <c r="H38" s="16" t="s">
        <v>1370</v>
      </c>
      <c r="I38" s="9" t="b">
        <f t="shared" si="1"/>
        <v>0</v>
      </c>
      <c r="J38" s="1" t="s">
        <v>119</v>
      </c>
      <c r="K38" s="1" t="s">
        <v>435</v>
      </c>
      <c r="L38" s="1" t="s">
        <v>435</v>
      </c>
      <c r="M38" s="9"/>
      <c r="N38" s="35" t="s">
        <v>1541</v>
      </c>
      <c r="O38" s="2">
        <v>2</v>
      </c>
      <c r="P38" s="2" cm="1">
        <f t="array" ref="P38">_xlfn.XLOOKUP(TRIM(B38),TRIM('[1]wc-product-export-16-3-2026-177'!$A:$A),'[1]wc-product-export-16-3-2026-177'!$D:$D,0,0)</f>
        <v>0</v>
      </c>
      <c r="Q38" s="2" cm="1">
        <f t="array" ref="Q38">IF(TRIM($D38)="SET",IF($K38="Steak Set1",ROUNDDOWN(IFERROR(MIN(_xlfn._xlws.FILTER(O$3:O$650,ISNUMBER(MATCH(TRIM($B$3:$B$650),TRIM(_xlfn.TEXTSPLIT($N38,",")),0)))),0)/4,0)+P38,IF(IFERROR(MIN(_xlfn._xlws.FILTER(O$3:O$650,ISNUMBER(MATCH(TRIM($B$3:$B$650),TRIM(_xlfn.TEXTSPLIT($N38,",")),0)))),0)&gt;=$E$1,IFERROR(MIN(_xlfn._xlws.FILTER(O$3:O$650,ISNUMBER(MATCH(TRIM($B$3:$B$650),TRIM(_xlfn.TEXTSPLIT($N38,",")),0)))),0)+P38,P38)),IF(TRIM($D38)="EA",IF(TRIM($E38)="M",ROUNDUP(O38*0.85,0),IF(TRIM($E38)="P",O38,P38)),P38))</f>
        <v>2</v>
      </c>
      <c r="T38" t="str" cm="1">
        <f t="array" ref="T38">IFERROR(IF(D38="SET",_xlfn.TEXTJOIN(", ",TRUE,_xlfn._xlws.FILTER(TRANSPOSE(TRIM(_xlfn.TEXTSPLIT(N38,","))),COUNTIFS(B$3:B$650,TRANSPOSE(TRIM(_xlfn.TEXTSPLIT(N38,","))),O$3:O$650,"&lt;="&amp;$T$1))),""),"")</f>
        <v>05046</v>
      </c>
    </row>
    <row r="39" spans="1:20" ht="14.4" hidden="1" x14ac:dyDescent="0.3">
      <c r="A39" s="1">
        <v>5012</v>
      </c>
      <c r="B39" s="1" t="s">
        <v>1165</v>
      </c>
      <c r="C39" s="1" t="s">
        <v>1259</v>
      </c>
      <c r="D39" s="1" t="s">
        <v>624</v>
      </c>
      <c r="E39" s="1" t="s">
        <v>623</v>
      </c>
      <c r="F39" s="9" t="s">
        <v>1689</v>
      </c>
      <c r="G39" s="9"/>
      <c r="H39" s="16" t="s">
        <v>1418</v>
      </c>
      <c r="I39" s="9" t="b">
        <f t="shared" si="1"/>
        <v>0</v>
      </c>
      <c r="J39" s="1" t="s">
        <v>119</v>
      </c>
      <c r="K39" s="1" t="s">
        <v>435</v>
      </c>
      <c r="L39" s="1" t="s">
        <v>435</v>
      </c>
      <c r="M39" s="9"/>
      <c r="N39" s="35"/>
      <c r="O39" s="2" t="s">
        <v>458</v>
      </c>
      <c r="P39" s="2" cm="1">
        <f t="array" ref="P39">_xlfn.XLOOKUP(TRIM(B39),TRIM('[1]wc-product-export-16-3-2026-177'!$A:$A),'[1]wc-product-export-16-3-2026-177'!$D:$D,0,0)</f>
        <v>0</v>
      </c>
      <c r="Q39" s="2" t="str" cm="1">
        <f t="array" ref="Q39">IF(TRIM($D39)="SET",IF($K39="Steak Set1",ROUNDDOWN(IFERROR(MIN(_xlfn._xlws.FILTER(O$3:O$650,ISNUMBER(MATCH(TRIM($B$3:$B$650),TRIM(_xlfn.TEXTSPLIT($N39,",")),0)))),0)/4,0)+P39,IF(IFERROR(MIN(_xlfn._xlws.FILTER(O$3:O$650,ISNUMBER(MATCH(TRIM($B$3:$B$650),TRIM(_xlfn.TEXTSPLIT($N39,",")),0)))),0)&gt;=$E$1,IFERROR(MIN(_xlfn._xlws.FILTER(O$3:O$650,ISNUMBER(MATCH(TRIM($B$3:$B$650),TRIM(_xlfn.TEXTSPLIT($N39,",")),0)))),0)+P39,P39)),IF(TRIM($D39)="EA",IF(TRIM($E39)="M",ROUNDUP(O39*0.85,0),IF(TRIM($E39)="P",O39,P39)),P39))</f>
        <v>N/A</v>
      </c>
      <c r="T39" t="str" cm="1">
        <f t="array" ref="T39">IFERROR(IF(D39="SET",_xlfn.TEXTJOIN(", ",TRUE,_xlfn._xlws.FILTER(TRANSPOSE(TRIM(_xlfn.TEXTSPLIT(N39,","))),COUNTIFS(B$3:B$650,TRANSPOSE(TRIM(_xlfn.TEXTSPLIT(N39,","))),O$3:O$650,"&lt;="&amp;$T$1))),""),"")</f>
        <v/>
      </c>
    </row>
    <row r="40" spans="1:20" ht="14.4" x14ac:dyDescent="0.3">
      <c r="A40" s="1">
        <v>5031</v>
      </c>
      <c r="B40" s="50" t="s">
        <v>1195</v>
      </c>
      <c r="C40" s="1" t="s">
        <v>1259</v>
      </c>
      <c r="D40" s="1" t="s">
        <v>628</v>
      </c>
      <c r="E40" s="1" t="s">
        <v>623</v>
      </c>
      <c r="F40" s="9" t="s">
        <v>1608</v>
      </c>
      <c r="G40" s="9"/>
      <c r="H40" s="16" t="s">
        <v>1371</v>
      </c>
      <c r="I40" s="9" t="b">
        <f t="shared" si="1"/>
        <v>0</v>
      </c>
      <c r="J40" s="1" t="s">
        <v>119</v>
      </c>
      <c r="K40" s="1" t="s">
        <v>435</v>
      </c>
      <c r="L40" s="1" t="s">
        <v>435</v>
      </c>
      <c r="M40" s="9"/>
      <c r="N40" s="35" t="s">
        <v>1542</v>
      </c>
      <c r="O40" s="2">
        <v>0</v>
      </c>
      <c r="P40" s="2" cm="1">
        <f t="array" ref="P40">_xlfn.XLOOKUP(TRIM(B40),TRIM('[1]wc-product-export-16-3-2026-177'!$A:$A),'[1]wc-product-export-16-3-2026-177'!$D:$D,0,0)</f>
        <v>0</v>
      </c>
      <c r="Q40" s="2" cm="1">
        <f t="array" ref="Q40">IF(TRIM($D40)="SET",IF($K40="Steak Set1",ROUNDDOWN(IFERROR(MIN(_xlfn._xlws.FILTER(O$3:O$650,ISNUMBER(MATCH(TRIM($B$3:$B$650),TRIM(_xlfn.TEXTSPLIT($N40,",")),0)))),0)/4,0)+P40,IF(IFERROR(MIN(_xlfn._xlws.FILTER(O$3:O$650,ISNUMBER(MATCH(TRIM($B$3:$B$650),TRIM(_xlfn.TEXTSPLIT($N40,",")),0)))),0)&gt;=$E$1,IFERROR(MIN(_xlfn._xlws.FILTER(O$3:O$650,ISNUMBER(MATCH(TRIM($B$3:$B$650),TRIM(_xlfn.TEXTSPLIT($N40,",")),0)))),0)+P40,P40)),IF(TRIM($D40)="EA",IF(TRIM($E40)="M",ROUNDUP(O40*0.85,0),IF(TRIM($E40)="P",O40,P40)),P40))</f>
        <v>0</v>
      </c>
      <c r="T40" t="str" cm="1">
        <f t="array" ref="T40">IFERROR(IF(D40="SET",_xlfn.TEXTJOIN(", ",TRUE,_xlfn._xlws.FILTER(TRANSPOSE(TRIM(_xlfn.TEXTSPLIT(N40,","))),COUNTIFS(B$3:B$650,TRANSPOSE(TRIM(_xlfn.TEXTSPLIT(N40,","))),O$3:O$650,"&lt;="&amp;$T$1))),""),"")</f>
        <v>05025, 05048</v>
      </c>
    </row>
    <row r="41" spans="1:20" ht="14.4" x14ac:dyDescent="0.3">
      <c r="A41" s="1">
        <v>5032</v>
      </c>
      <c r="B41" s="50" t="s">
        <v>1191</v>
      </c>
      <c r="C41" s="1" t="s">
        <v>1259</v>
      </c>
      <c r="D41" s="1" t="s">
        <v>628</v>
      </c>
      <c r="E41" s="1" t="s">
        <v>623</v>
      </c>
      <c r="F41" s="9"/>
      <c r="G41" s="9"/>
      <c r="H41" s="16" t="s">
        <v>1372</v>
      </c>
      <c r="I41" s="9" t="b">
        <f t="shared" si="1"/>
        <v>0</v>
      </c>
      <c r="J41" s="1" t="s">
        <v>119</v>
      </c>
      <c r="K41" s="1" t="s">
        <v>435</v>
      </c>
      <c r="L41" s="1" t="s">
        <v>435</v>
      </c>
      <c r="M41" s="9"/>
      <c r="N41" s="35" t="s">
        <v>1543</v>
      </c>
      <c r="O41" s="2">
        <v>1</v>
      </c>
      <c r="P41" s="2" cm="1">
        <f t="array" ref="P41">_xlfn.XLOOKUP(TRIM(B41),TRIM('[1]wc-product-export-16-3-2026-177'!$A:$A),'[1]wc-product-export-16-3-2026-177'!$D:$D,0,0)</f>
        <v>1</v>
      </c>
      <c r="Q41" s="2" cm="1">
        <f t="array" ref="Q41">IF(TRIM($D41)="SET",IF($K41="Steak Set1",ROUNDDOWN(IFERROR(MIN(_xlfn._xlws.FILTER(O$3:O$650,ISNUMBER(MATCH(TRIM($B$3:$B$650),TRIM(_xlfn.TEXTSPLIT($N41,",")),0)))),0)/4,0)+P41,IF(IFERROR(MIN(_xlfn._xlws.FILTER(O$3:O$650,ISNUMBER(MATCH(TRIM($B$3:$B$650),TRIM(_xlfn.TEXTSPLIT($N41,",")),0)))),0)&gt;=$E$1,IFERROR(MIN(_xlfn._xlws.FILTER(O$3:O$650,ISNUMBER(MATCH(TRIM($B$3:$B$650),TRIM(_xlfn.TEXTSPLIT($N41,",")),0)))),0)+P41,P41)),IF(TRIM($D41)="EA",IF(TRIM($E41)="M",ROUNDUP(O41*0.85,0),IF(TRIM($E41)="P",O41,P41)),P41))</f>
        <v>1</v>
      </c>
      <c r="T41" t="str" cm="1">
        <f t="array" ref="T41">IFERROR(IF(D41="SET",_xlfn.TEXTJOIN(", ",TRUE,_xlfn._xlws.FILTER(TRANSPOSE(TRIM(_xlfn.TEXTSPLIT(N41,","))),COUNTIFS(B$3:B$650,TRANSPOSE(TRIM(_xlfn.TEXTSPLIT(N41,","))),O$3:O$650,"&lt;="&amp;$T$1))),""),"")</f>
        <v>05026, 05049</v>
      </c>
    </row>
    <row r="42" spans="1:20" ht="14.4" hidden="1" x14ac:dyDescent="0.3">
      <c r="A42" s="1" t="s">
        <v>1461</v>
      </c>
      <c r="B42" s="1" t="s">
        <v>1461</v>
      </c>
      <c r="C42" s="1" t="s">
        <v>1259</v>
      </c>
      <c r="D42" s="14" t="s">
        <v>624</v>
      </c>
      <c r="E42" s="2" t="s">
        <v>686</v>
      </c>
      <c r="F42" s="9" t="s">
        <v>1690</v>
      </c>
      <c r="H42" s="16" t="s">
        <v>1512</v>
      </c>
      <c r="I42" s="9" t="b">
        <f t="shared" si="1"/>
        <v>0</v>
      </c>
      <c r="J42" s="1" t="s">
        <v>1529</v>
      </c>
      <c r="K42" s="1" t="s">
        <v>1529</v>
      </c>
      <c r="L42" s="1" t="s">
        <v>1529</v>
      </c>
      <c r="N42" s="35"/>
      <c r="O42" s="2" t="s">
        <v>458</v>
      </c>
      <c r="P42" s="2" cm="1">
        <f t="array" ref="P42">_xlfn.XLOOKUP(TRIM(B42),TRIM('[1]wc-product-export-16-3-2026-177'!$A:$A),'[1]wc-product-export-16-3-2026-177'!$D:$D,0,0)</f>
        <v>0</v>
      </c>
      <c r="Q42" s="2" t="e" cm="1">
        <f t="array" ref="Q42">IF(TRIM($D42)="SET",IF($K42="Steak Set1",ROUNDDOWN(IFERROR(MIN(_xlfn._xlws.FILTER(O$3:O$650,ISNUMBER(MATCH(TRIM($B$3:$B$650),TRIM(_xlfn.TEXTSPLIT($N42,",")),0)))),0)/4,0)+P42,IF(IFERROR(MIN(_xlfn._xlws.FILTER(O$3:O$650,ISNUMBER(MATCH(TRIM($B$3:$B$650),TRIM(_xlfn.TEXTSPLIT($N42,",")),0)))),0)&gt;=$E$1,IFERROR(MIN(_xlfn._xlws.FILTER(O$3:O$650,ISNUMBER(MATCH(TRIM($B$3:$B$650),TRIM(_xlfn.TEXTSPLIT($N42,",")),0)))),0)+P42,P42)),IF(TRIM($D42)="EA",IF(TRIM($E42)="M",ROUNDUP(O42*0.85,0),IF(TRIM($E42)="P",O42,P42)),P42))</f>
        <v>#VALUE!</v>
      </c>
      <c r="T42" t="str" cm="1">
        <f t="array" ref="T42">IFERROR(IF(D42="SET",_xlfn.TEXTJOIN(", ",TRUE,_xlfn._xlws.FILTER(TRANSPOSE(TRIM(_xlfn.TEXTSPLIT(N42,","))),COUNTIFS(B$3:B$650,TRANSPOSE(TRIM(_xlfn.TEXTSPLIT(N42,","))),O$3:O$650,"&lt;="&amp;$T$1))),""),"")</f>
        <v/>
      </c>
    </row>
    <row r="43" spans="1:20" ht="14.4" hidden="1" x14ac:dyDescent="0.3">
      <c r="A43" s="1" t="s">
        <v>1474</v>
      </c>
      <c r="B43" s="1" t="s">
        <v>1474</v>
      </c>
      <c r="C43" s="1" t="s">
        <v>1259</v>
      </c>
      <c r="D43" s="14" t="s">
        <v>624</v>
      </c>
      <c r="E43" s="2" t="s">
        <v>686</v>
      </c>
      <c r="F43" s="9" t="s">
        <v>1689</v>
      </c>
      <c r="H43" s="16" t="s">
        <v>1525</v>
      </c>
      <c r="I43" s="9" t="b">
        <f t="shared" si="1"/>
        <v>0</v>
      </c>
      <c r="J43" s="1" t="s">
        <v>1529</v>
      </c>
      <c r="K43" s="1" t="s">
        <v>1529</v>
      </c>
      <c r="L43" s="1" t="s">
        <v>1529</v>
      </c>
      <c r="N43" s="35"/>
      <c r="O43" s="2" t="s">
        <v>458</v>
      </c>
      <c r="P43" s="2" cm="1">
        <f t="array" ref="P43">_xlfn.XLOOKUP(TRIM(B43),TRIM('[1]wc-product-export-16-3-2026-177'!$A:$A),'[1]wc-product-export-16-3-2026-177'!$D:$D,0,0)</f>
        <v>0</v>
      </c>
      <c r="Q43" s="2" t="e" cm="1">
        <f t="array" ref="Q43">IF(TRIM($D43)="SET",IF($K43="Steak Set1",ROUNDDOWN(IFERROR(MIN(_xlfn._xlws.FILTER(O$3:O$650,ISNUMBER(MATCH(TRIM($B$3:$B$650),TRIM(_xlfn.TEXTSPLIT($N43,",")),0)))),0)/4,0)+P43,IF(IFERROR(MIN(_xlfn._xlws.FILTER(O$3:O$650,ISNUMBER(MATCH(TRIM($B$3:$B$650),TRIM(_xlfn.TEXTSPLIT($N43,",")),0)))),0)&gt;=$E$1,IFERROR(MIN(_xlfn._xlws.FILTER(O$3:O$650,ISNUMBER(MATCH(TRIM($B$3:$B$650),TRIM(_xlfn.TEXTSPLIT($N43,",")),0)))),0)+P43,P43)),IF(TRIM($D43)="EA",IF(TRIM($E43)="M",ROUNDUP(O43*0.85,0),IF(TRIM($E43)="P",O43,P43)),P43))</f>
        <v>#VALUE!</v>
      </c>
      <c r="T43" t="str" cm="1">
        <f t="array" ref="T43">IFERROR(IF(D43="SET",_xlfn.TEXTJOIN(", ",TRUE,_xlfn._xlws.FILTER(TRANSPOSE(TRIM(_xlfn.TEXTSPLIT(N43,","))),COUNTIFS(B$3:B$650,TRANSPOSE(TRIM(_xlfn.TEXTSPLIT(N43,","))),O$3:O$650,"&lt;="&amp;$T$1))),""),"")</f>
        <v/>
      </c>
    </row>
    <row r="44" spans="1:20" ht="14.4" x14ac:dyDescent="0.3">
      <c r="A44" s="1">
        <v>5046</v>
      </c>
      <c r="B44" s="50" t="s">
        <v>1221</v>
      </c>
      <c r="C44" s="1" t="s">
        <v>1259</v>
      </c>
      <c r="D44" s="1" t="s">
        <v>624</v>
      </c>
      <c r="E44" s="1" t="s">
        <v>623</v>
      </c>
      <c r="F44" s="9"/>
      <c r="G44" s="9"/>
      <c r="H44" s="16" t="s">
        <v>1378</v>
      </c>
      <c r="I44" s="9" t="b">
        <f t="shared" si="1"/>
        <v>0</v>
      </c>
      <c r="J44" s="1" t="s">
        <v>119</v>
      </c>
      <c r="K44" s="1" t="s">
        <v>285</v>
      </c>
      <c r="L44" s="1" t="s">
        <v>285</v>
      </c>
      <c r="M44" s="9"/>
      <c r="N44" s="35"/>
      <c r="O44" s="2">
        <v>2</v>
      </c>
      <c r="P44" s="2" cm="1">
        <f t="array" ref="P44">_xlfn.XLOOKUP(TRIM(B44),TRIM('[1]wc-product-export-16-3-2026-177'!$A:$A),'[1]wc-product-export-16-3-2026-177'!$D:$D,0,0)</f>
        <v>0</v>
      </c>
      <c r="Q44" s="2" cm="1">
        <f t="array" ref="Q44">IF(TRIM($D44)="SET",IF($K44="Steak Set1",ROUNDDOWN(IFERROR(MIN(_xlfn._xlws.FILTER(O$3:O$650,ISNUMBER(MATCH(TRIM($B$3:$B$650),TRIM(_xlfn.TEXTSPLIT($N44,",")),0)))),0)/4,0)+P44,IF(IFERROR(MIN(_xlfn._xlws.FILTER(O$3:O$650,ISNUMBER(MATCH(TRIM($B$3:$B$650),TRIM(_xlfn.TEXTSPLIT($N44,",")),0)))),0)&gt;=$E$1,IFERROR(MIN(_xlfn._xlws.FILTER(O$3:O$650,ISNUMBER(MATCH(TRIM($B$3:$B$650),TRIM(_xlfn.TEXTSPLIT($N44,",")),0)))),0)+P44,P44)),IF(TRIM($D44)="EA",IF(TRIM($E44)="M",ROUNDUP(O44*0.85,0),IF(TRIM($E44)="P",O44,P44)),P44))</f>
        <v>2</v>
      </c>
      <c r="T44" t="str" cm="1">
        <f t="array" ref="T44">IFERROR(IF(D44="SET",_xlfn.TEXTJOIN(", ",TRUE,_xlfn._xlws.FILTER(TRANSPOSE(TRIM(_xlfn.TEXTSPLIT(N44,","))),COUNTIFS(B$3:B$650,TRANSPOSE(TRIM(_xlfn.TEXTSPLIT(N44,","))),O$3:O$650,"&lt;="&amp;$T$1))),""),"")</f>
        <v/>
      </c>
    </row>
    <row r="45" spans="1:20" ht="14.4" x14ac:dyDescent="0.3">
      <c r="A45" s="1">
        <v>5048</v>
      </c>
      <c r="B45" s="50" t="s">
        <v>1227</v>
      </c>
      <c r="C45" s="1" t="s">
        <v>1259</v>
      </c>
      <c r="D45" s="1" t="s">
        <v>624</v>
      </c>
      <c r="E45" s="1" t="s">
        <v>623</v>
      </c>
      <c r="F45" s="9"/>
      <c r="G45" s="9"/>
      <c r="H45" s="16" t="s">
        <v>1380</v>
      </c>
      <c r="I45" s="9" t="b">
        <f t="shared" si="1"/>
        <v>0</v>
      </c>
      <c r="J45" s="1" t="s">
        <v>119</v>
      </c>
      <c r="K45" s="1" t="s">
        <v>285</v>
      </c>
      <c r="L45" s="1" t="s">
        <v>285</v>
      </c>
      <c r="M45" s="9"/>
      <c r="N45" s="35"/>
      <c r="O45" s="2">
        <v>4</v>
      </c>
      <c r="P45" s="2" cm="1">
        <f t="array" ref="P45">_xlfn.XLOOKUP(TRIM(B45),TRIM('[1]wc-product-export-16-3-2026-177'!$A:$A),'[1]wc-product-export-16-3-2026-177'!$D:$D,0,0)</f>
        <v>0</v>
      </c>
      <c r="Q45" s="2" cm="1">
        <f t="array" ref="Q45">IF(TRIM($D45)="SET",IF($K45="Steak Set1",ROUNDDOWN(IFERROR(MIN(_xlfn._xlws.FILTER(O$3:O$650,ISNUMBER(MATCH(TRIM($B$3:$B$650),TRIM(_xlfn.TEXTSPLIT($N45,",")),0)))),0)/4,0)+P45,IF(IFERROR(MIN(_xlfn._xlws.FILTER(O$3:O$650,ISNUMBER(MATCH(TRIM($B$3:$B$650),TRIM(_xlfn.TEXTSPLIT($N45,",")),0)))),0)&gt;=$E$1,IFERROR(MIN(_xlfn._xlws.FILTER(O$3:O$650,ISNUMBER(MATCH(TRIM($B$3:$B$650),TRIM(_xlfn.TEXTSPLIT($N45,",")),0)))),0)+P45,P45)),IF(TRIM($D45)="EA",IF(TRIM($E45)="M",ROUNDUP(O45*0.85,0),IF(TRIM($E45)="P",O45,P45)),P45))</f>
        <v>4</v>
      </c>
      <c r="T45" t="str" cm="1">
        <f t="array" ref="T45">IFERROR(IF(D45="SET",_xlfn.TEXTJOIN(", ",TRUE,_xlfn._xlws.FILTER(TRANSPOSE(TRIM(_xlfn.TEXTSPLIT(N45,","))),COUNTIFS(B$3:B$650,TRANSPOSE(TRIM(_xlfn.TEXTSPLIT(N45,","))),O$3:O$650,"&lt;="&amp;$T$1))),""),"")</f>
        <v/>
      </c>
    </row>
    <row r="46" spans="1:20" ht="14.4" hidden="1" x14ac:dyDescent="0.3">
      <c r="A46" s="1" t="s">
        <v>1428</v>
      </c>
      <c r="B46" s="1" t="s">
        <v>1428</v>
      </c>
      <c r="C46" s="1" t="s">
        <v>1259</v>
      </c>
      <c r="D46" s="14" t="s">
        <v>624</v>
      </c>
      <c r="E46" s="2" t="s">
        <v>686</v>
      </c>
      <c r="F46" s="9"/>
      <c r="H46" s="16" t="s">
        <v>1478</v>
      </c>
      <c r="I46" s="9" t="b">
        <f t="shared" si="1"/>
        <v>0</v>
      </c>
      <c r="J46" s="1" t="s">
        <v>1529</v>
      </c>
      <c r="K46" s="1" t="s">
        <v>1529</v>
      </c>
      <c r="L46" s="1" t="s">
        <v>1529</v>
      </c>
      <c r="N46" s="35"/>
      <c r="O46" s="2" t="s">
        <v>458</v>
      </c>
      <c r="P46" s="2" cm="1">
        <f t="array" ref="P46">_xlfn.XLOOKUP(TRIM(B46),TRIM('[1]wc-product-export-16-3-2026-177'!$A:$A),'[1]wc-product-export-16-3-2026-177'!$D:$D,0,0)</f>
        <v>0</v>
      </c>
      <c r="Q46" s="2" t="e" cm="1">
        <f t="array" ref="Q46">IF(TRIM($D46)="SET",IF($K46="Steak Set1",ROUNDDOWN(IFERROR(MIN(_xlfn._xlws.FILTER(O$3:O$650,ISNUMBER(MATCH(TRIM($B$3:$B$650),TRIM(_xlfn.TEXTSPLIT($N46,",")),0)))),0)/4,0)+P46,IF(IFERROR(MIN(_xlfn._xlws.FILTER(O$3:O$650,ISNUMBER(MATCH(TRIM($B$3:$B$650),TRIM(_xlfn.TEXTSPLIT($N46,",")),0)))),0)&gt;=$E$1,IFERROR(MIN(_xlfn._xlws.FILTER(O$3:O$650,ISNUMBER(MATCH(TRIM($B$3:$B$650),TRIM(_xlfn.TEXTSPLIT($N46,",")),0)))),0)+P46,P46)),IF(TRIM($D46)="EA",IF(TRIM($E46)="M",ROUNDUP(O46*0.85,0),IF(TRIM($E46)="P",O46,P46)),P46))</f>
        <v>#VALUE!</v>
      </c>
      <c r="T46" t="str" cm="1">
        <f t="array" ref="T46">IFERROR(IF(D46="SET",_xlfn.TEXTJOIN(", ",TRUE,_xlfn._xlws.FILTER(TRANSPOSE(TRIM(_xlfn.TEXTSPLIT(N46,","))),COUNTIFS(B$3:B$650,TRANSPOSE(TRIM(_xlfn.TEXTSPLIT(N46,","))),O$3:O$650,"&lt;="&amp;$T$1))),""),"")</f>
        <v/>
      </c>
    </row>
    <row r="47" spans="1:20" ht="14.4" hidden="1" x14ac:dyDescent="0.3">
      <c r="A47" s="1" t="s">
        <v>1462</v>
      </c>
      <c r="B47" s="1" t="s">
        <v>1462</v>
      </c>
      <c r="C47" s="1" t="s">
        <v>1259</v>
      </c>
      <c r="D47" s="14" t="s">
        <v>624</v>
      </c>
      <c r="E47" s="2" t="s">
        <v>686</v>
      </c>
      <c r="F47" s="9" t="s">
        <v>1608</v>
      </c>
      <c r="H47" s="16" t="s">
        <v>1513</v>
      </c>
      <c r="I47" s="9" t="b">
        <f t="shared" si="1"/>
        <v>0</v>
      </c>
      <c r="J47" s="1" t="s">
        <v>1529</v>
      </c>
      <c r="K47" s="1" t="s">
        <v>1529</v>
      </c>
      <c r="L47" s="1" t="s">
        <v>1529</v>
      </c>
      <c r="N47" s="35"/>
      <c r="O47" s="2" t="s">
        <v>458</v>
      </c>
      <c r="P47" s="2" cm="1">
        <f t="array" ref="P47">_xlfn.XLOOKUP(TRIM(B47),TRIM('[1]wc-product-export-16-3-2026-177'!$A:$A),'[1]wc-product-export-16-3-2026-177'!$D:$D,0,0)</f>
        <v>0</v>
      </c>
      <c r="Q47" s="2" t="e" cm="1">
        <f t="array" ref="Q47">IF(TRIM($D47)="SET",IF($K47="Steak Set1",ROUNDDOWN(IFERROR(MIN(_xlfn._xlws.FILTER(O$3:O$650,ISNUMBER(MATCH(TRIM($B$3:$B$650),TRIM(_xlfn.TEXTSPLIT($N47,",")),0)))),0)/4,0)+P47,IF(IFERROR(MIN(_xlfn._xlws.FILTER(O$3:O$650,ISNUMBER(MATCH(TRIM($B$3:$B$650),TRIM(_xlfn.TEXTSPLIT($N47,",")),0)))),0)&gt;=$E$1,IFERROR(MIN(_xlfn._xlws.FILTER(O$3:O$650,ISNUMBER(MATCH(TRIM($B$3:$B$650),TRIM(_xlfn.TEXTSPLIT($N47,",")),0)))),0)+P47,P47)),IF(TRIM($D47)="EA",IF(TRIM($E47)="M",ROUNDUP(O47*0.85,0),IF(TRIM($E47)="P",O47,P47)),P47))</f>
        <v>#VALUE!</v>
      </c>
      <c r="T47" t="str" cm="1">
        <f t="array" ref="T47">IFERROR(IF(D47="SET",_xlfn.TEXTJOIN(", ",TRUE,_xlfn._xlws.FILTER(TRANSPOSE(TRIM(_xlfn.TEXTSPLIT(N47,","))),COUNTIFS(B$3:B$650,TRANSPOSE(TRIM(_xlfn.TEXTSPLIT(N47,","))),O$3:O$650,"&lt;="&amp;$T$1))),""),"")</f>
        <v/>
      </c>
    </row>
    <row r="48" spans="1:20" ht="14.4" x14ac:dyDescent="0.3">
      <c r="A48" s="1">
        <v>32425</v>
      </c>
      <c r="B48" s="56" t="s">
        <v>687</v>
      </c>
      <c r="C48" s="2" t="s">
        <v>1263</v>
      </c>
      <c r="D48" s="1" t="s">
        <v>624</v>
      </c>
      <c r="E48" s="1" t="s">
        <v>686</v>
      </c>
      <c r="F48" s="9"/>
      <c r="G48" s="9"/>
      <c r="H48" s="16" t="s">
        <v>115</v>
      </c>
      <c r="I48" s="9" t="b">
        <f t="shared" si="1"/>
        <v>0</v>
      </c>
      <c r="J48" s="1" t="s">
        <v>408</v>
      </c>
      <c r="K48" s="1" t="s">
        <v>15</v>
      </c>
      <c r="L48" s="1" t="s">
        <v>15</v>
      </c>
      <c r="M48" s="9"/>
      <c r="N48" s="35"/>
      <c r="O48" s="24">
        <v>107</v>
      </c>
      <c r="P48" s="2" cm="1">
        <f t="array" ref="P48">_xlfn.XLOOKUP(TRIM(B48),TRIM('[1]wc-product-export-16-3-2026-177'!$A:$A),'[1]wc-product-export-16-3-2026-177'!$D:$D,0,0)</f>
        <v>0</v>
      </c>
      <c r="Q48" s="2" cm="1">
        <f t="array" ref="Q48">IF(TRIM($D48)="SET",IF($K48="Steak Set1",ROUNDDOWN(IFERROR(MIN(_xlfn._xlws.FILTER(O$3:O$650,ISNUMBER(MATCH(TRIM($B$3:$B$650),TRIM(_xlfn.TEXTSPLIT($N48,",")),0)))),0)/4,0)+P48,IF(IFERROR(MIN(_xlfn._xlws.FILTER(O$3:O$650,ISNUMBER(MATCH(TRIM($B$3:$B$650),TRIM(_xlfn.TEXTSPLIT($N48,",")),0)))),0)&gt;=$E$1,IFERROR(MIN(_xlfn._xlws.FILTER(O$3:O$650,ISNUMBER(MATCH(TRIM($B$3:$B$650),TRIM(_xlfn.TEXTSPLIT($N48,",")),0)))),0)+P48,P48)),IF(TRIM($D48)="EA",IF(TRIM($E48)="M",ROUNDUP(O48*0.85,0),IF(TRIM($E48)="P",O48,P48)),P48))</f>
        <v>91</v>
      </c>
      <c r="T48" t="str" cm="1">
        <f t="array" ref="T48">IFERROR(IF(D48="SET",_xlfn.TEXTJOIN(", ",TRUE,_xlfn._xlws.FILTER(TRANSPOSE(TRIM(_xlfn.TEXTSPLIT(N48,","))),COUNTIFS(B$3:B$650,TRANSPOSE(TRIM(_xlfn.TEXTSPLIT(N48,","))),O$3:O$650,"&lt;="&amp;$T$1))),""),"")</f>
        <v/>
      </c>
    </row>
    <row r="49" spans="1:20" ht="14.4" x14ac:dyDescent="0.3">
      <c r="A49" s="1">
        <v>32475</v>
      </c>
      <c r="B49" s="55" t="s">
        <v>688</v>
      </c>
      <c r="C49" s="2" t="s">
        <v>1263</v>
      </c>
      <c r="D49" s="1" t="s">
        <v>624</v>
      </c>
      <c r="E49" s="1" t="s">
        <v>686</v>
      </c>
      <c r="F49" s="9"/>
      <c r="G49" s="9"/>
      <c r="H49" s="16" t="s">
        <v>204</v>
      </c>
      <c r="I49" s="9" t="b">
        <f t="shared" si="1"/>
        <v>0</v>
      </c>
      <c r="J49" s="1" t="s">
        <v>407</v>
      </c>
      <c r="K49" s="1" t="s">
        <v>266</v>
      </c>
      <c r="L49" s="1" t="s">
        <v>266</v>
      </c>
      <c r="M49" s="9"/>
      <c r="N49" s="35"/>
      <c r="O49" s="24">
        <v>68</v>
      </c>
      <c r="P49" s="2" cm="1">
        <f t="array" ref="P49">_xlfn.XLOOKUP(TRIM(B49),TRIM('[1]wc-product-export-16-3-2026-177'!$A:$A),'[1]wc-product-export-16-3-2026-177'!$D:$D,0,0)</f>
        <v>0</v>
      </c>
      <c r="Q49" s="2" cm="1">
        <f t="array" ref="Q49">IF(TRIM($D49)="SET",IF($K49="Steak Set1",ROUNDDOWN(IFERROR(MIN(_xlfn._xlws.FILTER(O$3:O$650,ISNUMBER(MATCH(TRIM($B$3:$B$650),TRIM(_xlfn.TEXTSPLIT($N49,",")),0)))),0)/4,0)+P49,IF(IFERROR(MIN(_xlfn._xlws.FILTER(O$3:O$650,ISNUMBER(MATCH(TRIM($B$3:$B$650),TRIM(_xlfn.TEXTSPLIT($N49,",")),0)))),0)&gt;=$E$1,IFERROR(MIN(_xlfn._xlws.FILTER(O$3:O$650,ISNUMBER(MATCH(TRIM($B$3:$B$650),TRIM(_xlfn.TEXTSPLIT($N49,",")),0)))),0)+P49,P49)),IF(TRIM($D49)="EA",IF(TRIM($E49)="M",ROUNDUP(O49*0.85,0),IF(TRIM($E49)="P",O49,P49)),P49))</f>
        <v>58</v>
      </c>
      <c r="T49" t="str" cm="1">
        <f t="array" ref="T49">IFERROR(IF(D49="SET",_xlfn.TEXTJOIN(", ",TRUE,_xlfn._xlws.FILTER(TRANSPOSE(TRIM(_xlfn.TEXTSPLIT(N49,","))),COUNTIFS(B$3:B$650,TRANSPOSE(TRIM(_xlfn.TEXTSPLIT(N49,","))),O$3:O$650,"&lt;="&amp;$T$1))),""),"")</f>
        <v/>
      </c>
    </row>
    <row r="50" spans="1:20" ht="14.4" x14ac:dyDescent="0.3">
      <c r="A50" s="1">
        <v>33060</v>
      </c>
      <c r="B50" s="55" t="s">
        <v>689</v>
      </c>
      <c r="C50" s="2" t="s">
        <v>1263</v>
      </c>
      <c r="D50" s="1" t="s">
        <v>624</v>
      </c>
      <c r="E50" s="1" t="s">
        <v>686</v>
      </c>
      <c r="F50" s="9"/>
      <c r="G50" s="9"/>
      <c r="H50" s="16" t="s">
        <v>18</v>
      </c>
      <c r="I50" s="9" t="b">
        <f t="shared" si="1"/>
        <v>0</v>
      </c>
      <c r="J50" s="1" t="s">
        <v>408</v>
      </c>
      <c r="K50" s="1" t="s">
        <v>284</v>
      </c>
      <c r="L50" s="1" t="s">
        <v>284</v>
      </c>
      <c r="M50" s="9"/>
      <c r="N50" s="35"/>
      <c r="O50" s="24">
        <v>105</v>
      </c>
      <c r="P50" s="2" cm="1">
        <f t="array" ref="P50">_xlfn.XLOOKUP(TRIM(B50),TRIM('[1]wc-product-export-16-3-2026-177'!$A:$A),'[1]wc-product-export-16-3-2026-177'!$D:$D,0,0)</f>
        <v>0</v>
      </c>
      <c r="Q50" s="2" cm="1">
        <f t="array" ref="Q50">IF(TRIM($D50)="SET",IF($K50="Steak Set1",ROUNDDOWN(IFERROR(MIN(_xlfn._xlws.FILTER(O$3:O$650,ISNUMBER(MATCH(TRIM($B$3:$B$650),TRIM(_xlfn.TEXTSPLIT($N50,",")),0)))),0)/4,0)+P50,IF(IFERROR(MIN(_xlfn._xlws.FILTER(O$3:O$650,ISNUMBER(MATCH(TRIM($B$3:$B$650),TRIM(_xlfn.TEXTSPLIT($N50,",")),0)))),0)&gt;=$E$1,IFERROR(MIN(_xlfn._xlws.FILTER(O$3:O$650,ISNUMBER(MATCH(TRIM($B$3:$B$650),TRIM(_xlfn.TEXTSPLIT($N50,",")),0)))),0)+P50,P50)),IF(TRIM($D50)="EA",IF(TRIM($E50)="M",ROUNDUP(O50*0.85,0),IF(TRIM($E50)="P",O50,P50)),P50))</f>
        <v>90</v>
      </c>
      <c r="T50" t="str" cm="1">
        <f t="array" ref="T50">IFERROR(IF(D50="SET",_xlfn.TEXTJOIN(", ",TRUE,_xlfn._xlws.FILTER(TRANSPOSE(TRIM(_xlfn.TEXTSPLIT(N50,","))),COUNTIFS(B$3:B$650,TRANSPOSE(TRIM(_xlfn.TEXTSPLIT(N50,","))),O$3:O$650,"&lt;="&amp;$T$1))),""),"")</f>
        <v/>
      </c>
    </row>
    <row r="51" spans="1:20" ht="14.4" x14ac:dyDescent="0.3">
      <c r="A51" s="1">
        <v>5051</v>
      </c>
      <c r="B51" s="50" t="s">
        <v>626</v>
      </c>
      <c r="C51" s="1" t="s">
        <v>1259</v>
      </c>
      <c r="D51" s="1" t="s">
        <v>624</v>
      </c>
      <c r="E51" s="1" t="s">
        <v>623</v>
      </c>
      <c r="F51" s="9"/>
      <c r="G51" s="9"/>
      <c r="H51" s="53" t="s">
        <v>110</v>
      </c>
      <c r="I51" s="9" t="b">
        <f t="shared" si="1"/>
        <v>0</v>
      </c>
      <c r="J51" s="1" t="s">
        <v>119</v>
      </c>
      <c r="K51" s="1" t="s">
        <v>354</v>
      </c>
      <c r="L51" s="1" t="s">
        <v>354</v>
      </c>
      <c r="M51" s="9"/>
      <c r="N51" s="35"/>
      <c r="O51" s="2">
        <v>45</v>
      </c>
      <c r="P51" s="2" cm="1">
        <f t="array" ref="P51">_xlfn.XLOOKUP(TRIM(B51),TRIM('[1]wc-product-export-16-3-2026-177'!$A:$A),'[1]wc-product-export-16-3-2026-177'!$D:$D,0,0)</f>
        <v>0</v>
      </c>
      <c r="Q51" s="2" cm="1">
        <f t="array" ref="Q51">IF(TRIM($D51)="SET",IF($K51="Steak Set1",ROUNDDOWN(IFERROR(MIN(_xlfn._xlws.FILTER(O$3:O$650,ISNUMBER(MATCH(TRIM($B$3:$B$650),TRIM(_xlfn.TEXTSPLIT($N51,",")),0)))),0)/4,0)+P51,IF(IFERROR(MIN(_xlfn._xlws.FILTER(O$3:O$650,ISNUMBER(MATCH(TRIM($B$3:$B$650),TRIM(_xlfn.TEXTSPLIT($N51,",")),0)))),0)&gt;=$E$1,IFERROR(MIN(_xlfn._xlws.FILTER(O$3:O$650,ISNUMBER(MATCH(TRIM($B$3:$B$650),TRIM(_xlfn.TEXTSPLIT($N51,",")),0)))),0)+P51,P51)),IF(TRIM($D51)="EA",IF(TRIM($E51)="M",ROUNDUP(O51*0.85,0),IF(TRIM($E51)="P",O51,P51)),P51))</f>
        <v>45</v>
      </c>
      <c r="T51" t="str" cm="1">
        <f t="array" ref="T51">IFERROR(IF(D51="SET",_xlfn.TEXTJOIN(", ",TRUE,_xlfn._xlws.FILTER(TRANSPOSE(TRIM(_xlfn.TEXTSPLIT(N51,","))),COUNTIFS(B$3:B$650,TRANSPOSE(TRIM(_xlfn.TEXTSPLIT(N51,","))),O$3:O$650,"&lt;="&amp;$T$1))),""),"")</f>
        <v/>
      </c>
    </row>
    <row r="52" spans="1:20" ht="14.4" hidden="1" x14ac:dyDescent="0.3">
      <c r="A52" s="1">
        <v>56878</v>
      </c>
      <c r="B52" s="1" t="s">
        <v>1219</v>
      </c>
      <c r="C52" s="1" t="s">
        <v>1259</v>
      </c>
      <c r="D52" s="1" t="s">
        <v>624</v>
      </c>
      <c r="E52" s="1" t="s">
        <v>623</v>
      </c>
      <c r="F52" s="9" t="s">
        <v>1688</v>
      </c>
      <c r="G52" s="9"/>
      <c r="H52" s="16" t="s">
        <v>1220</v>
      </c>
      <c r="I52" s="9" t="b">
        <f t="shared" si="1"/>
        <v>0</v>
      </c>
      <c r="J52" s="1" t="s">
        <v>405</v>
      </c>
      <c r="K52" s="1" t="s">
        <v>354</v>
      </c>
      <c r="L52" s="1" t="s">
        <v>354</v>
      </c>
      <c r="M52" s="9"/>
      <c r="N52" s="35"/>
      <c r="O52" s="2" t="s">
        <v>458</v>
      </c>
      <c r="P52" s="2" cm="1">
        <f t="array" ref="P52">_xlfn.XLOOKUP(TRIM(B52),TRIM('[1]wc-product-export-16-3-2026-177'!$A:$A),'[1]wc-product-export-16-3-2026-177'!$D:$D,0,0)</f>
        <v>0</v>
      </c>
      <c r="Q52" s="2" t="str" cm="1">
        <f t="array" ref="Q52">IF(TRIM($D52)="SET",IF($K52="Steak Set1",ROUNDDOWN(IFERROR(MIN(_xlfn._xlws.FILTER(O$3:O$650,ISNUMBER(MATCH(TRIM($B$3:$B$650),TRIM(_xlfn.TEXTSPLIT($N52,",")),0)))),0)/4,0)+P52,IF(IFERROR(MIN(_xlfn._xlws.FILTER(O$3:O$650,ISNUMBER(MATCH(TRIM($B$3:$B$650),TRIM(_xlfn.TEXTSPLIT($N52,",")),0)))),0)&gt;=$E$1,IFERROR(MIN(_xlfn._xlws.FILTER(O$3:O$650,ISNUMBER(MATCH(TRIM($B$3:$B$650),TRIM(_xlfn.TEXTSPLIT($N52,",")),0)))),0)+P52,P52)),IF(TRIM($D52)="EA",IF(TRIM($E52)="M",ROUNDUP(O52*0.85,0),IF(TRIM($E52)="P",O52,P52)),P52))</f>
        <v>N/A</v>
      </c>
      <c r="T52" t="str" cm="1">
        <f t="array" ref="T52">IFERROR(IF(D52="SET",_xlfn.TEXTJOIN(", ",TRUE,_xlfn._xlws.FILTER(TRANSPOSE(TRIM(_xlfn.TEXTSPLIT(N52,","))),COUNTIFS(B$3:B$650,TRANSPOSE(TRIM(_xlfn.TEXTSPLIT(N52,","))),O$3:O$650,"&lt;="&amp;$T$1))),""),"")</f>
        <v/>
      </c>
    </row>
    <row r="53" spans="1:20" ht="14.4" hidden="1" x14ac:dyDescent="0.3">
      <c r="A53" s="1">
        <v>56879</v>
      </c>
      <c r="B53" s="1" t="s">
        <v>1215</v>
      </c>
      <c r="C53" s="1" t="s">
        <v>1259</v>
      </c>
      <c r="D53" s="1" t="s">
        <v>624</v>
      </c>
      <c r="E53" s="1" t="s">
        <v>623</v>
      </c>
      <c r="F53" s="9" t="s">
        <v>1688</v>
      </c>
      <c r="G53" s="9"/>
      <c r="H53" s="16" t="s">
        <v>1216</v>
      </c>
      <c r="I53" s="9" t="b">
        <f t="shared" si="1"/>
        <v>0</v>
      </c>
      <c r="J53" s="1" t="s">
        <v>405</v>
      </c>
      <c r="K53" s="1" t="s">
        <v>354</v>
      </c>
      <c r="L53" s="1" t="s">
        <v>354</v>
      </c>
      <c r="M53" s="9"/>
      <c r="N53" s="35"/>
      <c r="O53" s="2" t="s">
        <v>458</v>
      </c>
      <c r="P53" s="2" cm="1">
        <f t="array" ref="P53">_xlfn.XLOOKUP(TRIM(B53),TRIM('[1]wc-product-export-16-3-2026-177'!$A:$A),'[1]wc-product-export-16-3-2026-177'!$D:$D,0,0)</f>
        <v>0</v>
      </c>
      <c r="Q53" s="2" t="str" cm="1">
        <f t="array" ref="Q53">IF(TRIM($D53)="SET",IF($K53="Steak Set1",ROUNDDOWN(IFERROR(MIN(_xlfn._xlws.FILTER(O$3:O$650,ISNUMBER(MATCH(TRIM($B$3:$B$650),TRIM(_xlfn.TEXTSPLIT($N53,",")),0)))),0)/4,0)+P53,IF(IFERROR(MIN(_xlfn._xlws.FILTER(O$3:O$650,ISNUMBER(MATCH(TRIM($B$3:$B$650),TRIM(_xlfn.TEXTSPLIT($N53,",")),0)))),0)&gt;=$E$1,IFERROR(MIN(_xlfn._xlws.FILTER(O$3:O$650,ISNUMBER(MATCH(TRIM($B$3:$B$650),TRIM(_xlfn.TEXTSPLIT($N53,",")),0)))),0)+P53,P53)),IF(TRIM($D53)="EA",IF(TRIM($E53)="M",ROUNDUP(O53*0.85,0),IF(TRIM($E53)="P",O53,P53)),P53))</f>
        <v>N/A</v>
      </c>
      <c r="T53" t="str" cm="1">
        <f t="array" ref="T53">IFERROR(IF(D53="SET",_xlfn.TEXTJOIN(", ",TRUE,_xlfn._xlws.FILTER(TRANSPOSE(TRIM(_xlfn.TEXTSPLIT(N53,","))),COUNTIFS(B$3:B$650,TRANSPOSE(TRIM(_xlfn.TEXTSPLIT(N53,","))),O$3:O$650,"&lt;="&amp;$T$1))),""),"")</f>
        <v/>
      </c>
    </row>
    <row r="54" spans="1:20" ht="14.4" x14ac:dyDescent="0.3">
      <c r="A54" s="1">
        <v>5055</v>
      </c>
      <c r="B54" s="50" t="s">
        <v>1225</v>
      </c>
      <c r="C54" s="1" t="s">
        <v>1259</v>
      </c>
      <c r="D54" s="1" t="s">
        <v>624</v>
      </c>
      <c r="E54" s="1" t="s">
        <v>623</v>
      </c>
      <c r="F54" s="9" t="s">
        <v>1608</v>
      </c>
      <c r="G54" s="9"/>
      <c r="H54" s="16" t="s">
        <v>1226</v>
      </c>
      <c r="I54" s="9" t="b">
        <f t="shared" si="1"/>
        <v>0</v>
      </c>
      <c r="J54" s="1" t="s">
        <v>119</v>
      </c>
      <c r="K54" s="1" t="s">
        <v>285</v>
      </c>
      <c r="L54" s="1" t="s">
        <v>285</v>
      </c>
      <c r="M54" s="9"/>
      <c r="N54" s="35"/>
      <c r="O54" s="2">
        <v>9</v>
      </c>
      <c r="P54" s="2" cm="1">
        <f t="array" ref="P54">_xlfn.XLOOKUP(TRIM(B54),TRIM('[1]wc-product-export-16-3-2026-177'!$A:$A),'[1]wc-product-export-16-3-2026-177'!$D:$D,0,0)</f>
        <v>0</v>
      </c>
      <c r="Q54" s="2" cm="1">
        <f t="array" ref="Q54">IF(TRIM($D54)="SET",IF($K54="Steak Set1",ROUNDDOWN(IFERROR(MIN(_xlfn._xlws.FILTER(O$3:O$650,ISNUMBER(MATCH(TRIM($B$3:$B$650),TRIM(_xlfn.TEXTSPLIT($N54,",")),0)))),0)/4,0)+P54,IF(IFERROR(MIN(_xlfn._xlws.FILTER(O$3:O$650,ISNUMBER(MATCH(TRIM($B$3:$B$650),TRIM(_xlfn.TEXTSPLIT($N54,",")),0)))),0)&gt;=$E$1,IFERROR(MIN(_xlfn._xlws.FILTER(O$3:O$650,ISNUMBER(MATCH(TRIM($B$3:$B$650),TRIM(_xlfn.TEXTSPLIT($N54,",")),0)))),0)+P54,P54)),IF(TRIM($D54)="EA",IF(TRIM($E54)="M",ROUNDUP(O54*0.85,0),IF(TRIM($E54)="P",O54,P54)),P54))</f>
        <v>9</v>
      </c>
      <c r="T54" t="str" cm="1">
        <f t="array" ref="T54">IFERROR(IF(D54="SET",_xlfn.TEXTJOIN(", ",TRUE,_xlfn._xlws.FILTER(TRANSPOSE(TRIM(_xlfn.TEXTSPLIT(N54,","))),COUNTIFS(B$3:B$650,TRANSPOSE(TRIM(_xlfn.TEXTSPLIT(N54,","))),O$3:O$650,"&lt;="&amp;$T$1))),""),"")</f>
        <v/>
      </c>
    </row>
    <row r="55" spans="1:20" ht="14.4" x14ac:dyDescent="0.3">
      <c r="A55" s="1">
        <v>5056</v>
      </c>
      <c r="B55" s="50" t="s">
        <v>1229</v>
      </c>
      <c r="C55" s="1" t="s">
        <v>1259</v>
      </c>
      <c r="D55" s="1" t="s">
        <v>624</v>
      </c>
      <c r="E55" s="1" t="s">
        <v>623</v>
      </c>
      <c r="F55" s="9"/>
      <c r="G55" s="9"/>
      <c r="H55" s="16" t="s">
        <v>1230</v>
      </c>
      <c r="I55" s="9" t="b">
        <f t="shared" si="1"/>
        <v>0</v>
      </c>
      <c r="J55" s="1" t="s">
        <v>119</v>
      </c>
      <c r="K55" s="1" t="s">
        <v>285</v>
      </c>
      <c r="L55" s="1" t="s">
        <v>285</v>
      </c>
      <c r="M55" s="9"/>
      <c r="N55" s="35"/>
      <c r="O55" s="2">
        <v>4</v>
      </c>
      <c r="P55" s="2" cm="1">
        <f t="array" ref="P55">_xlfn.XLOOKUP(TRIM(B55),TRIM('[1]wc-product-export-16-3-2026-177'!$A:$A),'[1]wc-product-export-16-3-2026-177'!$D:$D,0,0)</f>
        <v>0</v>
      </c>
      <c r="Q55" s="2" cm="1">
        <f t="array" ref="Q55">IF(TRIM($D55)="SET",IF($K55="Steak Set1",ROUNDDOWN(IFERROR(MIN(_xlfn._xlws.FILTER(O$3:O$650,ISNUMBER(MATCH(TRIM($B$3:$B$650),TRIM(_xlfn.TEXTSPLIT($N55,",")),0)))),0)/4,0)+P55,IF(IFERROR(MIN(_xlfn._xlws.FILTER(O$3:O$650,ISNUMBER(MATCH(TRIM($B$3:$B$650),TRIM(_xlfn.TEXTSPLIT($N55,",")),0)))),0)&gt;=$E$1,IFERROR(MIN(_xlfn._xlws.FILTER(O$3:O$650,ISNUMBER(MATCH(TRIM($B$3:$B$650),TRIM(_xlfn.TEXTSPLIT($N55,",")),0)))),0)+P55,P55)),IF(TRIM($D55)="EA",IF(TRIM($E55)="M",ROUNDUP(O55*0.85,0),IF(TRIM($E55)="P",O55,P55)),P55))</f>
        <v>4</v>
      </c>
      <c r="T55" t="str" cm="1">
        <f t="array" ref="T55">IFERROR(IF(D55="SET",_xlfn.TEXTJOIN(", ",TRUE,_xlfn._xlws.FILTER(TRANSPOSE(TRIM(_xlfn.TEXTSPLIT(N55,","))),COUNTIFS(B$3:B$650,TRANSPOSE(TRIM(_xlfn.TEXTSPLIT(N55,","))),O$3:O$650,"&lt;="&amp;$T$1))),""),"")</f>
        <v/>
      </c>
    </row>
    <row r="56" spans="1:20" ht="14.4" x14ac:dyDescent="0.3">
      <c r="A56" s="1">
        <v>5060</v>
      </c>
      <c r="B56" s="50" t="s">
        <v>1199</v>
      </c>
      <c r="C56" s="1" t="s">
        <v>1259</v>
      </c>
      <c r="D56" s="1" t="s">
        <v>624</v>
      </c>
      <c r="E56" s="1" t="s">
        <v>623</v>
      </c>
      <c r="F56" s="9" t="s">
        <v>1608</v>
      </c>
      <c r="G56" s="9"/>
      <c r="H56" s="16" t="s">
        <v>1200</v>
      </c>
      <c r="I56" s="9" t="b">
        <f t="shared" si="1"/>
        <v>0</v>
      </c>
      <c r="J56" s="1" t="s">
        <v>119</v>
      </c>
      <c r="K56" s="1" t="s">
        <v>435</v>
      </c>
      <c r="L56" s="1" t="s">
        <v>435</v>
      </c>
      <c r="M56" s="9"/>
      <c r="N56" s="35"/>
      <c r="O56" s="2">
        <v>0</v>
      </c>
      <c r="P56" s="2" cm="1">
        <f t="array" ref="P56">_xlfn.XLOOKUP(TRIM(B56),TRIM('[1]wc-product-export-16-3-2026-177'!$A:$A),'[1]wc-product-export-16-3-2026-177'!$D:$D,0,0)</f>
        <v>0</v>
      </c>
      <c r="Q56" s="2" cm="1">
        <f t="array" ref="Q56">IF(TRIM($D56)="SET",IF($K56="Steak Set1",ROUNDDOWN(IFERROR(MIN(_xlfn._xlws.FILTER(O$3:O$650,ISNUMBER(MATCH(TRIM($B$3:$B$650),TRIM(_xlfn.TEXTSPLIT($N56,",")),0)))),0)/4,0)+P56,IF(IFERROR(MIN(_xlfn._xlws.FILTER(O$3:O$650,ISNUMBER(MATCH(TRIM($B$3:$B$650),TRIM(_xlfn.TEXTSPLIT($N56,",")),0)))),0)&gt;=$E$1,IFERROR(MIN(_xlfn._xlws.FILTER(O$3:O$650,ISNUMBER(MATCH(TRIM($B$3:$B$650),TRIM(_xlfn.TEXTSPLIT($N56,",")),0)))),0)+P56,P56)),IF(TRIM($D56)="EA",IF(TRIM($E56)="M",ROUNDUP(O56*0.85,0),IF(TRIM($E56)="P",O56,P56)),P56))</f>
        <v>0</v>
      </c>
      <c r="T56" t="str" cm="1">
        <f t="array" ref="T56">IFERROR(IF(D56="SET",_xlfn.TEXTJOIN(", ",TRUE,_xlfn._xlws.FILTER(TRANSPOSE(TRIM(_xlfn.TEXTSPLIT(N56,","))),COUNTIFS(B$3:B$650,TRANSPOSE(TRIM(_xlfn.TEXTSPLIT(N56,","))),O$3:O$650,"&lt;="&amp;$T$1))),""),"")</f>
        <v/>
      </c>
    </row>
    <row r="57" spans="1:20" ht="14.4" x14ac:dyDescent="0.3">
      <c r="A57" s="1">
        <v>5061</v>
      </c>
      <c r="B57" s="50" t="s">
        <v>1201</v>
      </c>
      <c r="C57" s="1" t="s">
        <v>1259</v>
      </c>
      <c r="D57" s="1" t="s">
        <v>624</v>
      </c>
      <c r="E57" s="1" t="s">
        <v>623</v>
      </c>
      <c r="F57" s="9"/>
      <c r="G57" s="9"/>
      <c r="H57" s="16" t="s">
        <v>1200</v>
      </c>
      <c r="I57" s="9" t="b">
        <f t="shared" si="1"/>
        <v>0</v>
      </c>
      <c r="J57" s="1" t="s">
        <v>119</v>
      </c>
      <c r="K57" s="1" t="s">
        <v>435</v>
      </c>
      <c r="L57" s="1" t="s">
        <v>435</v>
      </c>
      <c r="M57" s="9"/>
      <c r="N57" s="35"/>
      <c r="O57" s="2">
        <v>3</v>
      </c>
      <c r="P57" s="2" cm="1">
        <f t="array" ref="P57">_xlfn.XLOOKUP(TRIM(B57),TRIM('[1]wc-product-export-16-3-2026-177'!$A:$A),'[1]wc-product-export-16-3-2026-177'!$D:$D,0,0)</f>
        <v>0</v>
      </c>
      <c r="Q57" s="2" cm="1">
        <f t="array" ref="Q57">IF(TRIM($D57)="SET",IF($K57="Steak Set1",ROUNDDOWN(IFERROR(MIN(_xlfn._xlws.FILTER(O$3:O$650,ISNUMBER(MATCH(TRIM($B$3:$B$650),TRIM(_xlfn.TEXTSPLIT($N57,",")),0)))),0)/4,0)+P57,IF(IFERROR(MIN(_xlfn._xlws.FILTER(O$3:O$650,ISNUMBER(MATCH(TRIM($B$3:$B$650),TRIM(_xlfn.TEXTSPLIT($N57,",")),0)))),0)&gt;=$E$1,IFERROR(MIN(_xlfn._xlws.FILTER(O$3:O$650,ISNUMBER(MATCH(TRIM($B$3:$B$650),TRIM(_xlfn.TEXTSPLIT($N57,",")),0)))),0)+P57,P57)),IF(TRIM($D57)="EA",IF(TRIM($E57)="M",ROUNDUP(O57*0.85,0),IF(TRIM($E57)="P",O57,P57)),P57))</f>
        <v>3</v>
      </c>
      <c r="T57" t="str" cm="1">
        <f t="array" ref="T57">IFERROR(IF(D57="SET",_xlfn.TEXTJOIN(", ",TRUE,_xlfn._xlws.FILTER(TRANSPOSE(TRIM(_xlfn.TEXTSPLIT(N57,","))),COUNTIFS(B$3:B$650,TRANSPOSE(TRIM(_xlfn.TEXTSPLIT(N57,","))),O$3:O$650,"&lt;="&amp;$T$1))),""),"")</f>
        <v/>
      </c>
    </row>
    <row r="58" spans="1:20" ht="14.4" x14ac:dyDescent="0.3">
      <c r="A58" s="1">
        <v>5065</v>
      </c>
      <c r="B58" s="50" t="s">
        <v>1532</v>
      </c>
      <c r="C58" s="1" t="s">
        <v>1259</v>
      </c>
      <c r="D58" s="1" t="s">
        <v>624</v>
      </c>
      <c r="E58" s="1" t="s">
        <v>623</v>
      </c>
      <c r="F58" s="9" t="s">
        <v>1689</v>
      </c>
      <c r="H58" s="16" t="s">
        <v>1533</v>
      </c>
      <c r="I58" s="9" t="b">
        <f t="shared" si="1"/>
        <v>0</v>
      </c>
      <c r="J58" s="1" t="s">
        <v>119</v>
      </c>
      <c r="K58" s="1" t="s">
        <v>435</v>
      </c>
      <c r="L58" s="1" t="s">
        <v>435</v>
      </c>
      <c r="N58" s="35"/>
      <c r="O58" s="2">
        <v>12</v>
      </c>
      <c r="P58" s="2" cm="1">
        <f t="array" ref="P58">_xlfn.XLOOKUP(TRIM(B58),TRIM('[1]wc-product-export-16-3-2026-177'!$A:$A),'[1]wc-product-export-16-3-2026-177'!$D:$D,0,0)</f>
        <v>0</v>
      </c>
      <c r="Q58" s="2" cm="1">
        <f t="array" ref="Q58">IF(TRIM($D58)="SET",IF($K58="Steak Set1",ROUNDDOWN(IFERROR(MIN(_xlfn._xlws.FILTER(O$3:O$650,ISNUMBER(MATCH(TRIM($B$3:$B$650),TRIM(_xlfn.TEXTSPLIT($N58,",")),0)))),0)/4,0)+P58,IF(IFERROR(MIN(_xlfn._xlws.FILTER(O$3:O$650,ISNUMBER(MATCH(TRIM($B$3:$B$650),TRIM(_xlfn.TEXTSPLIT($N58,",")),0)))),0)&gt;=$E$1,IFERROR(MIN(_xlfn._xlws.FILTER(O$3:O$650,ISNUMBER(MATCH(TRIM($B$3:$B$650),TRIM(_xlfn.TEXTSPLIT($N58,",")),0)))),0)+P58,P58)),IF(TRIM($D58)="EA",IF(TRIM($E58)="M",ROUNDUP(O58*0.85,0),IF(TRIM($E58)="P",O58,P58)),P58))</f>
        <v>12</v>
      </c>
      <c r="T58" t="str" cm="1">
        <f t="array" ref="T58">IFERROR(IF(D58="SET",_xlfn.TEXTJOIN(", ",TRUE,_xlfn._xlws.FILTER(TRANSPOSE(TRIM(_xlfn.TEXTSPLIT(N58,","))),COUNTIFS(B$3:B$650,TRANSPOSE(TRIM(_xlfn.TEXTSPLIT(N58,","))),O$3:O$650,"&lt;="&amp;$T$1))),""),"")</f>
        <v/>
      </c>
    </row>
    <row r="59" spans="1:20" ht="14.4" x14ac:dyDescent="0.3">
      <c r="A59" s="1">
        <v>5066</v>
      </c>
      <c r="B59" s="50" t="s">
        <v>1217</v>
      </c>
      <c r="C59" s="1" t="s">
        <v>1259</v>
      </c>
      <c r="D59" s="1" t="s">
        <v>624</v>
      </c>
      <c r="E59" s="1" t="s">
        <v>623</v>
      </c>
      <c r="F59" s="9"/>
      <c r="G59" s="9"/>
      <c r="H59" s="16" t="s">
        <v>1200</v>
      </c>
      <c r="I59" s="9" t="b">
        <f t="shared" si="1"/>
        <v>0</v>
      </c>
      <c r="J59" s="1" t="s">
        <v>119</v>
      </c>
      <c r="K59" s="1" t="s">
        <v>435</v>
      </c>
      <c r="L59" s="1" t="s">
        <v>435</v>
      </c>
      <c r="M59" s="9"/>
      <c r="N59" s="35"/>
      <c r="O59" s="2">
        <v>11</v>
      </c>
      <c r="P59" s="2" cm="1">
        <f t="array" ref="P59">_xlfn.XLOOKUP(TRIM(B59),TRIM('[1]wc-product-export-16-3-2026-177'!$A:$A),'[1]wc-product-export-16-3-2026-177'!$D:$D,0,0)</f>
        <v>0</v>
      </c>
      <c r="Q59" s="2" cm="1">
        <f t="array" ref="Q59">IF(TRIM($D59)="SET",IF($K59="Steak Set1",ROUNDDOWN(IFERROR(MIN(_xlfn._xlws.FILTER(O$3:O$650,ISNUMBER(MATCH(TRIM($B$3:$B$650),TRIM(_xlfn.TEXTSPLIT($N59,",")),0)))),0)/4,0)+P59,IF(IFERROR(MIN(_xlfn._xlws.FILTER(O$3:O$650,ISNUMBER(MATCH(TRIM($B$3:$B$650),TRIM(_xlfn.TEXTSPLIT($N59,",")),0)))),0)&gt;=$E$1,IFERROR(MIN(_xlfn._xlws.FILTER(O$3:O$650,ISNUMBER(MATCH(TRIM($B$3:$B$650),TRIM(_xlfn.TEXTSPLIT($N59,",")),0)))),0)+P59,P59)),IF(TRIM($D59)="EA",IF(TRIM($E59)="M",ROUNDUP(O59*0.85,0),IF(TRIM($E59)="P",O59,P59)),P59))</f>
        <v>11</v>
      </c>
      <c r="T59" t="str" cm="1">
        <f t="array" ref="T59">IFERROR(IF(D59="SET",_xlfn.TEXTJOIN(", ",TRUE,_xlfn._xlws.FILTER(TRANSPOSE(TRIM(_xlfn.TEXTSPLIT(N59,","))),COUNTIFS(B$3:B$650,TRANSPOSE(TRIM(_xlfn.TEXTSPLIT(N59,","))),O$3:O$650,"&lt;="&amp;$T$1))),""),"")</f>
        <v/>
      </c>
    </row>
    <row r="60" spans="1:20" ht="14.4" hidden="1" x14ac:dyDescent="0.3">
      <c r="A60" s="1">
        <v>5057</v>
      </c>
      <c r="B60" s="1" t="s">
        <v>1211</v>
      </c>
      <c r="C60" s="1" t="s">
        <v>1259</v>
      </c>
      <c r="D60" s="1" t="s">
        <v>624</v>
      </c>
      <c r="E60" s="1" t="s">
        <v>623</v>
      </c>
      <c r="F60" s="9" t="s">
        <v>1689</v>
      </c>
      <c r="G60" s="9"/>
      <c r="H60" s="16" t="s">
        <v>1212</v>
      </c>
      <c r="I60" s="9" t="b">
        <f t="shared" si="1"/>
        <v>0</v>
      </c>
      <c r="J60" s="1" t="s">
        <v>119</v>
      </c>
      <c r="K60" s="1" t="s">
        <v>435</v>
      </c>
      <c r="L60" s="1" t="s">
        <v>435</v>
      </c>
      <c r="M60" s="9"/>
      <c r="N60" s="35"/>
      <c r="O60" s="2" t="s">
        <v>458</v>
      </c>
      <c r="P60" s="2" cm="1">
        <f t="array" ref="P60">_xlfn.XLOOKUP(TRIM(B60),TRIM('[1]wc-product-export-16-3-2026-177'!$A:$A),'[1]wc-product-export-16-3-2026-177'!$D:$D,0,0)</f>
        <v>0</v>
      </c>
      <c r="Q60" s="2" t="str" cm="1">
        <f t="array" ref="Q60">IF(TRIM($D60)="SET",IF($K60="Steak Set1",ROUNDDOWN(IFERROR(MIN(_xlfn._xlws.FILTER(O$3:O$650,ISNUMBER(MATCH(TRIM($B$3:$B$650),TRIM(_xlfn.TEXTSPLIT($N60,",")),0)))),0)/4,0)+P60,IF(IFERROR(MIN(_xlfn._xlws.FILTER(O$3:O$650,ISNUMBER(MATCH(TRIM($B$3:$B$650),TRIM(_xlfn.TEXTSPLIT($N60,",")),0)))),0)&gt;=$E$1,IFERROR(MIN(_xlfn._xlws.FILTER(O$3:O$650,ISNUMBER(MATCH(TRIM($B$3:$B$650),TRIM(_xlfn.TEXTSPLIT($N60,",")),0)))),0)+P60,P60)),IF(TRIM($D60)="EA",IF(TRIM($E60)="M",ROUNDUP(O60*0.85,0),IF(TRIM($E60)="P",O60,P60)),P60))</f>
        <v>N/A</v>
      </c>
      <c r="T60" t="str" cm="1">
        <f t="array" ref="T60">IFERROR(IF(D60="SET",_xlfn.TEXTJOIN(", ",TRUE,_xlfn._xlws.FILTER(TRANSPOSE(TRIM(_xlfn.TEXTSPLIT(N60,","))),COUNTIFS(B$3:B$650,TRANSPOSE(TRIM(_xlfn.TEXTSPLIT(N60,","))),O$3:O$650,"&lt;="&amp;$T$1))),""),"")</f>
        <v/>
      </c>
    </row>
    <row r="61" spans="1:20" ht="14.4" x14ac:dyDescent="0.3">
      <c r="A61" s="1">
        <v>5068</v>
      </c>
      <c r="B61" s="50" t="s">
        <v>1172</v>
      </c>
      <c r="C61" s="1" t="s">
        <v>1259</v>
      </c>
      <c r="D61" s="1" t="s">
        <v>624</v>
      </c>
      <c r="E61" s="1" t="s">
        <v>623</v>
      </c>
      <c r="F61" s="9"/>
      <c r="G61" s="9"/>
      <c r="H61" s="16" t="s">
        <v>1173</v>
      </c>
      <c r="I61" s="9" t="b">
        <f t="shared" si="1"/>
        <v>0</v>
      </c>
      <c r="J61" s="1" t="s">
        <v>119</v>
      </c>
      <c r="K61" s="1" t="s">
        <v>435</v>
      </c>
      <c r="L61" s="1" t="s">
        <v>435</v>
      </c>
      <c r="M61" s="9"/>
      <c r="N61" s="35"/>
      <c r="O61" s="2">
        <v>9</v>
      </c>
      <c r="P61" s="2" cm="1">
        <f t="array" ref="P61">_xlfn.XLOOKUP(TRIM(B61),TRIM('[1]wc-product-export-16-3-2026-177'!$A:$A),'[1]wc-product-export-16-3-2026-177'!$D:$D,0,0)</f>
        <v>0</v>
      </c>
      <c r="Q61" s="2" cm="1">
        <f t="array" ref="Q61">IF(TRIM($D61)="SET",IF($K61="Steak Set1",ROUNDDOWN(IFERROR(MIN(_xlfn._xlws.FILTER(O$3:O$650,ISNUMBER(MATCH(TRIM($B$3:$B$650),TRIM(_xlfn.TEXTSPLIT($N61,",")),0)))),0)/4,0)+P61,IF(IFERROR(MIN(_xlfn._xlws.FILTER(O$3:O$650,ISNUMBER(MATCH(TRIM($B$3:$B$650),TRIM(_xlfn.TEXTSPLIT($N61,",")),0)))),0)&gt;=$E$1,IFERROR(MIN(_xlfn._xlws.FILTER(O$3:O$650,ISNUMBER(MATCH(TRIM($B$3:$B$650),TRIM(_xlfn.TEXTSPLIT($N61,",")),0)))),0)+P61,P61)),IF(TRIM($D61)="EA",IF(TRIM($E61)="M",ROUNDUP(O61*0.85,0),IF(TRIM($E61)="P",O61,P61)),P61))</f>
        <v>9</v>
      </c>
      <c r="T61" t="str" cm="1">
        <f t="array" ref="T61">IFERROR(IF(D61="SET",_xlfn.TEXTJOIN(", ",TRUE,_xlfn._xlws.FILTER(TRANSPOSE(TRIM(_xlfn.TEXTSPLIT(N61,","))),COUNTIFS(B$3:B$650,TRANSPOSE(TRIM(_xlfn.TEXTSPLIT(N61,","))),O$3:O$650,"&lt;="&amp;$T$1))),""),"")</f>
        <v/>
      </c>
    </row>
    <row r="62" spans="1:20" ht="14.4" x14ac:dyDescent="0.3">
      <c r="A62" s="1">
        <v>5069</v>
      </c>
      <c r="B62" s="50" t="s">
        <v>1205</v>
      </c>
      <c r="C62" s="1" t="s">
        <v>1259</v>
      </c>
      <c r="D62" s="1" t="s">
        <v>624</v>
      </c>
      <c r="E62" s="1" t="s">
        <v>623</v>
      </c>
      <c r="F62" s="9"/>
      <c r="G62" s="9"/>
      <c r="H62" s="16" t="s">
        <v>1206</v>
      </c>
      <c r="I62" s="9" t="b">
        <f t="shared" si="1"/>
        <v>0</v>
      </c>
      <c r="J62" s="1" t="s">
        <v>119</v>
      </c>
      <c r="K62" s="1" t="s">
        <v>435</v>
      </c>
      <c r="L62" s="1" t="s">
        <v>435</v>
      </c>
      <c r="M62" s="9"/>
      <c r="N62" s="35"/>
      <c r="O62" s="2">
        <v>4</v>
      </c>
      <c r="P62" s="2" cm="1">
        <f t="array" ref="P62">_xlfn.XLOOKUP(TRIM(B62),TRIM('[1]wc-product-export-16-3-2026-177'!$A:$A),'[1]wc-product-export-16-3-2026-177'!$D:$D,0,0)</f>
        <v>0</v>
      </c>
      <c r="Q62" s="2" cm="1">
        <f t="array" ref="Q62">IF(TRIM($D62)="SET",IF($K62="Steak Set1",ROUNDDOWN(IFERROR(MIN(_xlfn._xlws.FILTER(O$3:O$650,ISNUMBER(MATCH(TRIM($B$3:$B$650),TRIM(_xlfn.TEXTSPLIT($N62,",")),0)))),0)/4,0)+P62,IF(IFERROR(MIN(_xlfn._xlws.FILTER(O$3:O$650,ISNUMBER(MATCH(TRIM($B$3:$B$650),TRIM(_xlfn.TEXTSPLIT($N62,",")),0)))),0)&gt;=$E$1,IFERROR(MIN(_xlfn._xlws.FILTER(O$3:O$650,ISNUMBER(MATCH(TRIM($B$3:$B$650),TRIM(_xlfn.TEXTSPLIT($N62,",")),0)))),0)+P62,P62)),IF(TRIM($D62)="EA",IF(TRIM($E62)="M",ROUNDUP(O62*0.85,0),IF(TRIM($E62)="P",O62,P62)),P62))</f>
        <v>4</v>
      </c>
      <c r="T62" t="str" cm="1">
        <f t="array" ref="T62">IFERROR(IF(D62="SET",_xlfn.TEXTJOIN(", ",TRUE,_xlfn._xlws.FILTER(TRANSPOSE(TRIM(_xlfn.TEXTSPLIT(N62,","))),COUNTIFS(B$3:B$650,TRANSPOSE(TRIM(_xlfn.TEXTSPLIT(N62,","))),O$3:O$650,"&lt;="&amp;$T$1))),""),"")</f>
        <v/>
      </c>
    </row>
    <row r="63" spans="1:20" ht="14.4" x14ac:dyDescent="0.3">
      <c r="A63" s="1">
        <v>33100</v>
      </c>
      <c r="B63" s="56" t="s">
        <v>690</v>
      </c>
      <c r="C63" s="2" t="s">
        <v>1263</v>
      </c>
      <c r="D63" s="1" t="s">
        <v>624</v>
      </c>
      <c r="E63" s="1" t="s">
        <v>686</v>
      </c>
      <c r="F63" s="9"/>
      <c r="G63" s="9"/>
      <c r="H63" s="16" t="s">
        <v>13</v>
      </c>
      <c r="I63" s="9" t="b">
        <f t="shared" si="1"/>
        <v>0</v>
      </c>
      <c r="J63" s="1" t="s">
        <v>408</v>
      </c>
      <c r="K63" s="1" t="s">
        <v>284</v>
      </c>
      <c r="L63" s="1" t="s">
        <v>284</v>
      </c>
      <c r="M63" s="9"/>
      <c r="N63" s="35"/>
      <c r="O63" s="24">
        <v>36</v>
      </c>
      <c r="P63" s="2" cm="1">
        <f t="array" ref="P63">_xlfn.XLOOKUP(TRIM(B63),TRIM('[1]wc-product-export-16-3-2026-177'!$A:$A),'[1]wc-product-export-16-3-2026-177'!$D:$D,0,0)</f>
        <v>0</v>
      </c>
      <c r="Q63" s="2" cm="1">
        <f t="array" ref="Q63">IF(TRIM($D63)="SET",IF($K63="Steak Set1",ROUNDDOWN(IFERROR(MIN(_xlfn._xlws.FILTER(O$3:O$650,ISNUMBER(MATCH(TRIM($B$3:$B$650),TRIM(_xlfn.TEXTSPLIT($N63,",")),0)))),0)/4,0)+P63,IF(IFERROR(MIN(_xlfn._xlws.FILTER(O$3:O$650,ISNUMBER(MATCH(TRIM($B$3:$B$650),TRIM(_xlfn.TEXTSPLIT($N63,",")),0)))),0)&gt;=$E$1,IFERROR(MIN(_xlfn._xlws.FILTER(O$3:O$650,ISNUMBER(MATCH(TRIM($B$3:$B$650),TRIM(_xlfn.TEXTSPLIT($N63,",")),0)))),0)+P63,P63)),IF(TRIM($D63)="EA",IF(TRIM($E63)="M",ROUNDUP(O63*0.85,0),IF(TRIM($E63)="P",O63,P63)),P63))</f>
        <v>31</v>
      </c>
      <c r="T63" t="str" cm="1">
        <f t="array" ref="T63">IFERROR(IF(D63="SET",_xlfn.TEXTJOIN(", ",TRUE,_xlfn._xlws.FILTER(TRANSPOSE(TRIM(_xlfn.TEXTSPLIT(N63,","))),COUNTIFS(B$3:B$650,TRANSPOSE(TRIM(_xlfn.TEXTSPLIT(N63,","))),O$3:O$650,"&lt;="&amp;$T$1))),""),"")</f>
        <v/>
      </c>
    </row>
    <row r="64" spans="1:20" ht="14.4" x14ac:dyDescent="0.3">
      <c r="A64" s="1">
        <v>33119</v>
      </c>
      <c r="B64" s="56" t="s">
        <v>691</v>
      </c>
      <c r="C64" s="2" t="s">
        <v>1263</v>
      </c>
      <c r="D64" s="1" t="s">
        <v>624</v>
      </c>
      <c r="E64" s="1" t="s">
        <v>686</v>
      </c>
      <c r="F64" s="9" t="s">
        <v>1688</v>
      </c>
      <c r="G64" s="9"/>
      <c r="H64" s="16" t="s">
        <v>193</v>
      </c>
      <c r="I64" s="9" t="b">
        <f t="shared" si="1"/>
        <v>0</v>
      </c>
      <c r="J64" s="1" t="s">
        <v>409</v>
      </c>
      <c r="K64" s="1" t="s">
        <v>284</v>
      </c>
      <c r="L64" s="1" t="s">
        <v>284</v>
      </c>
      <c r="M64" s="9"/>
      <c r="N64" s="35"/>
      <c r="O64" s="24">
        <v>45</v>
      </c>
      <c r="P64" s="2" cm="1">
        <f t="array" ref="P64">_xlfn.XLOOKUP(TRIM(B64),TRIM('[1]wc-product-export-16-3-2026-177'!$A:$A),'[1]wc-product-export-16-3-2026-177'!$D:$D,0,0)</f>
        <v>0</v>
      </c>
      <c r="Q64" s="2" cm="1">
        <f t="array" ref="Q64">IF(TRIM($D64)="SET",IF($K64="Steak Set1",ROUNDDOWN(IFERROR(MIN(_xlfn._xlws.FILTER(O$3:O$650,ISNUMBER(MATCH(TRIM($B$3:$B$650),TRIM(_xlfn.TEXTSPLIT($N64,",")),0)))),0)/4,0)+P64,IF(IFERROR(MIN(_xlfn._xlws.FILTER(O$3:O$650,ISNUMBER(MATCH(TRIM($B$3:$B$650),TRIM(_xlfn.TEXTSPLIT($N64,",")),0)))),0)&gt;=$E$1,IFERROR(MIN(_xlfn._xlws.FILTER(O$3:O$650,ISNUMBER(MATCH(TRIM($B$3:$B$650),TRIM(_xlfn.TEXTSPLIT($N64,",")),0)))),0)+P64,P64)),IF(TRIM($D64)="EA",IF(TRIM($E64)="M",ROUNDUP(O64*0.85,0),IF(TRIM($E64)="P",O64,P64)),P64))</f>
        <v>39</v>
      </c>
      <c r="T64" t="str" cm="1">
        <f t="array" ref="T64">IFERROR(IF(D64="SET",_xlfn.TEXTJOIN(", ",TRUE,_xlfn._xlws.FILTER(TRANSPOSE(TRIM(_xlfn.TEXTSPLIT(N64,","))),COUNTIFS(B$3:B$650,TRANSPOSE(TRIM(_xlfn.TEXTSPLIT(N64,","))),O$3:O$650,"&lt;="&amp;$T$1))),""),"")</f>
        <v/>
      </c>
    </row>
    <row r="65" spans="1:20" ht="14.4" hidden="1" x14ac:dyDescent="0.3">
      <c r="A65" s="1">
        <v>5067</v>
      </c>
      <c r="B65" s="1" t="s">
        <v>1202</v>
      </c>
      <c r="C65" s="1" t="s">
        <v>1259</v>
      </c>
      <c r="D65" s="1" t="s">
        <v>624</v>
      </c>
      <c r="E65" s="1" t="s">
        <v>623</v>
      </c>
      <c r="F65" s="9" t="s">
        <v>1689</v>
      </c>
      <c r="G65" s="9"/>
      <c r="H65" s="53" t="s">
        <v>1203</v>
      </c>
      <c r="I65" s="9" t="b">
        <f t="shared" si="1"/>
        <v>0</v>
      </c>
      <c r="J65" s="1" t="s">
        <v>119</v>
      </c>
      <c r="K65" s="1" t="s">
        <v>435</v>
      </c>
      <c r="L65" s="1" t="s">
        <v>435</v>
      </c>
      <c r="M65" s="9"/>
      <c r="N65" s="35"/>
      <c r="O65" s="2" t="s">
        <v>458</v>
      </c>
      <c r="P65" s="2" cm="1">
        <f t="array" ref="P65">_xlfn.XLOOKUP(TRIM(B65),TRIM('[1]wc-product-export-16-3-2026-177'!$A:$A),'[1]wc-product-export-16-3-2026-177'!$D:$D,0,0)</f>
        <v>0</v>
      </c>
      <c r="Q65" s="2" t="str" cm="1">
        <f t="array" ref="Q65">IF(TRIM($D65)="SET",IF($K65="Steak Set1",ROUNDDOWN(IFERROR(MIN(_xlfn._xlws.FILTER(O$3:O$650,ISNUMBER(MATCH(TRIM($B$3:$B$650),TRIM(_xlfn.TEXTSPLIT($N65,",")),0)))),0)/4,0)+P65,IF(IFERROR(MIN(_xlfn._xlws.FILTER(O$3:O$650,ISNUMBER(MATCH(TRIM($B$3:$B$650),TRIM(_xlfn.TEXTSPLIT($N65,",")),0)))),0)&gt;=$E$1,IFERROR(MIN(_xlfn._xlws.FILTER(O$3:O$650,ISNUMBER(MATCH(TRIM($B$3:$B$650),TRIM(_xlfn.TEXTSPLIT($N65,",")),0)))),0)+P65,P65)),IF(TRIM($D65)="EA",IF(TRIM($E65)="M",ROUNDUP(O65*0.85,0),IF(TRIM($E65)="P",O65,P65)),P65))</f>
        <v>N/A</v>
      </c>
      <c r="T65" t="str" cm="1">
        <f t="array" ref="T65">IFERROR(IF(D65="SET",_xlfn.TEXTJOIN(", ",TRUE,_xlfn._xlws.FILTER(TRANSPOSE(TRIM(_xlfn.TEXTSPLIT(N65,","))),COUNTIFS(B$3:B$650,TRANSPOSE(TRIM(_xlfn.TEXTSPLIT(N65,","))),O$3:O$650,"&lt;="&amp;$T$1))),""),"")</f>
        <v/>
      </c>
    </row>
    <row r="66" spans="1:20" ht="14.4" x14ac:dyDescent="0.3">
      <c r="A66" s="1">
        <v>33120</v>
      </c>
      <c r="B66" s="56" t="s">
        <v>692</v>
      </c>
      <c r="C66" s="2" t="s">
        <v>1263</v>
      </c>
      <c r="D66" s="1" t="s">
        <v>624</v>
      </c>
      <c r="E66" s="1" t="s">
        <v>686</v>
      </c>
      <c r="F66" s="9"/>
      <c r="G66" s="9"/>
      <c r="H66" s="16" t="s">
        <v>194</v>
      </c>
      <c r="I66" s="9" t="b">
        <f t="shared" si="1"/>
        <v>0</v>
      </c>
      <c r="J66" s="1" t="s">
        <v>409</v>
      </c>
      <c r="K66" s="1" t="s">
        <v>284</v>
      </c>
      <c r="L66" s="1" t="s">
        <v>284</v>
      </c>
      <c r="M66" s="9"/>
      <c r="N66" s="35"/>
      <c r="O66" s="24">
        <v>37</v>
      </c>
      <c r="P66" s="2" cm="1">
        <f t="array" ref="P66">_xlfn.XLOOKUP(TRIM(B66),TRIM('[1]wc-product-export-16-3-2026-177'!$A:$A),'[1]wc-product-export-16-3-2026-177'!$D:$D,0,0)</f>
        <v>0</v>
      </c>
      <c r="Q66" s="2" cm="1">
        <f t="array" ref="Q66">IF(TRIM($D66)="SET",IF($K66="Steak Set1",ROUNDDOWN(IFERROR(MIN(_xlfn._xlws.FILTER(O$3:O$650,ISNUMBER(MATCH(TRIM($B$3:$B$650),TRIM(_xlfn.TEXTSPLIT($N66,",")),0)))),0)/4,0)+P66,IF(IFERROR(MIN(_xlfn._xlws.FILTER(O$3:O$650,ISNUMBER(MATCH(TRIM($B$3:$B$650),TRIM(_xlfn.TEXTSPLIT($N66,",")),0)))),0)&gt;=$E$1,IFERROR(MIN(_xlfn._xlws.FILTER(O$3:O$650,ISNUMBER(MATCH(TRIM($B$3:$B$650),TRIM(_xlfn.TEXTSPLIT($N66,",")),0)))),0)+P66,P66)),IF(TRIM($D66)="EA",IF(TRIM($E66)="M",ROUNDUP(O66*0.85,0),IF(TRIM($E66)="P",O66,P66)),P66))</f>
        <v>32</v>
      </c>
      <c r="T66" t="str" cm="1">
        <f t="array" ref="T66">IFERROR(IF(D66="SET",_xlfn.TEXTJOIN(", ",TRUE,_xlfn._xlws.FILTER(TRANSPOSE(TRIM(_xlfn.TEXTSPLIT(N66,","))),COUNTIFS(B$3:B$650,TRANSPOSE(TRIM(_xlfn.TEXTSPLIT(N66,","))),O$3:O$650,"&lt;="&amp;$T$1))),""),"")</f>
        <v/>
      </c>
    </row>
    <row r="67" spans="1:20" ht="14.4" x14ac:dyDescent="0.3">
      <c r="A67" s="1">
        <v>6010</v>
      </c>
      <c r="B67" s="50" t="s">
        <v>632</v>
      </c>
      <c r="C67" s="1" t="s">
        <v>1259</v>
      </c>
      <c r="D67" s="1" t="s">
        <v>624</v>
      </c>
      <c r="E67" s="1" t="s">
        <v>623</v>
      </c>
      <c r="F67" s="9" t="s">
        <v>1688</v>
      </c>
      <c r="G67" s="9"/>
      <c r="H67" s="53" t="s">
        <v>103</v>
      </c>
      <c r="I67" s="9" t="b">
        <f t="shared" si="1"/>
        <v>0</v>
      </c>
      <c r="J67" s="1" t="s">
        <v>119</v>
      </c>
      <c r="K67" s="1" t="s">
        <v>435</v>
      </c>
      <c r="L67" s="1" t="s">
        <v>435</v>
      </c>
      <c r="M67" s="9"/>
      <c r="N67" s="35"/>
      <c r="O67" s="2">
        <v>26</v>
      </c>
      <c r="P67" s="2" cm="1">
        <f t="array" ref="P67">_xlfn.XLOOKUP(TRIM(B67),TRIM('[1]wc-product-export-16-3-2026-177'!$A:$A),'[1]wc-product-export-16-3-2026-177'!$D:$D,0,0)</f>
        <v>0</v>
      </c>
      <c r="Q67" s="2" cm="1">
        <f t="array" ref="Q67">IF(TRIM($D67)="SET",IF($K67="Steak Set1",ROUNDDOWN(IFERROR(MIN(_xlfn._xlws.FILTER(O$3:O$650,ISNUMBER(MATCH(TRIM($B$3:$B$650),TRIM(_xlfn.TEXTSPLIT($N67,",")),0)))),0)/4,0)+P67,IF(IFERROR(MIN(_xlfn._xlws.FILTER(O$3:O$650,ISNUMBER(MATCH(TRIM($B$3:$B$650),TRIM(_xlfn.TEXTSPLIT($N67,",")),0)))),0)&gt;=$E$1,IFERROR(MIN(_xlfn._xlws.FILTER(O$3:O$650,ISNUMBER(MATCH(TRIM($B$3:$B$650),TRIM(_xlfn.TEXTSPLIT($N67,",")),0)))),0)+P67,P67)),IF(TRIM($D67)="EA",IF(TRIM($E67)="M",ROUNDUP(O67*0.85,0),IF(TRIM($E67)="P",O67,P67)),P67))</f>
        <v>26</v>
      </c>
      <c r="T67" t="str" cm="1">
        <f t="array" ref="T67">IFERROR(IF(D67="SET",_xlfn.TEXTJOIN(", ",TRUE,_xlfn._xlws.FILTER(TRANSPOSE(TRIM(_xlfn.TEXTSPLIT(N67,","))),COUNTIFS(B$3:B$650,TRANSPOSE(TRIM(_xlfn.TEXTSPLIT(N67,","))),O$3:O$650,"&lt;="&amp;$T$1))),""),"")</f>
        <v/>
      </c>
    </row>
    <row r="68" spans="1:20" ht="14.4" x14ac:dyDescent="0.3">
      <c r="A68" s="1">
        <v>33400</v>
      </c>
      <c r="B68" s="56" t="s">
        <v>693</v>
      </c>
      <c r="C68" s="2" t="s">
        <v>1263</v>
      </c>
      <c r="D68" s="1" t="s">
        <v>624</v>
      </c>
      <c r="E68" s="1" t="s">
        <v>686</v>
      </c>
      <c r="F68" s="9"/>
      <c r="G68" s="9"/>
      <c r="H68" s="16" t="s">
        <v>6</v>
      </c>
      <c r="I68" s="9" t="b">
        <f t="shared" ref="I68:I99" si="2">ISNUMBER(SEARCH($I$2,H68))</f>
        <v>0</v>
      </c>
      <c r="J68" s="1" t="s">
        <v>407</v>
      </c>
      <c r="K68" s="1" t="s">
        <v>276</v>
      </c>
      <c r="L68" s="1" t="s">
        <v>1723</v>
      </c>
      <c r="M68" s="9"/>
      <c r="N68" s="35"/>
      <c r="O68" s="24">
        <v>143</v>
      </c>
      <c r="P68" s="2" cm="1">
        <f t="array" ref="P68">_xlfn.XLOOKUP(TRIM(B68),TRIM('[1]wc-product-export-16-3-2026-177'!$A:$A),'[1]wc-product-export-16-3-2026-177'!$D:$D,0,0)</f>
        <v>0</v>
      </c>
      <c r="Q68" s="2" cm="1">
        <f t="array" ref="Q68">IF(TRIM($D68)="SET",IF($K68="Steak Set1",ROUNDDOWN(IFERROR(MIN(_xlfn._xlws.FILTER(O$3:O$650,ISNUMBER(MATCH(TRIM($B$3:$B$650),TRIM(_xlfn.TEXTSPLIT($N68,",")),0)))),0)/4,0)+P68,IF(IFERROR(MIN(_xlfn._xlws.FILTER(O$3:O$650,ISNUMBER(MATCH(TRIM($B$3:$B$650),TRIM(_xlfn.TEXTSPLIT($N68,",")),0)))),0)&gt;=$E$1,IFERROR(MIN(_xlfn._xlws.FILTER(O$3:O$650,ISNUMBER(MATCH(TRIM($B$3:$B$650),TRIM(_xlfn.TEXTSPLIT($N68,",")),0)))),0)+P68,P68)),IF(TRIM($D68)="EA",IF(TRIM($E68)="M",ROUNDUP(O68*0.85,0),IF(TRIM($E68)="P",O68,P68)),P68))</f>
        <v>122</v>
      </c>
      <c r="T68" t="str" cm="1">
        <f t="array" ref="T68">IFERROR(IF(D68="SET",_xlfn.TEXTJOIN(", ",TRUE,_xlfn._xlws.FILTER(TRANSPOSE(TRIM(_xlfn.TEXTSPLIT(N68,","))),COUNTIFS(B$3:B$650,TRANSPOSE(TRIM(_xlfn.TEXTSPLIT(N68,","))),O$3:O$650,"&lt;="&amp;$T$1))),""),"")</f>
        <v/>
      </c>
    </row>
    <row r="69" spans="1:20" ht="14.4" x14ac:dyDescent="0.3">
      <c r="A69" s="1">
        <v>6027</v>
      </c>
      <c r="B69" s="50" t="s">
        <v>635</v>
      </c>
      <c r="C69" s="1" t="s">
        <v>1259</v>
      </c>
      <c r="D69" s="1" t="s">
        <v>624</v>
      </c>
      <c r="E69" s="1" t="s">
        <v>623</v>
      </c>
      <c r="F69" s="9" t="s">
        <v>1688</v>
      </c>
      <c r="G69" s="9"/>
      <c r="H69" s="53" t="s">
        <v>21</v>
      </c>
      <c r="I69" s="9" t="b">
        <f t="shared" si="2"/>
        <v>0</v>
      </c>
      <c r="J69" s="1" t="s">
        <v>119</v>
      </c>
      <c r="K69" s="1" t="s">
        <v>435</v>
      </c>
      <c r="L69" s="1" t="s">
        <v>435</v>
      </c>
      <c r="M69" s="9"/>
      <c r="N69" s="35"/>
      <c r="O69" s="2">
        <v>54</v>
      </c>
      <c r="P69" s="2" cm="1">
        <f t="array" ref="P69">_xlfn.XLOOKUP(TRIM(B69),TRIM('[1]wc-product-export-16-3-2026-177'!$A:$A),'[1]wc-product-export-16-3-2026-177'!$D:$D,0,0)</f>
        <v>0</v>
      </c>
      <c r="Q69" s="2" cm="1">
        <f t="array" ref="Q69">IF(TRIM($D69)="SET",IF($K69="Steak Set1",ROUNDDOWN(IFERROR(MIN(_xlfn._xlws.FILTER(O$3:O$650,ISNUMBER(MATCH(TRIM($B$3:$B$650),TRIM(_xlfn.TEXTSPLIT($N69,",")),0)))),0)/4,0)+P69,IF(IFERROR(MIN(_xlfn._xlws.FILTER(O$3:O$650,ISNUMBER(MATCH(TRIM($B$3:$B$650),TRIM(_xlfn.TEXTSPLIT($N69,",")),0)))),0)&gt;=$E$1,IFERROR(MIN(_xlfn._xlws.FILTER(O$3:O$650,ISNUMBER(MATCH(TRIM($B$3:$B$650),TRIM(_xlfn.TEXTSPLIT($N69,",")),0)))),0)+P69,P69)),IF(TRIM($D69)="EA",IF(TRIM($E69)="M",ROUNDUP(O69*0.85,0),IF(TRIM($E69)="P",O69,P69)),P69))</f>
        <v>54</v>
      </c>
      <c r="T69" t="str" cm="1">
        <f t="array" ref="T69">IFERROR(IF(D69="SET",_xlfn.TEXTJOIN(", ",TRUE,_xlfn._xlws.FILTER(TRANSPOSE(TRIM(_xlfn.TEXTSPLIT(N69,","))),COUNTIFS(B$3:B$650,TRANSPOSE(TRIM(_xlfn.TEXTSPLIT(N69,","))),O$3:O$650,"&lt;="&amp;$T$1))),""),"")</f>
        <v/>
      </c>
    </row>
    <row r="70" spans="1:20" ht="14.4" x14ac:dyDescent="0.3">
      <c r="A70" s="1">
        <v>6206</v>
      </c>
      <c r="B70" s="50" t="s">
        <v>640</v>
      </c>
      <c r="C70" s="1" t="s">
        <v>1259</v>
      </c>
      <c r="D70" s="1" t="s">
        <v>624</v>
      </c>
      <c r="E70" s="1" t="s">
        <v>623</v>
      </c>
      <c r="F70" s="9" t="s">
        <v>1688</v>
      </c>
      <c r="G70" s="9"/>
      <c r="H70" s="16" t="s">
        <v>123</v>
      </c>
      <c r="I70" s="9" t="b">
        <f t="shared" si="2"/>
        <v>0</v>
      </c>
      <c r="J70" s="1" t="s">
        <v>119</v>
      </c>
      <c r="K70" s="1" t="s">
        <v>435</v>
      </c>
      <c r="L70" s="1" t="s">
        <v>435</v>
      </c>
      <c r="M70" s="9"/>
      <c r="N70" s="35"/>
      <c r="O70" s="2">
        <v>99</v>
      </c>
      <c r="P70" s="2" cm="1">
        <f t="array" ref="P70">_xlfn.XLOOKUP(TRIM(B70),TRIM('[1]wc-product-export-16-3-2026-177'!$A:$A),'[1]wc-product-export-16-3-2026-177'!$D:$D,0,0)</f>
        <v>0</v>
      </c>
      <c r="Q70" s="2" cm="1">
        <f t="array" ref="Q70">IF(TRIM($D70)="SET",IF($K70="Steak Set1",ROUNDDOWN(IFERROR(MIN(_xlfn._xlws.FILTER(O$3:O$650,ISNUMBER(MATCH(TRIM($B$3:$B$650),TRIM(_xlfn.TEXTSPLIT($N70,",")),0)))),0)/4,0)+P70,IF(IFERROR(MIN(_xlfn._xlws.FILTER(O$3:O$650,ISNUMBER(MATCH(TRIM($B$3:$B$650),TRIM(_xlfn.TEXTSPLIT($N70,",")),0)))),0)&gt;=$E$1,IFERROR(MIN(_xlfn._xlws.FILTER(O$3:O$650,ISNUMBER(MATCH(TRIM($B$3:$B$650),TRIM(_xlfn.TEXTSPLIT($N70,",")),0)))),0)+P70,P70)),IF(TRIM($D70)="EA",IF(TRIM($E70)="M",ROUNDUP(O70*0.85,0),IF(TRIM($E70)="P",O70,P70)),P70))</f>
        <v>99</v>
      </c>
      <c r="T70" t="str" cm="1">
        <f t="array" ref="T70">IFERROR(IF(D70="SET",_xlfn.TEXTJOIN(", ",TRUE,_xlfn._xlws.FILTER(TRANSPOSE(TRIM(_xlfn.TEXTSPLIT(N70,","))),COUNTIFS(B$3:B$650,TRANSPOSE(TRIM(_xlfn.TEXTSPLIT(N70,","))),O$3:O$650,"&lt;="&amp;$T$1))),""),"")</f>
        <v/>
      </c>
    </row>
    <row r="71" spans="1:20" ht="14.4" x14ac:dyDescent="0.3">
      <c r="A71" s="1">
        <v>6230</v>
      </c>
      <c r="B71" s="50" t="s">
        <v>645</v>
      </c>
      <c r="C71" s="1" t="s">
        <v>1259</v>
      </c>
      <c r="D71" s="1" t="s">
        <v>624</v>
      </c>
      <c r="E71" s="1" t="s">
        <v>623</v>
      </c>
      <c r="F71" s="9" t="s">
        <v>1688</v>
      </c>
      <c r="G71" s="9"/>
      <c r="H71" s="16" t="s">
        <v>26</v>
      </c>
      <c r="I71" s="9" t="b">
        <f t="shared" si="2"/>
        <v>0</v>
      </c>
      <c r="J71" s="1" t="s">
        <v>119</v>
      </c>
      <c r="K71" s="1" t="s">
        <v>435</v>
      </c>
      <c r="L71" s="1" t="s">
        <v>435</v>
      </c>
      <c r="M71" s="9"/>
      <c r="N71" s="35"/>
      <c r="O71" s="2">
        <v>54</v>
      </c>
      <c r="P71" s="2" cm="1">
        <f t="array" ref="P71">_xlfn.XLOOKUP(TRIM(B71),TRIM('[1]wc-product-export-16-3-2026-177'!$A:$A),'[1]wc-product-export-16-3-2026-177'!$D:$D,0,0)</f>
        <v>0</v>
      </c>
      <c r="Q71" s="2" cm="1">
        <f t="array" ref="Q71">IF(TRIM($D71)="SET",IF($K71="Steak Set1",ROUNDDOWN(IFERROR(MIN(_xlfn._xlws.FILTER(O$3:O$650,ISNUMBER(MATCH(TRIM($B$3:$B$650),TRIM(_xlfn.TEXTSPLIT($N71,",")),0)))),0)/4,0)+P71,IF(IFERROR(MIN(_xlfn._xlws.FILTER(O$3:O$650,ISNUMBER(MATCH(TRIM($B$3:$B$650),TRIM(_xlfn.TEXTSPLIT($N71,",")),0)))),0)&gt;=$E$1,IFERROR(MIN(_xlfn._xlws.FILTER(O$3:O$650,ISNUMBER(MATCH(TRIM($B$3:$B$650),TRIM(_xlfn.TEXTSPLIT($N71,",")),0)))),0)+P71,P71)),IF(TRIM($D71)="EA",IF(TRIM($E71)="M",ROUNDUP(O71*0.85,0),IF(TRIM($E71)="P",O71,P71)),P71))</f>
        <v>54</v>
      </c>
      <c r="T71" t="str" cm="1">
        <f t="array" ref="T71">IFERROR(IF(D71="SET",_xlfn.TEXTJOIN(", ",TRUE,_xlfn._xlws.FILTER(TRANSPOSE(TRIM(_xlfn.TEXTSPLIT(N71,","))),COUNTIFS(B$3:B$650,TRANSPOSE(TRIM(_xlfn.TEXTSPLIT(N71,","))),O$3:O$650,"&lt;="&amp;$T$1))),""),"")</f>
        <v/>
      </c>
    </row>
    <row r="72" spans="1:20" ht="14.4" x14ac:dyDescent="0.3">
      <c r="A72" s="1"/>
      <c r="B72" s="51" t="s">
        <v>1694</v>
      </c>
      <c r="C72" s="1" t="s">
        <v>1259</v>
      </c>
      <c r="D72" s="1" t="s">
        <v>628</v>
      </c>
      <c r="E72" s="1" t="s">
        <v>623</v>
      </c>
      <c r="F72" s="9"/>
      <c r="G72" s="9"/>
      <c r="H72" s="16" t="s">
        <v>1696</v>
      </c>
      <c r="I72" s="9" t="b">
        <f t="shared" si="2"/>
        <v>0</v>
      </c>
      <c r="J72" s="1" t="s">
        <v>119</v>
      </c>
      <c r="L72" s="1" t="s">
        <v>435</v>
      </c>
      <c r="M72" s="9"/>
      <c r="N72" s="35" t="s">
        <v>1695</v>
      </c>
      <c r="O72" s="2">
        <v>94</v>
      </c>
      <c r="P72" s="2" cm="1">
        <f t="array" ref="P72">_xlfn.XLOOKUP(TRIM(B72),TRIM('[1]wc-product-export-16-3-2026-177'!$A:$A),'[1]wc-product-export-16-3-2026-177'!$D:$D,0,0)</f>
        <v>0</v>
      </c>
      <c r="Q72" s="2" cm="1">
        <f t="array" ref="Q72">IF(TRIM($D72)="SET",IF($K72="Steak Set1",ROUNDDOWN(IFERROR(MIN(_xlfn._xlws.FILTER(O$3:O$650,ISNUMBER(MATCH(TRIM($B$3:$B$650),TRIM(_xlfn.TEXTSPLIT($N72,",")),0)))),0)/4,0)+P72,IF(IFERROR(MIN(_xlfn._xlws.FILTER(O$3:O$650,ISNUMBER(MATCH(TRIM($B$3:$B$650),TRIM(_xlfn.TEXTSPLIT($N72,",")),0)))),0)&gt;=$E$1,IFERROR(MIN(_xlfn._xlws.FILTER(O$3:O$650,ISNUMBER(MATCH(TRIM($B$3:$B$650),TRIM(_xlfn.TEXTSPLIT($N72,",")),0)))),0)+P72,P72)),IF(TRIM($D72)="EA",IF(TRIM($E72)="M",ROUNDUP(O72*0.85,0),IF(TRIM($E72)="P",O72,P72)),P72))</f>
        <v>96</v>
      </c>
      <c r="T72" t="str" cm="1">
        <f t="array" ref="T72">IFERROR(IF(D72="SET",_xlfn.TEXTJOIN(", ",TRUE,_xlfn._xlws.FILTER(TRANSPOSE(TRIM(_xlfn.TEXTSPLIT(N72,","))),COUNTIFS(B$3:B$650,TRANSPOSE(TRIM(_xlfn.TEXTSPLIT(N72,","))),O$3:O$650,"&lt;="&amp;$T$1))),""),"")</f>
        <v/>
      </c>
    </row>
    <row r="73" spans="1:20" ht="14.4" hidden="1" x14ac:dyDescent="0.3">
      <c r="A73" s="1">
        <v>7466</v>
      </c>
      <c r="B73" s="50" t="s">
        <v>1243</v>
      </c>
      <c r="C73" s="1" t="s">
        <v>1259</v>
      </c>
      <c r="D73" s="1" t="s">
        <v>624</v>
      </c>
      <c r="E73" s="1" t="s">
        <v>623</v>
      </c>
      <c r="F73" s="9" t="s">
        <v>1688</v>
      </c>
      <c r="G73" s="9"/>
      <c r="H73" s="16" t="s">
        <v>1244</v>
      </c>
      <c r="I73" s="9" t="b">
        <f t="shared" si="2"/>
        <v>0</v>
      </c>
      <c r="J73" s="1" t="s">
        <v>394</v>
      </c>
      <c r="K73" s="1" t="s">
        <v>293</v>
      </c>
      <c r="L73" s="1" t="s">
        <v>293</v>
      </c>
      <c r="M73" s="9"/>
      <c r="N73" s="35"/>
      <c r="O73" s="2" t="s">
        <v>458</v>
      </c>
      <c r="P73" s="2" cm="1">
        <f t="array" ref="P73">_xlfn.XLOOKUP(TRIM(B73),TRIM('[1]wc-product-export-16-3-2026-177'!$A:$A),'[1]wc-product-export-16-3-2026-177'!$D:$D,0,0)</f>
        <v>0</v>
      </c>
      <c r="Q73" s="2" t="str" cm="1">
        <f t="array" ref="Q73">IF(TRIM($D73)="SET",IF($K73="Steak Set1",ROUNDDOWN(IFERROR(MIN(_xlfn._xlws.FILTER(O$3:O$650,ISNUMBER(MATCH(TRIM($B$3:$B$650),TRIM(_xlfn.TEXTSPLIT($N73,",")),0)))),0)/4,0)+P73,IF(IFERROR(MIN(_xlfn._xlws.FILTER(O$3:O$650,ISNUMBER(MATCH(TRIM($B$3:$B$650),TRIM(_xlfn.TEXTSPLIT($N73,",")),0)))),0)&gt;=$E$1,IFERROR(MIN(_xlfn._xlws.FILTER(O$3:O$650,ISNUMBER(MATCH(TRIM($B$3:$B$650),TRIM(_xlfn.TEXTSPLIT($N73,",")),0)))),0)+P73,P73)),IF(TRIM($D73)="EA",IF(TRIM($E73)="M",ROUNDUP(O73*0.85,0),IF(TRIM($E73)="P",O73,P73)),P73))</f>
        <v>N/A</v>
      </c>
      <c r="T73" t="str" cm="1">
        <f t="array" ref="T73">IFERROR(IF(D73="SET",_xlfn.TEXTJOIN(", ",TRUE,_xlfn._xlws.FILTER(TRANSPOSE(TRIM(_xlfn.TEXTSPLIT(N73,","))),COUNTIFS(B$3:B$650,TRANSPOSE(TRIM(_xlfn.TEXTSPLIT(N73,","))),O$3:O$650,"&lt;="&amp;$T$1))),""),"")</f>
        <v/>
      </c>
    </row>
    <row r="74" spans="1:20" ht="14.4" x14ac:dyDescent="0.3">
      <c r="A74" s="1">
        <v>10111</v>
      </c>
      <c r="B74" s="50" t="s">
        <v>681</v>
      </c>
      <c r="C74" s="1" t="s">
        <v>1259</v>
      </c>
      <c r="D74" s="1" t="s">
        <v>624</v>
      </c>
      <c r="E74" s="1" t="s">
        <v>623</v>
      </c>
      <c r="F74" s="9" t="s">
        <v>1688</v>
      </c>
      <c r="G74" s="9"/>
      <c r="H74" s="16" t="s">
        <v>106</v>
      </c>
      <c r="I74" s="9" t="b">
        <f t="shared" si="2"/>
        <v>0</v>
      </c>
      <c r="J74" s="1" t="s">
        <v>395</v>
      </c>
      <c r="K74" s="1" t="s">
        <v>353</v>
      </c>
      <c r="L74" s="1" t="s">
        <v>353</v>
      </c>
      <c r="M74" s="9"/>
      <c r="N74" s="35"/>
      <c r="O74" s="2">
        <v>0</v>
      </c>
      <c r="P74" s="2" cm="1">
        <f t="array" ref="P74">_xlfn.XLOOKUP(TRIM(B74),TRIM('[1]wc-product-export-16-3-2026-177'!$A:$A),'[1]wc-product-export-16-3-2026-177'!$D:$D,0,0)</f>
        <v>0</v>
      </c>
      <c r="Q74" s="2" cm="1">
        <f t="array" ref="Q74">IF(TRIM($D74)="SET",IF($K74="Steak Set1",ROUNDDOWN(IFERROR(MIN(_xlfn._xlws.FILTER(O$3:O$650,ISNUMBER(MATCH(TRIM($B$3:$B$650),TRIM(_xlfn.TEXTSPLIT($N74,",")),0)))),0)/4,0)+P74,IF(IFERROR(MIN(_xlfn._xlws.FILTER(O$3:O$650,ISNUMBER(MATCH(TRIM($B$3:$B$650),TRIM(_xlfn.TEXTSPLIT($N74,",")),0)))),0)&gt;=$E$1,IFERROR(MIN(_xlfn._xlws.FILTER(O$3:O$650,ISNUMBER(MATCH(TRIM($B$3:$B$650),TRIM(_xlfn.TEXTSPLIT($N74,",")),0)))),0)+P74,P74)),IF(TRIM($D74)="EA",IF(TRIM($E74)="M",ROUNDUP(O74*0.85,0),IF(TRIM($E74)="P",O74,P74)),P74))</f>
        <v>0</v>
      </c>
      <c r="T74" t="str" cm="1">
        <f t="array" ref="T74">IFERROR(IF(D74="SET",_xlfn.TEXTJOIN(", ",TRUE,_xlfn._xlws.FILTER(TRANSPOSE(TRIM(_xlfn.TEXTSPLIT(N74,","))),COUNTIFS(B$3:B$650,TRANSPOSE(TRIM(_xlfn.TEXTSPLIT(N74,","))),O$3:O$650,"&lt;="&amp;$T$1))),""),"")</f>
        <v/>
      </c>
    </row>
    <row r="75" spans="1:20" ht="14.4" x14ac:dyDescent="0.3">
      <c r="A75" s="1">
        <v>33402</v>
      </c>
      <c r="B75" s="55" t="s">
        <v>694</v>
      </c>
      <c r="C75" s="2" t="s">
        <v>1263</v>
      </c>
      <c r="D75" s="1" t="s">
        <v>624</v>
      </c>
      <c r="E75" s="1" t="s">
        <v>686</v>
      </c>
      <c r="F75" s="9"/>
      <c r="G75" s="9"/>
      <c r="H75" s="16" t="s">
        <v>7</v>
      </c>
      <c r="I75" s="9" t="b">
        <f t="shared" si="2"/>
        <v>0</v>
      </c>
      <c r="J75" s="1" t="s">
        <v>407</v>
      </c>
      <c r="K75" s="1" t="s">
        <v>276</v>
      </c>
      <c r="L75" s="1" t="s">
        <v>1723</v>
      </c>
      <c r="M75" s="9"/>
      <c r="N75" s="35"/>
      <c r="O75" s="24">
        <v>137</v>
      </c>
      <c r="P75" s="2" cm="1">
        <f t="array" ref="P75">_xlfn.XLOOKUP(TRIM(B75),TRIM('[1]wc-product-export-16-3-2026-177'!$A:$A),'[1]wc-product-export-16-3-2026-177'!$D:$D,0,0)</f>
        <v>0</v>
      </c>
      <c r="Q75" s="2" cm="1">
        <f t="array" ref="Q75">IF(TRIM($D75)="SET",IF($K75="Steak Set1",ROUNDDOWN(IFERROR(MIN(_xlfn._xlws.FILTER(O$3:O$650,ISNUMBER(MATCH(TRIM($B$3:$B$650),TRIM(_xlfn.TEXTSPLIT($N75,",")),0)))),0)/4,0)+P75,IF(IFERROR(MIN(_xlfn._xlws.FILTER(O$3:O$650,ISNUMBER(MATCH(TRIM($B$3:$B$650),TRIM(_xlfn.TEXTSPLIT($N75,",")),0)))),0)&gt;=$E$1,IFERROR(MIN(_xlfn._xlws.FILTER(O$3:O$650,ISNUMBER(MATCH(TRIM($B$3:$B$650),TRIM(_xlfn.TEXTSPLIT($N75,",")),0)))),0)+P75,P75)),IF(TRIM($D75)="EA",IF(TRIM($E75)="M",ROUNDUP(O75*0.85,0),IF(TRIM($E75)="P",O75,P75)),P75))</f>
        <v>117</v>
      </c>
      <c r="T75" t="str" cm="1">
        <f t="array" ref="T75">IFERROR(IF(D75="SET",_xlfn.TEXTJOIN(", ",TRUE,_xlfn._xlws.FILTER(TRANSPOSE(TRIM(_xlfn.TEXTSPLIT(N75,","))),COUNTIFS(B$3:B$650,TRANSPOSE(TRIM(_xlfn.TEXTSPLIT(N75,","))),O$3:O$650,"&lt;="&amp;$T$1))),""),"")</f>
        <v/>
      </c>
    </row>
    <row r="76" spans="1:20" ht="14.4" x14ac:dyDescent="0.3">
      <c r="A76" s="1">
        <v>33420</v>
      </c>
      <c r="B76" s="55" t="s">
        <v>695</v>
      </c>
      <c r="C76" s="2" t="s">
        <v>1263</v>
      </c>
      <c r="D76" s="1" t="s">
        <v>624</v>
      </c>
      <c r="E76" s="1" t="s">
        <v>686</v>
      </c>
      <c r="F76" s="9"/>
      <c r="G76" s="9"/>
      <c r="H76" s="16" t="s">
        <v>8</v>
      </c>
      <c r="I76" s="9" t="b">
        <f t="shared" si="2"/>
        <v>0</v>
      </c>
      <c r="J76" s="1" t="s">
        <v>407</v>
      </c>
      <c r="K76" s="1" t="s">
        <v>276</v>
      </c>
      <c r="L76" s="1" t="s">
        <v>1723</v>
      </c>
      <c r="M76" s="9"/>
      <c r="N76" s="35"/>
      <c r="O76" s="24">
        <v>0</v>
      </c>
      <c r="P76" s="2" cm="1">
        <f t="array" ref="P76">_xlfn.XLOOKUP(TRIM(B76),TRIM('[1]wc-product-export-16-3-2026-177'!$A:$A),'[1]wc-product-export-16-3-2026-177'!$D:$D,0,0)</f>
        <v>0</v>
      </c>
      <c r="Q76" s="2" cm="1">
        <f t="array" ref="Q76">IF(TRIM($D76)="SET",IF($K76="Steak Set1",ROUNDDOWN(IFERROR(MIN(_xlfn._xlws.FILTER(O$3:O$650,ISNUMBER(MATCH(TRIM($B$3:$B$650),TRIM(_xlfn.TEXTSPLIT($N76,",")),0)))),0)/4,0)+P76,IF(IFERROR(MIN(_xlfn._xlws.FILTER(O$3:O$650,ISNUMBER(MATCH(TRIM($B$3:$B$650),TRIM(_xlfn.TEXTSPLIT($N76,",")),0)))),0)&gt;=$E$1,IFERROR(MIN(_xlfn._xlws.FILTER(O$3:O$650,ISNUMBER(MATCH(TRIM($B$3:$B$650),TRIM(_xlfn.TEXTSPLIT($N76,",")),0)))),0)+P76,P76)),IF(TRIM($D76)="EA",IF(TRIM($E76)="M",ROUNDUP(O76*0.85,0),IF(TRIM($E76)="P",O76,P76)),P76))</f>
        <v>0</v>
      </c>
      <c r="T76" t="str" cm="1">
        <f t="array" ref="T76">IFERROR(IF(D76="SET",_xlfn.TEXTJOIN(", ",TRUE,_xlfn._xlws.FILTER(TRANSPOSE(TRIM(_xlfn.TEXTSPLIT(N76,","))),COUNTIFS(B$3:B$650,TRANSPOSE(TRIM(_xlfn.TEXTSPLIT(N76,","))),O$3:O$650,"&lt;="&amp;$T$1))),""),"")</f>
        <v/>
      </c>
    </row>
    <row r="77" spans="1:20" ht="14.4" x14ac:dyDescent="0.3">
      <c r="A77" s="1">
        <v>33430</v>
      </c>
      <c r="B77" s="56" t="s">
        <v>696</v>
      </c>
      <c r="C77" s="2" t="s">
        <v>1263</v>
      </c>
      <c r="D77" s="1" t="s">
        <v>624</v>
      </c>
      <c r="E77" s="1" t="s">
        <v>686</v>
      </c>
      <c r="F77" s="9"/>
      <c r="G77" s="9"/>
      <c r="H77" s="16" t="s">
        <v>9</v>
      </c>
      <c r="I77" s="9" t="b">
        <f t="shared" si="2"/>
        <v>0</v>
      </c>
      <c r="J77" s="1" t="s">
        <v>407</v>
      </c>
      <c r="K77" s="1" t="s">
        <v>276</v>
      </c>
      <c r="L77" s="1" t="s">
        <v>1723</v>
      </c>
      <c r="M77" s="9"/>
      <c r="N77" s="35"/>
      <c r="O77" s="24">
        <v>496</v>
      </c>
      <c r="P77" s="2" cm="1">
        <f t="array" ref="P77">_xlfn.XLOOKUP(TRIM(B77),TRIM('[1]wc-product-export-16-3-2026-177'!$A:$A),'[1]wc-product-export-16-3-2026-177'!$D:$D,0,0)</f>
        <v>0</v>
      </c>
      <c r="Q77" s="2" cm="1">
        <f t="array" ref="Q77">IF(TRIM($D77)="SET",IF($K77="Steak Set1",ROUNDDOWN(IFERROR(MIN(_xlfn._xlws.FILTER(O$3:O$650,ISNUMBER(MATCH(TRIM($B$3:$B$650),TRIM(_xlfn.TEXTSPLIT($N77,",")),0)))),0)/4,0)+P77,IF(IFERROR(MIN(_xlfn._xlws.FILTER(O$3:O$650,ISNUMBER(MATCH(TRIM($B$3:$B$650),TRIM(_xlfn.TEXTSPLIT($N77,",")),0)))),0)&gt;=$E$1,IFERROR(MIN(_xlfn._xlws.FILTER(O$3:O$650,ISNUMBER(MATCH(TRIM($B$3:$B$650),TRIM(_xlfn.TEXTSPLIT($N77,",")),0)))),0)+P77,P77)),IF(TRIM($D77)="EA",IF(TRIM($E77)="M",ROUNDUP(O77*0.85,0),IF(TRIM($E77)="P",O77,P77)),P77))</f>
        <v>422</v>
      </c>
      <c r="T77" t="str" cm="1">
        <f t="array" ref="T77">IFERROR(IF(D77="SET",_xlfn.TEXTJOIN(", ",TRUE,_xlfn._xlws.FILTER(TRANSPOSE(TRIM(_xlfn.TEXTSPLIT(N77,","))),COUNTIFS(B$3:B$650,TRANSPOSE(TRIM(_xlfn.TEXTSPLIT(N77,","))),O$3:O$650,"&lt;="&amp;$T$1))),""),"")</f>
        <v/>
      </c>
    </row>
    <row r="78" spans="1:20" ht="14.4" hidden="1" x14ac:dyDescent="0.3">
      <c r="A78" s="1">
        <v>33440</v>
      </c>
      <c r="B78" s="1" t="s">
        <v>697</v>
      </c>
      <c r="C78" s="2" t="s">
        <v>1263</v>
      </c>
      <c r="D78" s="1" t="s">
        <v>624</v>
      </c>
      <c r="E78" s="1" t="s">
        <v>686</v>
      </c>
      <c r="F78" s="9" t="s">
        <v>1690</v>
      </c>
      <c r="G78" s="9"/>
      <c r="H78" s="53" t="s">
        <v>116</v>
      </c>
      <c r="I78" s="9" t="b">
        <f t="shared" si="2"/>
        <v>0</v>
      </c>
      <c r="J78" s="1" t="s">
        <v>407</v>
      </c>
      <c r="K78" s="1" t="s">
        <v>286</v>
      </c>
      <c r="L78" s="1" t="s">
        <v>286</v>
      </c>
      <c r="M78" s="9"/>
      <c r="N78" s="35"/>
      <c r="O78" s="2" t="s">
        <v>458</v>
      </c>
      <c r="P78" s="2" cm="1">
        <f t="array" ref="P78">_xlfn.XLOOKUP(TRIM(B78),TRIM('[1]wc-product-export-16-3-2026-177'!$A:$A),'[1]wc-product-export-16-3-2026-177'!$D:$D,0,0)</f>
        <v>0</v>
      </c>
      <c r="Q78" s="2" t="e" cm="1">
        <f t="array" ref="Q78">IF(TRIM($D78)="SET",IF($K78="Steak Set1",ROUNDDOWN(IFERROR(MIN(_xlfn._xlws.FILTER(O$3:O$650,ISNUMBER(MATCH(TRIM($B$3:$B$650),TRIM(_xlfn.TEXTSPLIT($N78,",")),0)))),0)/4,0)+P78,IF(IFERROR(MIN(_xlfn._xlws.FILTER(O$3:O$650,ISNUMBER(MATCH(TRIM($B$3:$B$650),TRIM(_xlfn.TEXTSPLIT($N78,",")),0)))),0)&gt;=$E$1,IFERROR(MIN(_xlfn._xlws.FILTER(O$3:O$650,ISNUMBER(MATCH(TRIM($B$3:$B$650),TRIM(_xlfn.TEXTSPLIT($N78,",")),0)))),0)+P78,P78)),IF(TRIM($D78)="EA",IF(TRIM($E78)="M",ROUNDUP(O78*0.85,0),IF(TRIM($E78)="P",O78,P78)),P78))</f>
        <v>#VALUE!</v>
      </c>
      <c r="T78" t="str" cm="1">
        <f t="array" ref="T78">IFERROR(IF(D78="SET",_xlfn.TEXTJOIN(", ",TRUE,_xlfn._xlws.FILTER(TRANSPOSE(TRIM(_xlfn.TEXTSPLIT(N78,","))),COUNTIFS(B$3:B$650,TRANSPOSE(TRIM(_xlfn.TEXTSPLIT(N78,","))),O$3:O$650,"&lt;="&amp;$T$1))),""),"")</f>
        <v/>
      </c>
    </row>
    <row r="79" spans="1:20" ht="14.4" x14ac:dyDescent="0.3">
      <c r="A79" s="1">
        <v>33570</v>
      </c>
      <c r="B79" s="56" t="s">
        <v>698</v>
      </c>
      <c r="C79" s="2" t="s">
        <v>1263</v>
      </c>
      <c r="D79" s="1" t="s">
        <v>624</v>
      </c>
      <c r="E79" s="1" t="s">
        <v>686</v>
      </c>
      <c r="F79" s="9"/>
      <c r="G79" s="9"/>
      <c r="H79" s="16" t="s">
        <v>2</v>
      </c>
      <c r="I79" s="9" t="b">
        <f t="shared" si="2"/>
        <v>0</v>
      </c>
      <c r="J79" s="1" t="s">
        <v>396</v>
      </c>
      <c r="K79" s="1" t="s">
        <v>3</v>
      </c>
      <c r="L79" s="1" t="s">
        <v>3</v>
      </c>
      <c r="M79" s="9"/>
      <c r="N79" s="35"/>
      <c r="O79" s="24">
        <v>249</v>
      </c>
      <c r="P79" s="2" cm="1">
        <f t="array" ref="P79">_xlfn.XLOOKUP(TRIM(B79),TRIM('[1]wc-product-export-16-3-2026-177'!$A:$A),'[1]wc-product-export-16-3-2026-177'!$D:$D,0,0)</f>
        <v>0</v>
      </c>
      <c r="Q79" s="2" cm="1">
        <f t="array" ref="Q79">IF(TRIM($D79)="SET",IF($K79="Steak Set1",ROUNDDOWN(IFERROR(MIN(_xlfn._xlws.FILTER(O$3:O$650,ISNUMBER(MATCH(TRIM($B$3:$B$650),TRIM(_xlfn.TEXTSPLIT($N79,",")),0)))),0)/4,0)+P79,IF(IFERROR(MIN(_xlfn._xlws.FILTER(O$3:O$650,ISNUMBER(MATCH(TRIM($B$3:$B$650),TRIM(_xlfn.TEXTSPLIT($N79,",")),0)))),0)&gt;=$E$1,IFERROR(MIN(_xlfn._xlws.FILTER(O$3:O$650,ISNUMBER(MATCH(TRIM($B$3:$B$650),TRIM(_xlfn.TEXTSPLIT($N79,",")),0)))),0)+P79,P79)),IF(TRIM($D79)="EA",IF(TRIM($E79)="M",ROUNDUP(O79*0.85,0),IF(TRIM($E79)="P",O79,P79)),P79))</f>
        <v>212</v>
      </c>
      <c r="T79" t="str" cm="1">
        <f t="array" ref="T79">IFERROR(IF(D79="SET",_xlfn.TEXTJOIN(", ",TRUE,_xlfn._xlws.FILTER(TRANSPOSE(TRIM(_xlfn.TEXTSPLIT(N79,","))),COUNTIFS(B$3:B$650,TRANSPOSE(TRIM(_xlfn.TEXTSPLIT(N79,","))),O$3:O$650,"&lt;="&amp;$T$1))),""),"")</f>
        <v/>
      </c>
    </row>
    <row r="80" spans="1:20" ht="14.4" x14ac:dyDescent="0.3">
      <c r="A80" s="1">
        <v>33571</v>
      </c>
      <c r="B80" s="56" t="s">
        <v>699</v>
      </c>
      <c r="C80" s="2" t="s">
        <v>1263</v>
      </c>
      <c r="D80" s="1" t="s">
        <v>624</v>
      </c>
      <c r="E80" s="1" t="s">
        <v>686</v>
      </c>
      <c r="F80" s="9"/>
      <c r="G80" s="9"/>
      <c r="H80" s="16" t="s">
        <v>4</v>
      </c>
      <c r="I80" s="9" t="b">
        <f t="shared" si="2"/>
        <v>1</v>
      </c>
      <c r="J80" s="1" t="s">
        <v>396</v>
      </c>
      <c r="K80" s="1" t="s">
        <v>3</v>
      </c>
      <c r="L80" s="1" t="s">
        <v>3</v>
      </c>
      <c r="M80" s="9"/>
      <c r="N80" s="35"/>
      <c r="O80" s="24">
        <v>33</v>
      </c>
      <c r="P80" s="2" cm="1">
        <f t="array" ref="P80">_xlfn.XLOOKUP(TRIM(B80),TRIM('[1]wc-product-export-16-3-2026-177'!$A:$A),'[1]wc-product-export-16-3-2026-177'!$D:$D,0,0)</f>
        <v>0</v>
      </c>
      <c r="Q80" s="2" cm="1">
        <f t="array" ref="Q80">IF(TRIM($D80)="SET",IF($K80="Steak Set1",ROUNDDOWN(IFERROR(MIN(_xlfn._xlws.FILTER(O$3:O$650,ISNUMBER(MATCH(TRIM($B$3:$B$650),TRIM(_xlfn.TEXTSPLIT($N80,",")),0)))),0)/4,0)+P80,IF(IFERROR(MIN(_xlfn._xlws.FILTER(O$3:O$650,ISNUMBER(MATCH(TRIM($B$3:$B$650),TRIM(_xlfn.TEXTSPLIT($N80,",")),0)))),0)&gt;=$E$1,IFERROR(MIN(_xlfn._xlws.FILTER(O$3:O$650,ISNUMBER(MATCH(TRIM($B$3:$B$650),TRIM(_xlfn.TEXTSPLIT($N80,",")),0)))),0)+P80,P80)),IF(TRIM($D80)="EA",IF(TRIM($E80)="M",ROUNDUP(O80*0.85,0),IF(TRIM($E80)="P",O80,P80)),P80))</f>
        <v>29</v>
      </c>
      <c r="T80" t="str" cm="1">
        <f t="array" ref="T80">IFERROR(IF(D80="SET",_xlfn.TEXTJOIN(", ",TRUE,_xlfn._xlws.FILTER(TRANSPOSE(TRIM(_xlfn.TEXTSPLIT(N80,","))),COUNTIFS(B$3:B$650,TRANSPOSE(TRIM(_xlfn.TEXTSPLIT(N80,","))),O$3:O$650,"&lt;="&amp;$T$1))),""),"")</f>
        <v/>
      </c>
    </row>
    <row r="81" spans="1:20" ht="14.4" x14ac:dyDescent="0.3">
      <c r="A81" s="1">
        <v>5045</v>
      </c>
      <c r="B81" s="1" t="s">
        <v>1228</v>
      </c>
      <c r="C81" s="1" t="s">
        <v>1259</v>
      </c>
      <c r="D81" s="1" t="s">
        <v>624</v>
      </c>
      <c r="E81" s="1" t="s">
        <v>623</v>
      </c>
      <c r="F81" s="9"/>
      <c r="G81" s="9"/>
      <c r="H81" s="53" t="s">
        <v>1377</v>
      </c>
      <c r="I81" s="9" t="b">
        <f t="shared" si="2"/>
        <v>0</v>
      </c>
      <c r="J81" s="1" t="s">
        <v>119</v>
      </c>
      <c r="K81" s="1" t="s">
        <v>285</v>
      </c>
      <c r="L81" s="1" t="s">
        <v>285</v>
      </c>
      <c r="M81" s="9"/>
      <c r="N81" s="35"/>
      <c r="O81" s="2">
        <v>7</v>
      </c>
      <c r="P81" s="2" cm="1">
        <f t="array" ref="P81">_xlfn.XLOOKUP(TRIM(B81),TRIM('[1]wc-product-export-16-3-2026-177'!$A:$A),'[1]wc-product-export-16-3-2026-177'!$D:$D,0,0)</f>
        <v>0</v>
      </c>
      <c r="Q81" s="2" cm="1">
        <f t="array" ref="Q81">IF(TRIM($D81)="SET",IF($K81="Steak Set1",ROUNDDOWN(IFERROR(MIN(_xlfn._xlws.FILTER(O$3:O$650,ISNUMBER(MATCH(TRIM($B$3:$B$650),TRIM(_xlfn.TEXTSPLIT($N81,",")),0)))),0)/4,0)+P81,IF(IFERROR(MIN(_xlfn._xlws.FILTER(O$3:O$650,ISNUMBER(MATCH(TRIM($B$3:$B$650),TRIM(_xlfn.TEXTSPLIT($N81,",")),0)))),0)&gt;=$E$1,IFERROR(MIN(_xlfn._xlws.FILTER(O$3:O$650,ISNUMBER(MATCH(TRIM($B$3:$B$650),TRIM(_xlfn.TEXTSPLIT($N81,",")),0)))),0)+P81,P81)),IF(TRIM($D81)="EA",IF(TRIM($E81)="M",ROUNDUP(O81*0.85,0),IF(TRIM($E81)="P",O81,P81)),P81))</f>
        <v>7</v>
      </c>
      <c r="T81" t="str" cm="1">
        <f t="array" ref="T81">IFERROR(IF(D81="SET",_xlfn.TEXTJOIN(", ",TRUE,_xlfn._xlws.FILTER(TRANSPOSE(TRIM(_xlfn.TEXTSPLIT(N81,","))),COUNTIFS(B$3:B$650,TRANSPOSE(TRIM(_xlfn.TEXTSPLIT(N81,","))),O$3:O$650,"&lt;="&amp;$T$1))),""),"")</f>
        <v/>
      </c>
    </row>
    <row r="82" spans="1:20" ht="14.4" x14ac:dyDescent="0.3">
      <c r="A82" s="1">
        <v>33572</v>
      </c>
      <c r="B82" s="56" t="s">
        <v>700</v>
      </c>
      <c r="C82" s="2" t="s">
        <v>1263</v>
      </c>
      <c r="D82" s="1" t="s">
        <v>624</v>
      </c>
      <c r="E82" s="1" t="s">
        <v>686</v>
      </c>
      <c r="F82" s="9"/>
      <c r="G82" s="9"/>
      <c r="H82" s="16" t="s">
        <v>5</v>
      </c>
      <c r="I82" s="9" t="b">
        <f t="shared" si="2"/>
        <v>0</v>
      </c>
      <c r="J82" s="1" t="s">
        <v>396</v>
      </c>
      <c r="K82" s="1" t="s">
        <v>3</v>
      </c>
      <c r="L82" s="1" t="s">
        <v>3</v>
      </c>
      <c r="M82" s="9"/>
      <c r="N82" s="35"/>
      <c r="O82" s="24">
        <v>67</v>
      </c>
      <c r="P82" s="2" cm="1">
        <f t="array" ref="P82">_xlfn.XLOOKUP(TRIM(B82),TRIM('[1]wc-product-export-16-3-2026-177'!$A:$A),'[1]wc-product-export-16-3-2026-177'!$D:$D,0,0)</f>
        <v>0</v>
      </c>
      <c r="Q82" s="2" cm="1">
        <f t="array" ref="Q82">IF(TRIM($D82)="SET",IF($K82="Steak Set1",ROUNDDOWN(IFERROR(MIN(_xlfn._xlws.FILTER(O$3:O$650,ISNUMBER(MATCH(TRIM($B$3:$B$650),TRIM(_xlfn.TEXTSPLIT($N82,",")),0)))),0)/4,0)+P82,IF(IFERROR(MIN(_xlfn._xlws.FILTER(O$3:O$650,ISNUMBER(MATCH(TRIM($B$3:$B$650),TRIM(_xlfn.TEXTSPLIT($N82,",")),0)))),0)&gt;=$E$1,IFERROR(MIN(_xlfn._xlws.FILTER(O$3:O$650,ISNUMBER(MATCH(TRIM($B$3:$B$650),TRIM(_xlfn.TEXTSPLIT($N82,",")),0)))),0)+P82,P82)),IF(TRIM($D82)="EA",IF(TRIM($E82)="M",ROUNDUP(O82*0.85,0),IF(TRIM($E82)="P",O82,P82)),P82))</f>
        <v>57</v>
      </c>
      <c r="T82" t="str" cm="1">
        <f t="array" ref="T82">IFERROR(IF(D82="SET",_xlfn.TEXTJOIN(", ",TRUE,_xlfn._xlws.FILTER(TRANSPOSE(TRIM(_xlfn.TEXTSPLIT(N82,","))),COUNTIFS(B$3:B$650,TRANSPOSE(TRIM(_xlfn.TEXTSPLIT(N82,","))),O$3:O$650,"&lt;="&amp;$T$1))),""),"")</f>
        <v/>
      </c>
    </row>
    <row r="83" spans="1:20" ht="14.4" x14ac:dyDescent="0.3">
      <c r="A83" s="1">
        <v>33573</v>
      </c>
      <c r="B83" s="55" t="s">
        <v>701</v>
      </c>
      <c r="C83" s="2" t="s">
        <v>1263</v>
      </c>
      <c r="D83" s="1" t="s">
        <v>628</v>
      </c>
      <c r="E83" s="1" t="s">
        <v>686</v>
      </c>
      <c r="F83" s="9"/>
      <c r="G83" s="9"/>
      <c r="H83" s="16" t="s">
        <v>601</v>
      </c>
      <c r="I83" s="9" t="b">
        <f t="shared" si="2"/>
        <v>1</v>
      </c>
      <c r="J83" s="1" t="s">
        <v>396</v>
      </c>
      <c r="K83" s="1" t="s">
        <v>14</v>
      </c>
      <c r="L83" s="1" t="s">
        <v>14</v>
      </c>
      <c r="M83" s="9"/>
      <c r="N83" s="35" t="s">
        <v>1328</v>
      </c>
      <c r="O83" s="24">
        <v>41</v>
      </c>
      <c r="P83" s="2" cm="1">
        <f t="array" ref="P83">_xlfn.XLOOKUP(TRIM(B83),TRIM('[1]wc-product-export-16-3-2026-177'!$A:$A),'[1]wc-product-export-16-3-2026-177'!$D:$D,0,0)</f>
        <v>11</v>
      </c>
      <c r="Q83" s="2" cm="1">
        <f t="array" ref="Q83">IF(TRIM($D83)="SET",IF($K83="Steak Set1",ROUNDDOWN(IFERROR(MIN(_xlfn._xlws.FILTER(O$3:O$650,ISNUMBER(MATCH(TRIM($B$3:$B$650),TRIM(_xlfn.TEXTSPLIT($N83,",")),0)))),0)/4,0)+P83,IF(IFERROR(MIN(_xlfn._xlws.FILTER(O$3:O$650,ISNUMBER(MATCH(TRIM($B$3:$B$650),TRIM(_xlfn.TEXTSPLIT($N83,",")),0)))),0)&gt;=$E$1,IFERROR(MIN(_xlfn._xlws.FILTER(O$3:O$650,ISNUMBER(MATCH(TRIM($B$3:$B$650),TRIM(_xlfn.TEXTSPLIT($N83,",")),0)))),0)+P83,P83)),IF(TRIM($D83)="EA",IF(TRIM($E83)="M",ROUNDUP(O83*0.85,0),IF(TRIM($E83)="P",O83,P83)),P83))</f>
        <v>44</v>
      </c>
      <c r="T83" t="str" cm="1">
        <f t="array" ref="T83">IFERROR(IF(D83="SET",_xlfn.TEXTJOIN(", ",TRUE,_xlfn._xlws.FILTER(TRANSPOSE(TRIM(_xlfn.TEXTSPLIT(N83,","))),COUNTIFS(B$3:B$650,TRANSPOSE(TRIM(_xlfn.TEXTSPLIT(N83,","))),O$3:O$650,"&lt;="&amp;$T$1))),""),"")</f>
        <v/>
      </c>
    </row>
    <row r="84" spans="1:20" ht="14.4" x14ac:dyDescent="0.3">
      <c r="A84" s="1">
        <v>5049</v>
      </c>
      <c r="B84" s="1" t="s">
        <v>1224</v>
      </c>
      <c r="C84" s="1" t="s">
        <v>1259</v>
      </c>
      <c r="D84" s="1" t="s">
        <v>624</v>
      </c>
      <c r="E84" s="1" t="s">
        <v>623</v>
      </c>
      <c r="F84" s="9"/>
      <c r="G84" s="9"/>
      <c r="H84" s="53" t="s">
        <v>1381</v>
      </c>
      <c r="I84" s="9" t="b">
        <f t="shared" si="2"/>
        <v>0</v>
      </c>
      <c r="J84" s="1" t="s">
        <v>119</v>
      </c>
      <c r="K84" s="1" t="s">
        <v>285</v>
      </c>
      <c r="L84" s="1" t="s">
        <v>285</v>
      </c>
      <c r="M84" s="9"/>
      <c r="N84" s="35"/>
      <c r="O84" s="2">
        <v>5</v>
      </c>
      <c r="P84" s="2" cm="1">
        <f t="array" ref="P84">_xlfn.XLOOKUP(TRIM(B84),TRIM('[1]wc-product-export-16-3-2026-177'!$A:$A),'[1]wc-product-export-16-3-2026-177'!$D:$D,0,0)</f>
        <v>0</v>
      </c>
      <c r="Q84" s="2" cm="1">
        <f t="array" ref="Q84">IF(TRIM($D84)="SET",IF($K84="Steak Set1",ROUNDDOWN(IFERROR(MIN(_xlfn._xlws.FILTER(O$3:O$650,ISNUMBER(MATCH(TRIM($B$3:$B$650),TRIM(_xlfn.TEXTSPLIT($N84,",")),0)))),0)/4,0)+P84,IF(IFERROR(MIN(_xlfn._xlws.FILTER(O$3:O$650,ISNUMBER(MATCH(TRIM($B$3:$B$650),TRIM(_xlfn.TEXTSPLIT($N84,",")),0)))),0)&gt;=$E$1,IFERROR(MIN(_xlfn._xlws.FILTER(O$3:O$650,ISNUMBER(MATCH(TRIM($B$3:$B$650),TRIM(_xlfn.TEXTSPLIT($N84,",")),0)))),0)+P84,P84)),IF(TRIM($D84)="EA",IF(TRIM($E84)="M",ROUNDUP(O84*0.85,0),IF(TRIM($E84)="P",O84,P84)),P84))</f>
        <v>5</v>
      </c>
      <c r="T84" t="str" cm="1">
        <f t="array" ref="T84">IFERROR(IF(D84="SET",_xlfn.TEXTJOIN(", ",TRUE,_xlfn._xlws.FILTER(TRANSPOSE(TRIM(_xlfn.TEXTSPLIT(N84,","))),COUNTIFS(B$3:B$650,TRANSPOSE(TRIM(_xlfn.TEXTSPLIT(N84,","))),O$3:O$650,"&lt;="&amp;$T$1))),""),"")</f>
        <v/>
      </c>
    </row>
    <row r="85" spans="1:20" ht="14.4" x14ac:dyDescent="0.3">
      <c r="A85" s="1">
        <v>33574</v>
      </c>
      <c r="B85" s="55" t="s">
        <v>702</v>
      </c>
      <c r="C85" s="2" t="s">
        <v>1263</v>
      </c>
      <c r="D85" s="1" t="s">
        <v>628</v>
      </c>
      <c r="E85" s="1" t="s">
        <v>686</v>
      </c>
      <c r="F85" s="9"/>
      <c r="G85" s="9"/>
      <c r="H85" s="16" t="s">
        <v>602</v>
      </c>
      <c r="I85" s="9" t="b">
        <f t="shared" si="2"/>
        <v>1</v>
      </c>
      <c r="J85" s="1" t="s">
        <v>396</v>
      </c>
      <c r="K85" s="1" t="s">
        <v>14</v>
      </c>
      <c r="L85" s="1" t="s">
        <v>14</v>
      </c>
      <c r="M85" s="9"/>
      <c r="N85" s="35" t="s">
        <v>1330</v>
      </c>
      <c r="O85" s="24">
        <v>35</v>
      </c>
      <c r="P85" s="2" cm="1">
        <f t="array" ref="P85">_xlfn.XLOOKUP(TRIM(B85),TRIM('[1]wc-product-export-16-3-2026-177'!$A:$A),'[1]wc-product-export-16-3-2026-177'!$D:$D,0,0)</f>
        <v>5</v>
      </c>
      <c r="Q85" s="2" cm="1">
        <f t="array" ref="Q85">IF(TRIM($D85)="SET",IF($K85="Steak Set1",ROUNDDOWN(IFERROR(MIN(_xlfn._xlws.FILTER(O$3:O$650,ISNUMBER(MATCH(TRIM($B$3:$B$650),TRIM(_xlfn.TEXTSPLIT($N85,",")),0)))),0)/4,0)+P85,IF(IFERROR(MIN(_xlfn._xlws.FILTER(O$3:O$650,ISNUMBER(MATCH(TRIM($B$3:$B$650),TRIM(_xlfn.TEXTSPLIT($N85,",")),0)))),0)&gt;=$E$1,IFERROR(MIN(_xlfn._xlws.FILTER(O$3:O$650,ISNUMBER(MATCH(TRIM($B$3:$B$650),TRIM(_xlfn.TEXTSPLIT($N85,",")),0)))),0)+P85,P85)),IF(TRIM($D85)="EA",IF(TRIM($E85)="M",ROUNDUP(O85*0.85,0),IF(TRIM($E85)="P",O85,P85)),P85))</f>
        <v>31</v>
      </c>
      <c r="T85" t="str" cm="1">
        <f t="array" ref="T85">IFERROR(IF(D85="SET",_xlfn.TEXTJOIN(", ",TRUE,_xlfn._xlws.FILTER(TRANSPOSE(TRIM(_xlfn.TEXTSPLIT(N85,","))),COUNTIFS(B$3:B$650,TRANSPOSE(TRIM(_xlfn.TEXTSPLIT(N85,","))),O$3:O$650,"&lt;="&amp;$T$1))),""),"")</f>
        <v/>
      </c>
    </row>
    <row r="86" spans="1:20" ht="14.4" x14ac:dyDescent="0.3">
      <c r="A86" s="1">
        <v>33575</v>
      </c>
      <c r="B86" s="56" t="s">
        <v>1176</v>
      </c>
      <c r="C86" s="2" t="s">
        <v>1263</v>
      </c>
      <c r="D86" s="1" t="s">
        <v>624</v>
      </c>
      <c r="E86" s="1" t="s">
        <v>686</v>
      </c>
      <c r="F86" s="9" t="s">
        <v>1608</v>
      </c>
      <c r="G86" s="9"/>
      <c r="H86" s="16" t="s">
        <v>1177</v>
      </c>
      <c r="I86" s="9" t="b">
        <f t="shared" si="2"/>
        <v>0</v>
      </c>
      <c r="J86" s="1" t="s">
        <v>396</v>
      </c>
      <c r="K86" s="1" t="s">
        <v>3</v>
      </c>
      <c r="L86" s="1" t="s">
        <v>3</v>
      </c>
      <c r="M86" s="9"/>
      <c r="N86" s="35"/>
      <c r="O86" s="24">
        <v>48</v>
      </c>
      <c r="P86" s="2" cm="1">
        <f t="array" ref="P86">_xlfn.XLOOKUP(TRIM(B86),TRIM('[1]wc-product-export-16-3-2026-177'!$A:$A),'[1]wc-product-export-16-3-2026-177'!$D:$D,0,0)</f>
        <v>0</v>
      </c>
      <c r="Q86" s="2" cm="1">
        <f t="array" ref="Q86">IF(TRIM($D86)="SET",IF($K86="Steak Set1",ROUNDDOWN(IFERROR(MIN(_xlfn._xlws.FILTER(O$3:O$650,ISNUMBER(MATCH(TRIM($B$3:$B$650),TRIM(_xlfn.TEXTSPLIT($N86,",")),0)))),0)/4,0)+P86,IF(IFERROR(MIN(_xlfn._xlws.FILTER(O$3:O$650,ISNUMBER(MATCH(TRIM($B$3:$B$650),TRIM(_xlfn.TEXTSPLIT($N86,",")),0)))),0)&gt;=$E$1,IFERROR(MIN(_xlfn._xlws.FILTER(O$3:O$650,ISNUMBER(MATCH(TRIM($B$3:$B$650),TRIM(_xlfn.TEXTSPLIT($N86,",")),0)))),0)+P86,P86)),IF(TRIM($D86)="EA",IF(TRIM($E86)="M",ROUNDUP(O86*0.85,0),IF(TRIM($E86)="P",O86,P86)),P86))</f>
        <v>41</v>
      </c>
      <c r="T86" t="str" cm="1">
        <f t="array" ref="T86">IFERROR(IF(D86="SET",_xlfn.TEXTJOIN(", ",TRUE,_xlfn._xlws.FILTER(TRANSPOSE(TRIM(_xlfn.TEXTSPLIT(N86,","))),COUNTIFS(B$3:B$650,TRANSPOSE(TRIM(_xlfn.TEXTSPLIT(N86,","))),O$3:O$650,"&lt;="&amp;$T$1))),""),"")</f>
        <v/>
      </c>
    </row>
    <row r="87" spans="1:20" ht="14.4" x14ac:dyDescent="0.3">
      <c r="A87" s="1">
        <v>33576</v>
      </c>
      <c r="B87" s="55" t="s">
        <v>1178</v>
      </c>
      <c r="C87" s="2" t="s">
        <v>1263</v>
      </c>
      <c r="D87" s="1" t="s">
        <v>628</v>
      </c>
      <c r="E87" s="1" t="s">
        <v>686</v>
      </c>
      <c r="F87" s="9" t="s">
        <v>1608</v>
      </c>
      <c r="G87" s="9"/>
      <c r="H87" s="16" t="s">
        <v>1179</v>
      </c>
      <c r="I87" s="9" t="b">
        <f t="shared" si="2"/>
        <v>0</v>
      </c>
      <c r="J87" s="1" t="s">
        <v>396</v>
      </c>
      <c r="K87" s="1" t="s">
        <v>14</v>
      </c>
      <c r="L87" s="1" t="s">
        <v>14</v>
      </c>
      <c r="M87" s="9"/>
      <c r="N87" s="35" t="s">
        <v>1361</v>
      </c>
      <c r="O87" s="24">
        <v>38</v>
      </c>
      <c r="P87" s="2" cm="1">
        <f t="array" ref="P87">_xlfn.XLOOKUP(TRIM(B87),TRIM('[1]wc-product-export-16-3-2026-177'!$A:$A),'[1]wc-product-export-16-3-2026-177'!$D:$D,0,0)</f>
        <v>8</v>
      </c>
      <c r="Q87" s="2" cm="1">
        <f t="array" ref="Q87">IF(TRIM($D87)="SET",IF($K87="Steak Set1",ROUNDDOWN(IFERROR(MIN(_xlfn._xlws.FILTER(O$3:O$650,ISNUMBER(MATCH(TRIM($B$3:$B$650),TRIM(_xlfn.TEXTSPLIT($N87,",")),0)))),0)/4,0)+P87,IF(IFERROR(MIN(_xlfn._xlws.FILTER(O$3:O$650,ISNUMBER(MATCH(TRIM($B$3:$B$650),TRIM(_xlfn.TEXTSPLIT($N87,",")),0)))),0)&gt;=$E$1,IFERROR(MIN(_xlfn._xlws.FILTER(O$3:O$650,ISNUMBER(MATCH(TRIM($B$3:$B$650),TRIM(_xlfn.TEXTSPLIT($N87,",")),0)))),0)+P87,P87)),IF(TRIM($D87)="EA",IF(TRIM($E87)="M",ROUNDUP(O87*0.85,0),IF(TRIM($E87)="P",O87,P87)),P87))</f>
        <v>41</v>
      </c>
      <c r="T87" t="str" cm="1">
        <f t="array" ref="T87">IFERROR(IF(D87="SET",_xlfn.TEXTJOIN(", ",TRUE,_xlfn._xlws.FILTER(TRANSPOSE(TRIM(_xlfn.TEXTSPLIT(N87,","))),COUNTIFS(B$3:B$650,TRANSPOSE(TRIM(_xlfn.TEXTSPLIT(N87,","))),O$3:O$650,"&lt;="&amp;$T$1))),""),"")</f>
        <v/>
      </c>
    </row>
    <row r="88" spans="1:20" ht="14.4" x14ac:dyDescent="0.3">
      <c r="A88" s="1">
        <v>33579</v>
      </c>
      <c r="B88" s="55" t="s">
        <v>703</v>
      </c>
      <c r="C88" s="2" t="s">
        <v>1263</v>
      </c>
      <c r="D88" s="1" t="s">
        <v>624</v>
      </c>
      <c r="E88" s="1" t="s">
        <v>686</v>
      </c>
      <c r="F88" s="9"/>
      <c r="G88" s="9"/>
      <c r="H88" s="16" t="s">
        <v>282</v>
      </c>
      <c r="I88" s="9" t="b">
        <f t="shared" si="2"/>
        <v>1</v>
      </c>
      <c r="J88" s="1" t="s">
        <v>396</v>
      </c>
      <c r="K88" s="1" t="s">
        <v>3</v>
      </c>
      <c r="L88" s="1" t="s">
        <v>3</v>
      </c>
      <c r="M88" s="9"/>
      <c r="N88" s="35"/>
      <c r="O88" s="24">
        <v>26</v>
      </c>
      <c r="P88" s="2" cm="1">
        <f t="array" ref="P88">_xlfn.XLOOKUP(TRIM(B88),TRIM('[1]wc-product-export-16-3-2026-177'!$A:$A),'[1]wc-product-export-16-3-2026-177'!$D:$D,0,0)</f>
        <v>0</v>
      </c>
      <c r="Q88" s="2" cm="1">
        <f t="array" ref="Q88">IF(TRIM($D88)="SET",IF($K88="Steak Set1",ROUNDDOWN(IFERROR(MIN(_xlfn._xlws.FILTER(O$3:O$650,ISNUMBER(MATCH(TRIM($B$3:$B$650),TRIM(_xlfn.TEXTSPLIT($N88,",")),0)))),0)/4,0)+P88,IF(IFERROR(MIN(_xlfn._xlws.FILTER(O$3:O$650,ISNUMBER(MATCH(TRIM($B$3:$B$650),TRIM(_xlfn.TEXTSPLIT($N88,",")),0)))),0)&gt;=$E$1,IFERROR(MIN(_xlfn._xlws.FILTER(O$3:O$650,ISNUMBER(MATCH(TRIM($B$3:$B$650),TRIM(_xlfn.TEXTSPLIT($N88,",")),0)))),0)+P88,P88)),IF(TRIM($D88)="EA",IF(TRIM($E88)="M",ROUNDUP(O88*0.85,0),IF(TRIM($E88)="P",O88,P88)),P88))</f>
        <v>23</v>
      </c>
      <c r="T88" t="str" cm="1">
        <f t="array" ref="T88">IFERROR(IF(D88="SET",_xlfn.TEXTJOIN(", ",TRUE,_xlfn._xlws.FILTER(TRANSPOSE(TRIM(_xlfn.TEXTSPLIT(N88,","))),COUNTIFS(B$3:B$650,TRANSPOSE(TRIM(_xlfn.TEXTSPLIT(N88,","))),O$3:O$650,"&lt;="&amp;$T$1))),""),"")</f>
        <v/>
      </c>
    </row>
    <row r="89" spans="1:20" ht="14.4" x14ac:dyDescent="0.3">
      <c r="A89" s="1">
        <v>33600</v>
      </c>
      <c r="B89" s="1" t="s">
        <v>704</v>
      </c>
      <c r="C89" s="2" t="s">
        <v>1263</v>
      </c>
      <c r="D89" s="1" t="s">
        <v>628</v>
      </c>
      <c r="E89" s="1" t="s">
        <v>686</v>
      </c>
      <c r="F89" s="9" t="s">
        <v>1689</v>
      </c>
      <c r="G89" s="9"/>
      <c r="H89" s="53" t="s">
        <v>1359</v>
      </c>
      <c r="I89" s="9" t="b">
        <f t="shared" si="2"/>
        <v>0</v>
      </c>
      <c r="J89" s="1" t="s">
        <v>408</v>
      </c>
      <c r="K89" s="1" t="s">
        <v>291</v>
      </c>
      <c r="L89" s="1" t="s">
        <v>281</v>
      </c>
      <c r="M89" s="9"/>
      <c r="N89" s="35" t="s">
        <v>1344</v>
      </c>
      <c r="O89" s="2" t="s">
        <v>458</v>
      </c>
      <c r="P89" s="2" cm="1">
        <f t="array" ref="P89">_xlfn.XLOOKUP(TRIM(B89),TRIM('[1]wc-product-export-16-3-2026-177'!$A:$A),'[1]wc-product-export-16-3-2026-177'!$D:$D,0,0)</f>
        <v>0</v>
      </c>
      <c r="Q89" s="2" cm="1">
        <f t="array" ref="Q89">IF(TRIM($D89)="SET",IF($K89="Steak Set1",ROUNDDOWN(IFERROR(MIN(_xlfn._xlws.FILTER(O$3:O$650,ISNUMBER(MATCH(TRIM($B$3:$B$650),TRIM(_xlfn.TEXTSPLIT($N89,",")),0)))),0)/4,0)+P89,IF(IFERROR(MIN(_xlfn._xlws.FILTER(O$3:O$650,ISNUMBER(MATCH(TRIM($B$3:$B$650),TRIM(_xlfn.TEXTSPLIT($N89,",")),0)))),0)&gt;=$E$1,IFERROR(MIN(_xlfn._xlws.FILTER(O$3:O$650,ISNUMBER(MATCH(TRIM($B$3:$B$650),TRIM(_xlfn.TEXTSPLIT($N89,",")),0)))),0)+P89,P89)),IF(TRIM($D89)="EA",IF(TRIM($E89)="M",ROUNDUP(O89*0.85,0),IF(TRIM($E89)="P",O89,P89)),P89))</f>
        <v>3</v>
      </c>
      <c r="T89" t="str" cm="1">
        <f t="array" ref="T89">IFERROR(IF(D89="SET",_xlfn.TEXTJOIN(", ",TRUE,_xlfn._xlws.FILTER(TRANSPOSE(TRIM(_xlfn.TEXTSPLIT(N89,","))),COUNTIFS(B$3:B$650,TRANSPOSE(TRIM(_xlfn.TEXTSPLIT(N89,","))),O$3:O$650,"&lt;="&amp;$T$1))),""),"")</f>
        <v>33658</v>
      </c>
    </row>
    <row r="90" spans="1:20" ht="14.4" x14ac:dyDescent="0.3">
      <c r="A90" s="1">
        <v>33658</v>
      </c>
      <c r="B90" s="55" t="s">
        <v>705</v>
      </c>
      <c r="C90" s="2" t="s">
        <v>1263</v>
      </c>
      <c r="D90" s="1" t="s">
        <v>624</v>
      </c>
      <c r="E90" s="1" t="s">
        <v>686</v>
      </c>
      <c r="F90" s="9"/>
      <c r="G90" s="9"/>
      <c r="H90" s="16" t="s">
        <v>109</v>
      </c>
      <c r="I90" s="9" t="b">
        <f t="shared" si="2"/>
        <v>0</v>
      </c>
      <c r="J90" s="1" t="s">
        <v>408</v>
      </c>
      <c r="K90" s="1" t="s">
        <v>284</v>
      </c>
      <c r="L90" s="1" t="s">
        <v>1724</v>
      </c>
      <c r="M90" s="9"/>
      <c r="N90" s="35"/>
      <c r="O90" s="24">
        <v>3</v>
      </c>
      <c r="P90" s="2" cm="1">
        <f t="array" ref="P90">_xlfn.XLOOKUP(TRIM(B90),TRIM('[1]wc-product-export-16-3-2026-177'!$A:$A),'[1]wc-product-export-16-3-2026-177'!$D:$D,0,0)</f>
        <v>0</v>
      </c>
      <c r="Q90" s="2" cm="1">
        <f t="array" ref="Q90">IF(TRIM($D90)="SET",IF($K90="Steak Set1",ROUNDDOWN(IFERROR(MIN(_xlfn._xlws.FILTER(O$3:O$650,ISNUMBER(MATCH(TRIM($B$3:$B$650),TRIM(_xlfn.TEXTSPLIT($N90,",")),0)))),0)/4,0)+P90,IF(IFERROR(MIN(_xlfn._xlws.FILTER(O$3:O$650,ISNUMBER(MATCH(TRIM($B$3:$B$650),TRIM(_xlfn.TEXTSPLIT($N90,",")),0)))),0)&gt;=$E$1,IFERROR(MIN(_xlfn._xlws.FILTER(O$3:O$650,ISNUMBER(MATCH(TRIM($B$3:$B$650),TRIM(_xlfn.TEXTSPLIT($N90,",")),0)))),0)+P90,P90)),IF(TRIM($D90)="EA",IF(TRIM($E90)="M",ROUNDUP(O90*0.85,0),IF(TRIM($E90)="P",O90,P90)),P90))</f>
        <v>3</v>
      </c>
      <c r="T90" t="str" cm="1">
        <f t="array" ref="T90">IFERROR(IF(D90="SET",_xlfn.TEXTJOIN(", ",TRUE,_xlfn._xlws.FILTER(TRANSPOSE(TRIM(_xlfn.TEXTSPLIT(N90,","))),COUNTIFS(B$3:B$650,TRANSPOSE(TRIM(_xlfn.TEXTSPLIT(N90,","))),O$3:O$650,"&lt;="&amp;$T$1))),""),"")</f>
        <v/>
      </c>
    </row>
    <row r="91" spans="1:20" ht="14.4" x14ac:dyDescent="0.3">
      <c r="A91" s="1">
        <v>33670</v>
      </c>
      <c r="B91" s="56" t="s">
        <v>706</v>
      </c>
      <c r="C91" s="2" t="s">
        <v>1263</v>
      </c>
      <c r="D91" s="1" t="s">
        <v>624</v>
      </c>
      <c r="E91" s="1" t="s">
        <v>686</v>
      </c>
      <c r="F91" s="9"/>
      <c r="G91" s="9"/>
      <c r="H91" s="16" t="s">
        <v>134</v>
      </c>
      <c r="I91" s="9" t="b">
        <f t="shared" si="2"/>
        <v>0</v>
      </c>
      <c r="J91" s="1" t="s">
        <v>397</v>
      </c>
      <c r="K91" s="1" t="s">
        <v>3</v>
      </c>
      <c r="L91" s="1" t="s">
        <v>3</v>
      </c>
      <c r="M91" s="9"/>
      <c r="N91" s="35"/>
      <c r="O91" s="24">
        <v>192</v>
      </c>
      <c r="P91" s="2" cm="1">
        <f t="array" ref="P91">_xlfn.XLOOKUP(TRIM(B91),TRIM('[1]wc-product-export-16-3-2026-177'!$A:$A),'[1]wc-product-export-16-3-2026-177'!$D:$D,0,0)</f>
        <v>0</v>
      </c>
      <c r="Q91" s="2" cm="1">
        <f t="array" ref="Q91">IF(TRIM($D91)="SET",IF($K91="Steak Set1",ROUNDDOWN(IFERROR(MIN(_xlfn._xlws.FILTER(O$3:O$650,ISNUMBER(MATCH(TRIM($B$3:$B$650),TRIM(_xlfn.TEXTSPLIT($N91,",")),0)))),0)/4,0)+P91,IF(IFERROR(MIN(_xlfn._xlws.FILTER(O$3:O$650,ISNUMBER(MATCH(TRIM($B$3:$B$650),TRIM(_xlfn.TEXTSPLIT($N91,",")),0)))),0)&gt;=$E$1,IFERROR(MIN(_xlfn._xlws.FILTER(O$3:O$650,ISNUMBER(MATCH(TRIM($B$3:$B$650),TRIM(_xlfn.TEXTSPLIT($N91,",")),0)))),0)+P91,P91)),IF(TRIM($D91)="EA",IF(TRIM($E91)="M",ROUNDUP(O91*0.85,0),IF(TRIM($E91)="P",O91,P91)),P91))</f>
        <v>164</v>
      </c>
      <c r="T91" t="str" cm="1">
        <f t="array" ref="T91">IFERROR(IF(D91="SET",_xlfn.TEXTJOIN(", ",TRUE,_xlfn._xlws.FILTER(TRANSPOSE(TRIM(_xlfn.TEXTSPLIT(N91,","))),COUNTIFS(B$3:B$650,TRANSPOSE(TRIM(_xlfn.TEXTSPLIT(N91,","))),O$3:O$650,"&lt;="&amp;$T$1))),""),"")</f>
        <v/>
      </c>
    </row>
    <row r="92" spans="1:20" ht="14.4" x14ac:dyDescent="0.3">
      <c r="A92" s="1">
        <v>33671</v>
      </c>
      <c r="B92" s="56" t="s">
        <v>707</v>
      </c>
      <c r="C92" s="2" t="s">
        <v>1263</v>
      </c>
      <c r="D92" s="1" t="s">
        <v>624</v>
      </c>
      <c r="E92" s="1" t="s">
        <v>686</v>
      </c>
      <c r="F92" s="9"/>
      <c r="G92" s="9"/>
      <c r="H92" s="16" t="s">
        <v>137</v>
      </c>
      <c r="I92" s="9" t="b">
        <f t="shared" si="2"/>
        <v>1</v>
      </c>
      <c r="J92" s="1" t="s">
        <v>397</v>
      </c>
      <c r="K92" s="1" t="s">
        <v>3</v>
      </c>
      <c r="L92" s="1" t="s">
        <v>3</v>
      </c>
      <c r="M92" s="9"/>
      <c r="N92" s="35"/>
      <c r="O92" s="24">
        <v>58</v>
      </c>
      <c r="P92" s="2" cm="1">
        <f t="array" ref="P92">_xlfn.XLOOKUP(TRIM(B92),TRIM('[1]wc-product-export-16-3-2026-177'!$A:$A),'[1]wc-product-export-16-3-2026-177'!$D:$D,0,0)</f>
        <v>0</v>
      </c>
      <c r="Q92" s="2" cm="1">
        <f t="array" ref="Q92">IF(TRIM($D92)="SET",IF($K92="Steak Set1",ROUNDDOWN(IFERROR(MIN(_xlfn._xlws.FILTER(O$3:O$650,ISNUMBER(MATCH(TRIM($B$3:$B$650),TRIM(_xlfn.TEXTSPLIT($N92,",")),0)))),0)/4,0)+P92,IF(IFERROR(MIN(_xlfn._xlws.FILTER(O$3:O$650,ISNUMBER(MATCH(TRIM($B$3:$B$650),TRIM(_xlfn.TEXTSPLIT($N92,",")),0)))),0)&gt;=$E$1,IFERROR(MIN(_xlfn._xlws.FILTER(O$3:O$650,ISNUMBER(MATCH(TRIM($B$3:$B$650),TRIM(_xlfn.TEXTSPLIT($N92,",")),0)))),0)+P92,P92)),IF(TRIM($D92)="EA",IF(TRIM($E92)="M",ROUNDUP(O92*0.85,0),IF(TRIM($E92)="P",O92,P92)),P92))</f>
        <v>50</v>
      </c>
      <c r="T92" t="str" cm="1">
        <f t="array" ref="T92">IFERROR(IF(D92="SET",_xlfn.TEXTJOIN(", ",TRUE,_xlfn._xlws.FILTER(TRANSPOSE(TRIM(_xlfn.TEXTSPLIT(N92,","))),COUNTIFS(B$3:B$650,TRANSPOSE(TRIM(_xlfn.TEXTSPLIT(N92,","))),O$3:O$650,"&lt;="&amp;$T$1))),""),"")</f>
        <v/>
      </c>
    </row>
    <row r="93" spans="1:20" ht="14.4" hidden="1" x14ac:dyDescent="0.3">
      <c r="A93" s="1">
        <v>7011</v>
      </c>
      <c r="B93" s="1" t="s">
        <v>1174</v>
      </c>
      <c r="C93" s="1" t="s">
        <v>1259</v>
      </c>
      <c r="D93" s="1" t="s">
        <v>624</v>
      </c>
      <c r="E93" s="1" t="s">
        <v>623</v>
      </c>
      <c r="F93" s="9"/>
      <c r="G93" s="9"/>
      <c r="H93" s="53" t="s">
        <v>1175</v>
      </c>
      <c r="I93" s="9" t="b">
        <f t="shared" si="2"/>
        <v>0</v>
      </c>
      <c r="J93" s="1" t="s">
        <v>394</v>
      </c>
      <c r="K93" s="1" t="s">
        <v>295</v>
      </c>
      <c r="L93" s="1" t="s">
        <v>295</v>
      </c>
      <c r="M93" s="9"/>
      <c r="N93" s="35"/>
      <c r="O93" s="2" t="s">
        <v>458</v>
      </c>
      <c r="P93" s="2" cm="1">
        <f t="array" ref="P93">_xlfn.XLOOKUP(TRIM(B93),TRIM('[1]wc-product-export-16-3-2026-177'!$A:$A),'[1]wc-product-export-16-3-2026-177'!$D:$D,0,0)</f>
        <v>0</v>
      </c>
      <c r="Q93" s="2" t="str" cm="1">
        <f t="array" ref="Q93">IF(TRIM($D93)="SET",IF($K93="Steak Set1",ROUNDDOWN(IFERROR(MIN(_xlfn._xlws.FILTER(O$3:O$650,ISNUMBER(MATCH(TRIM($B$3:$B$650),TRIM(_xlfn.TEXTSPLIT($N93,",")),0)))),0)/4,0)+P93,IF(IFERROR(MIN(_xlfn._xlws.FILTER(O$3:O$650,ISNUMBER(MATCH(TRIM($B$3:$B$650),TRIM(_xlfn.TEXTSPLIT($N93,",")),0)))),0)&gt;=$E$1,IFERROR(MIN(_xlfn._xlws.FILTER(O$3:O$650,ISNUMBER(MATCH(TRIM($B$3:$B$650),TRIM(_xlfn.TEXTSPLIT($N93,",")),0)))),0)+P93,P93)),IF(TRIM($D93)="EA",IF(TRIM($E93)="M",ROUNDUP(O93*0.85,0),IF(TRIM($E93)="P",O93,P93)),P93))</f>
        <v>N/A</v>
      </c>
      <c r="T93" t="str" cm="1">
        <f t="array" ref="T93">IFERROR(IF(D93="SET",_xlfn.TEXTJOIN(", ",TRUE,_xlfn._xlws.FILTER(TRANSPOSE(TRIM(_xlfn.TEXTSPLIT(N93,","))),COUNTIFS(B$3:B$650,TRANSPOSE(TRIM(_xlfn.TEXTSPLIT(N93,","))),O$3:O$650,"&lt;="&amp;$T$1))),""),"")</f>
        <v/>
      </c>
    </row>
    <row r="94" spans="1:20" ht="14.4" x14ac:dyDescent="0.3">
      <c r="A94" s="1">
        <v>33672</v>
      </c>
      <c r="B94" s="56" t="s">
        <v>708</v>
      </c>
      <c r="C94" s="2" t="s">
        <v>1263</v>
      </c>
      <c r="D94" s="1" t="s">
        <v>624</v>
      </c>
      <c r="E94" s="1" t="s">
        <v>686</v>
      </c>
      <c r="F94" s="9"/>
      <c r="G94" s="9"/>
      <c r="H94" s="16" t="s">
        <v>136</v>
      </c>
      <c r="I94" s="9" t="b">
        <f t="shared" si="2"/>
        <v>0</v>
      </c>
      <c r="J94" s="1" t="s">
        <v>397</v>
      </c>
      <c r="K94" s="1" t="s">
        <v>3</v>
      </c>
      <c r="L94" s="1" t="s">
        <v>3</v>
      </c>
      <c r="M94" s="9"/>
      <c r="N94" s="35"/>
      <c r="O94" s="24">
        <v>26</v>
      </c>
      <c r="P94" s="2" cm="1">
        <f t="array" ref="P94">_xlfn.XLOOKUP(TRIM(B94),TRIM('[1]wc-product-export-16-3-2026-177'!$A:$A),'[1]wc-product-export-16-3-2026-177'!$D:$D,0,0)</f>
        <v>0</v>
      </c>
      <c r="Q94" s="2" cm="1">
        <f t="array" ref="Q94">IF(TRIM($D94)="SET",IF($K94="Steak Set1",ROUNDDOWN(IFERROR(MIN(_xlfn._xlws.FILTER(O$3:O$650,ISNUMBER(MATCH(TRIM($B$3:$B$650),TRIM(_xlfn.TEXTSPLIT($N94,",")),0)))),0)/4,0)+P94,IF(IFERROR(MIN(_xlfn._xlws.FILTER(O$3:O$650,ISNUMBER(MATCH(TRIM($B$3:$B$650),TRIM(_xlfn.TEXTSPLIT($N94,",")),0)))),0)&gt;=$E$1,IFERROR(MIN(_xlfn._xlws.FILTER(O$3:O$650,ISNUMBER(MATCH(TRIM($B$3:$B$650),TRIM(_xlfn.TEXTSPLIT($N94,",")),0)))),0)+P94,P94)),IF(TRIM($D94)="EA",IF(TRIM($E94)="M",ROUNDUP(O94*0.85,0),IF(TRIM($E94)="P",O94,P94)),P94))</f>
        <v>23</v>
      </c>
      <c r="T94" t="str" cm="1">
        <f t="array" ref="T94">IFERROR(IF(D94="SET",_xlfn.TEXTJOIN(", ",TRUE,_xlfn._xlws.FILTER(TRANSPOSE(TRIM(_xlfn.TEXTSPLIT(N94,","))),COUNTIFS(B$3:B$650,TRANSPOSE(TRIM(_xlfn.TEXTSPLIT(N94,","))),O$3:O$650,"&lt;="&amp;$T$1))),""),"")</f>
        <v/>
      </c>
    </row>
    <row r="95" spans="1:20" ht="14.4" x14ac:dyDescent="0.3">
      <c r="A95" s="1">
        <v>33673</v>
      </c>
      <c r="B95" s="55" t="s">
        <v>709</v>
      </c>
      <c r="C95" s="2" t="s">
        <v>1263</v>
      </c>
      <c r="D95" s="1" t="s">
        <v>628</v>
      </c>
      <c r="E95" s="1" t="s">
        <v>686</v>
      </c>
      <c r="F95" s="9"/>
      <c r="G95" s="9"/>
      <c r="H95" s="16" t="s">
        <v>239</v>
      </c>
      <c r="I95" s="9" t="b">
        <f t="shared" si="2"/>
        <v>1</v>
      </c>
      <c r="J95" s="1" t="s">
        <v>397</v>
      </c>
      <c r="K95" s="1" t="s">
        <v>14</v>
      </c>
      <c r="L95" s="1" t="s">
        <v>14</v>
      </c>
      <c r="M95" s="9"/>
      <c r="N95" s="35" t="s">
        <v>1329</v>
      </c>
      <c r="O95" s="24">
        <v>34</v>
      </c>
      <c r="P95" s="2" cm="1">
        <f t="array" ref="P95">_xlfn.XLOOKUP(TRIM(B95),TRIM('[1]wc-product-export-16-3-2026-177'!$A:$A),'[1]wc-product-export-16-3-2026-177'!$D:$D,0,0)</f>
        <v>9</v>
      </c>
      <c r="Q95" s="2" cm="1">
        <f t="array" ref="Q95">IF(TRIM($D95)="SET",IF($K95="Steak Set1",ROUNDDOWN(IFERROR(MIN(_xlfn._xlws.FILTER(O$3:O$650,ISNUMBER(MATCH(TRIM($B$3:$B$650),TRIM(_xlfn.TEXTSPLIT($N95,",")),0)))),0)/4,0)+P95,IF(IFERROR(MIN(_xlfn._xlws.FILTER(O$3:O$650,ISNUMBER(MATCH(TRIM($B$3:$B$650),TRIM(_xlfn.TEXTSPLIT($N95,",")),0)))),0)&gt;=$E$1,IFERROR(MIN(_xlfn._xlws.FILTER(O$3:O$650,ISNUMBER(MATCH(TRIM($B$3:$B$650),TRIM(_xlfn.TEXTSPLIT($N95,",")),0)))),0)+P95,P95)),IF(TRIM($D95)="EA",IF(TRIM($E95)="M",ROUNDUP(O95*0.85,0),IF(TRIM($E95)="P",O95,P95)),P95))</f>
        <v>35</v>
      </c>
      <c r="T95" t="str" cm="1">
        <f t="array" ref="T95">IFERROR(IF(D95="SET",_xlfn.TEXTJOIN(", ",TRUE,_xlfn._xlws.FILTER(TRANSPOSE(TRIM(_xlfn.TEXTSPLIT(N95,","))),COUNTIFS(B$3:B$650,TRANSPOSE(TRIM(_xlfn.TEXTSPLIT(N95,","))),O$3:O$650,"&lt;="&amp;$T$1))),""),"")</f>
        <v/>
      </c>
    </row>
    <row r="96" spans="1:20" ht="14.4" x14ac:dyDescent="0.3">
      <c r="A96" s="1">
        <v>33674</v>
      </c>
      <c r="B96" s="55" t="s">
        <v>710</v>
      </c>
      <c r="C96" s="2" t="s">
        <v>1263</v>
      </c>
      <c r="D96" s="1" t="s">
        <v>628</v>
      </c>
      <c r="E96" s="1" t="s">
        <v>686</v>
      </c>
      <c r="F96" s="9"/>
      <c r="G96" s="9"/>
      <c r="H96" s="16" t="s">
        <v>240</v>
      </c>
      <c r="I96" s="9" t="b">
        <f t="shared" si="2"/>
        <v>1</v>
      </c>
      <c r="J96" s="1" t="s">
        <v>397</v>
      </c>
      <c r="K96" s="1" t="s">
        <v>14</v>
      </c>
      <c r="L96" s="1" t="s">
        <v>14</v>
      </c>
      <c r="M96" s="9"/>
      <c r="N96" s="35" t="s">
        <v>1331</v>
      </c>
      <c r="O96" s="24">
        <v>36</v>
      </c>
      <c r="P96" s="2" cm="1">
        <f t="array" ref="P96">_xlfn.XLOOKUP(TRIM(B96),TRIM('[1]wc-product-export-16-3-2026-177'!$A:$A),'[1]wc-product-export-16-3-2026-177'!$D:$D,0,0)</f>
        <v>11</v>
      </c>
      <c r="Q96" s="2" cm="1">
        <f t="array" ref="Q96">IF(TRIM($D96)="SET",IF($K96="Steak Set1",ROUNDDOWN(IFERROR(MIN(_xlfn._xlws.FILTER(O$3:O$650,ISNUMBER(MATCH(TRIM($B$3:$B$650),TRIM(_xlfn.TEXTSPLIT($N96,",")),0)))),0)/4,0)+P96,IF(IFERROR(MIN(_xlfn._xlws.FILTER(O$3:O$650,ISNUMBER(MATCH(TRIM($B$3:$B$650),TRIM(_xlfn.TEXTSPLIT($N96,",")),0)))),0)&gt;=$E$1,IFERROR(MIN(_xlfn._xlws.FILTER(O$3:O$650,ISNUMBER(MATCH(TRIM($B$3:$B$650),TRIM(_xlfn.TEXTSPLIT($N96,",")),0)))),0)+P96,P96)),IF(TRIM($D96)="EA",IF(TRIM($E96)="M",ROUNDUP(O96*0.85,0),IF(TRIM($E96)="P",O96,P96)),P96))</f>
        <v>37</v>
      </c>
      <c r="T96" t="str" cm="1">
        <f t="array" ref="T96">IFERROR(IF(D96="SET",_xlfn.TEXTJOIN(", ",TRUE,_xlfn._xlws.FILTER(TRANSPOSE(TRIM(_xlfn.TEXTSPLIT(N96,","))),COUNTIFS(B$3:B$650,TRANSPOSE(TRIM(_xlfn.TEXTSPLIT(N96,","))),O$3:O$650,"&lt;="&amp;$T$1))),""),"")</f>
        <v/>
      </c>
    </row>
    <row r="97" spans="1:20" ht="14.4" x14ac:dyDescent="0.3">
      <c r="A97" s="1">
        <v>5097</v>
      </c>
      <c r="B97" s="1" t="s">
        <v>629</v>
      </c>
      <c r="C97" s="1" t="s">
        <v>1259</v>
      </c>
      <c r="D97" s="1" t="s">
        <v>624</v>
      </c>
      <c r="E97" s="1" t="s">
        <v>623</v>
      </c>
      <c r="F97" s="9"/>
      <c r="G97" s="9"/>
      <c r="H97" s="53" t="s">
        <v>121</v>
      </c>
      <c r="I97" s="9" t="b">
        <f t="shared" si="2"/>
        <v>0</v>
      </c>
      <c r="J97" s="1" t="s">
        <v>119</v>
      </c>
      <c r="K97" s="1" t="s">
        <v>354</v>
      </c>
      <c r="L97" s="1" t="s">
        <v>354</v>
      </c>
      <c r="M97" s="9"/>
      <c r="N97" s="35"/>
      <c r="O97" s="2">
        <v>27</v>
      </c>
      <c r="P97" s="2" cm="1">
        <f t="array" ref="P97">_xlfn.XLOOKUP(TRIM(B97),TRIM('[1]wc-product-export-16-3-2026-177'!$A:$A),'[1]wc-product-export-16-3-2026-177'!$D:$D,0,0)</f>
        <v>0</v>
      </c>
      <c r="Q97" s="2" cm="1">
        <f t="array" ref="Q97">IF(TRIM($D97)="SET",IF($K97="Steak Set1",ROUNDDOWN(IFERROR(MIN(_xlfn._xlws.FILTER(O$3:O$650,ISNUMBER(MATCH(TRIM($B$3:$B$650),TRIM(_xlfn.TEXTSPLIT($N97,",")),0)))),0)/4,0)+P97,IF(IFERROR(MIN(_xlfn._xlws.FILTER(O$3:O$650,ISNUMBER(MATCH(TRIM($B$3:$B$650),TRIM(_xlfn.TEXTSPLIT($N97,",")),0)))),0)&gt;=$E$1,IFERROR(MIN(_xlfn._xlws.FILTER(O$3:O$650,ISNUMBER(MATCH(TRIM($B$3:$B$650),TRIM(_xlfn.TEXTSPLIT($N97,",")),0)))),0)+P97,P97)),IF(TRIM($D97)="EA",IF(TRIM($E97)="M",ROUNDUP(O97*0.85,0),IF(TRIM($E97)="P",O97,P97)),P97))</f>
        <v>27</v>
      </c>
      <c r="T97" t="str" cm="1">
        <f t="array" ref="T97">IFERROR(IF(D97="SET",_xlfn.TEXTJOIN(", ",TRUE,_xlfn._xlws.FILTER(TRANSPOSE(TRIM(_xlfn.TEXTSPLIT(N97,","))),COUNTIFS(B$3:B$650,TRANSPOSE(TRIM(_xlfn.TEXTSPLIT(N97,","))),O$3:O$650,"&lt;="&amp;$T$1))),""),"")</f>
        <v/>
      </c>
    </row>
    <row r="98" spans="1:20" ht="14.4" hidden="1" x14ac:dyDescent="0.3">
      <c r="A98" s="1">
        <v>5099</v>
      </c>
      <c r="B98" s="1" t="s">
        <v>630</v>
      </c>
      <c r="C98" s="1" t="s">
        <v>1259</v>
      </c>
      <c r="D98" s="1" t="s">
        <v>624</v>
      </c>
      <c r="E98" s="1" t="s">
        <v>623</v>
      </c>
      <c r="F98" s="9" t="s">
        <v>1688</v>
      </c>
      <c r="G98" s="9"/>
      <c r="H98" s="16" t="s">
        <v>122</v>
      </c>
      <c r="I98" s="9" t="b">
        <f t="shared" si="2"/>
        <v>0</v>
      </c>
      <c r="J98" s="1" t="s">
        <v>119</v>
      </c>
      <c r="K98" s="1" t="s">
        <v>354</v>
      </c>
      <c r="L98" s="1" t="s">
        <v>354</v>
      </c>
      <c r="M98" s="9"/>
      <c r="N98" s="35"/>
      <c r="O98" s="2" t="s">
        <v>458</v>
      </c>
      <c r="P98" s="2" cm="1">
        <f t="array" ref="P98">_xlfn.XLOOKUP(TRIM(B98),TRIM('[1]wc-product-export-16-3-2026-177'!$A:$A),'[1]wc-product-export-16-3-2026-177'!$D:$D,0,0)</f>
        <v>0</v>
      </c>
      <c r="Q98" s="2" t="str" cm="1">
        <f t="array" ref="Q98">IF(TRIM($D98)="SET",IF($K98="Steak Set1",ROUNDDOWN(IFERROR(MIN(_xlfn._xlws.FILTER(O$3:O$650,ISNUMBER(MATCH(TRIM($B$3:$B$650),TRIM(_xlfn.TEXTSPLIT($N98,",")),0)))),0)/4,0)+P98,IF(IFERROR(MIN(_xlfn._xlws.FILTER(O$3:O$650,ISNUMBER(MATCH(TRIM($B$3:$B$650),TRIM(_xlfn.TEXTSPLIT($N98,",")),0)))),0)&gt;=$E$1,IFERROR(MIN(_xlfn._xlws.FILTER(O$3:O$650,ISNUMBER(MATCH(TRIM($B$3:$B$650),TRIM(_xlfn.TEXTSPLIT($N98,",")),0)))),0)+P98,P98)),IF(TRIM($D98)="EA",IF(TRIM($E98)="M",ROUNDUP(O98*0.85,0),IF(TRIM($E98)="P",O98,P98)),P98))</f>
        <v>N/A</v>
      </c>
      <c r="T98" t="str" cm="1">
        <f t="array" ref="T98">IFERROR(IF(D98="SET",_xlfn.TEXTJOIN(", ",TRUE,_xlfn._xlws.FILTER(TRANSPOSE(TRIM(_xlfn.TEXTSPLIT(N98,","))),COUNTIFS(B$3:B$650,TRANSPOSE(TRIM(_xlfn.TEXTSPLIT(N98,","))),O$3:O$650,"&lt;="&amp;$T$1))),""),"")</f>
        <v/>
      </c>
    </row>
    <row r="99" spans="1:20" ht="14.4" x14ac:dyDescent="0.3">
      <c r="A99" s="1">
        <v>5123</v>
      </c>
      <c r="B99" s="1" t="s">
        <v>631</v>
      </c>
      <c r="C99" s="1" t="s">
        <v>1259</v>
      </c>
      <c r="D99" s="1" t="s">
        <v>624</v>
      </c>
      <c r="E99" s="1" t="s">
        <v>623</v>
      </c>
      <c r="F99" s="9" t="s">
        <v>1688</v>
      </c>
      <c r="G99" s="9"/>
      <c r="H99" s="16" t="s">
        <v>104</v>
      </c>
      <c r="I99" s="9" t="b">
        <f t="shared" si="2"/>
        <v>0</v>
      </c>
      <c r="J99" s="1" t="s">
        <v>119</v>
      </c>
      <c r="K99" s="1" t="s">
        <v>435</v>
      </c>
      <c r="L99" s="1" t="s">
        <v>435</v>
      </c>
      <c r="M99" s="9"/>
      <c r="N99" s="35"/>
      <c r="O99" s="2">
        <v>308</v>
      </c>
      <c r="P99" s="2" cm="1">
        <f t="array" ref="P99">_xlfn.XLOOKUP(TRIM(B99),TRIM('[1]wc-product-export-16-3-2026-177'!$A:$A),'[1]wc-product-export-16-3-2026-177'!$D:$D,0,0)</f>
        <v>0</v>
      </c>
      <c r="Q99" s="2" cm="1">
        <f t="array" ref="Q99">IF(TRIM($D99)="SET",IF($K99="Steak Set1",ROUNDDOWN(IFERROR(MIN(_xlfn._xlws.FILTER(O$3:O$650,ISNUMBER(MATCH(TRIM($B$3:$B$650),TRIM(_xlfn.TEXTSPLIT($N99,",")),0)))),0)/4,0)+P99,IF(IFERROR(MIN(_xlfn._xlws.FILTER(O$3:O$650,ISNUMBER(MATCH(TRIM($B$3:$B$650),TRIM(_xlfn.TEXTSPLIT($N99,",")),0)))),0)&gt;=$E$1,IFERROR(MIN(_xlfn._xlws.FILTER(O$3:O$650,ISNUMBER(MATCH(TRIM($B$3:$B$650),TRIM(_xlfn.TEXTSPLIT($N99,",")),0)))),0)+P99,P99)),IF(TRIM($D99)="EA",IF(TRIM($E99)="M",ROUNDUP(O99*0.85,0),IF(TRIM($E99)="P",O99,P99)),P99))</f>
        <v>308</v>
      </c>
      <c r="T99" t="str" cm="1">
        <f t="array" ref="T99">IFERROR(IF(D99="SET",_xlfn.TEXTJOIN(", ",TRUE,_xlfn._xlws.FILTER(TRANSPOSE(TRIM(_xlfn.TEXTSPLIT(N99,","))),COUNTIFS(B$3:B$650,TRANSPOSE(TRIM(_xlfn.TEXTSPLIT(N99,","))),O$3:O$650,"&lt;="&amp;$T$1))),""),"")</f>
        <v/>
      </c>
    </row>
    <row r="100" spans="1:20" ht="14.4" x14ac:dyDescent="0.3">
      <c r="A100" s="1">
        <v>33675</v>
      </c>
      <c r="B100" s="56" t="s">
        <v>711</v>
      </c>
      <c r="C100" s="2" t="s">
        <v>1263</v>
      </c>
      <c r="D100" s="1" t="s">
        <v>624</v>
      </c>
      <c r="E100" s="1" t="s">
        <v>686</v>
      </c>
      <c r="F100" s="9"/>
      <c r="G100" s="9"/>
      <c r="H100" s="16" t="s">
        <v>135</v>
      </c>
      <c r="I100" s="9" t="b">
        <f t="shared" ref="I100:I130" si="3">ISNUMBER(SEARCH($I$2,H100))</f>
        <v>0</v>
      </c>
      <c r="J100" s="1" t="s">
        <v>397</v>
      </c>
      <c r="K100" s="1" t="s">
        <v>3</v>
      </c>
      <c r="L100" s="1" t="s">
        <v>3</v>
      </c>
      <c r="M100" s="9"/>
      <c r="N100" s="35"/>
      <c r="O100" s="24">
        <v>62</v>
      </c>
      <c r="P100" s="2" cm="1">
        <f t="array" ref="P100">_xlfn.XLOOKUP(TRIM(B100),TRIM('[1]wc-product-export-16-3-2026-177'!$A:$A),'[1]wc-product-export-16-3-2026-177'!$D:$D,0,0)</f>
        <v>0</v>
      </c>
      <c r="Q100" s="2" cm="1">
        <f t="array" ref="Q100">IF(TRIM($D100)="SET",IF($K100="Steak Set1",ROUNDDOWN(IFERROR(MIN(_xlfn._xlws.FILTER(O$3:O$650,ISNUMBER(MATCH(TRIM($B$3:$B$650),TRIM(_xlfn.TEXTSPLIT($N100,",")),0)))),0)/4,0)+P100,IF(IFERROR(MIN(_xlfn._xlws.FILTER(O$3:O$650,ISNUMBER(MATCH(TRIM($B$3:$B$650),TRIM(_xlfn.TEXTSPLIT($N100,",")),0)))),0)&gt;=$E$1,IFERROR(MIN(_xlfn._xlws.FILTER(O$3:O$650,ISNUMBER(MATCH(TRIM($B$3:$B$650),TRIM(_xlfn.TEXTSPLIT($N100,",")),0)))),0)+P100,P100)),IF(TRIM($D100)="EA",IF(TRIM($E100)="M",ROUNDUP(O100*0.85,0),IF(TRIM($E100)="P",O100,P100)),P100))</f>
        <v>53</v>
      </c>
      <c r="T100" t="str" cm="1">
        <f t="array" ref="T100">IFERROR(IF(D100="SET",_xlfn.TEXTJOIN(", ",TRUE,_xlfn._xlws.FILTER(TRANSPOSE(TRIM(_xlfn.TEXTSPLIT(N100,","))),COUNTIFS(B$3:B$650,TRANSPOSE(TRIM(_xlfn.TEXTSPLIT(N100,","))),O$3:O$650,"&lt;="&amp;$T$1))),""),"")</f>
        <v/>
      </c>
    </row>
    <row r="101" spans="1:20" ht="14.4" x14ac:dyDescent="0.3">
      <c r="A101" s="1">
        <v>6023</v>
      </c>
      <c r="B101" s="1" t="s">
        <v>633</v>
      </c>
      <c r="C101" s="1" t="s">
        <v>1259</v>
      </c>
      <c r="D101" s="1" t="s">
        <v>624</v>
      </c>
      <c r="E101" s="1" t="s">
        <v>623</v>
      </c>
      <c r="F101" s="9" t="s">
        <v>1688</v>
      </c>
      <c r="G101" s="9"/>
      <c r="H101" s="53" t="s">
        <v>22</v>
      </c>
      <c r="I101" s="9" t="b">
        <f t="shared" si="3"/>
        <v>0</v>
      </c>
      <c r="J101" s="1" t="s">
        <v>119</v>
      </c>
      <c r="K101" s="1" t="s">
        <v>435</v>
      </c>
      <c r="L101" s="1" t="s">
        <v>435</v>
      </c>
      <c r="M101" s="9"/>
      <c r="N101" s="35"/>
      <c r="O101" s="2">
        <v>32</v>
      </c>
      <c r="P101" s="2" cm="1">
        <f t="array" ref="P101">_xlfn.XLOOKUP(TRIM(B101),TRIM('[1]wc-product-export-16-3-2026-177'!$A:$A),'[1]wc-product-export-16-3-2026-177'!$D:$D,0,0)</f>
        <v>0</v>
      </c>
      <c r="Q101" s="2" cm="1">
        <f t="array" ref="Q101">IF(TRIM($D101)="SET",IF($K101="Steak Set1",ROUNDDOWN(IFERROR(MIN(_xlfn._xlws.FILTER(O$3:O$650,ISNUMBER(MATCH(TRIM($B$3:$B$650),TRIM(_xlfn.TEXTSPLIT($N101,",")),0)))),0)/4,0)+P101,IF(IFERROR(MIN(_xlfn._xlws.FILTER(O$3:O$650,ISNUMBER(MATCH(TRIM($B$3:$B$650),TRIM(_xlfn.TEXTSPLIT($N101,",")),0)))),0)&gt;=$E$1,IFERROR(MIN(_xlfn._xlws.FILTER(O$3:O$650,ISNUMBER(MATCH(TRIM($B$3:$B$650),TRIM(_xlfn.TEXTSPLIT($N101,",")),0)))),0)+P101,P101)),IF(TRIM($D101)="EA",IF(TRIM($E101)="M",ROUNDUP(O101*0.85,0),IF(TRIM($E101)="P",O101,P101)),P101))</f>
        <v>32</v>
      </c>
      <c r="T101" t="str" cm="1">
        <f t="array" ref="T101">IFERROR(IF(D101="SET",_xlfn.TEXTJOIN(", ",TRUE,_xlfn._xlws.FILTER(TRANSPOSE(TRIM(_xlfn.TEXTSPLIT(N101,","))),COUNTIFS(B$3:B$650,TRANSPOSE(TRIM(_xlfn.TEXTSPLIT(N101,","))),O$3:O$650,"&lt;="&amp;$T$1))),""),"")</f>
        <v/>
      </c>
    </row>
    <row r="102" spans="1:20" ht="14.4" x14ac:dyDescent="0.3">
      <c r="A102" s="1">
        <v>6024</v>
      </c>
      <c r="B102" s="1" t="s">
        <v>634</v>
      </c>
      <c r="C102" s="1" t="s">
        <v>1259</v>
      </c>
      <c r="D102" s="1" t="s">
        <v>624</v>
      </c>
      <c r="E102" s="1" t="s">
        <v>623</v>
      </c>
      <c r="F102" s="9" t="s">
        <v>1688</v>
      </c>
      <c r="G102" s="9"/>
      <c r="H102" s="16" t="s">
        <v>23</v>
      </c>
      <c r="I102" s="9" t="b">
        <f t="shared" si="3"/>
        <v>0</v>
      </c>
      <c r="J102" s="1" t="s">
        <v>119</v>
      </c>
      <c r="K102" s="1" t="s">
        <v>435</v>
      </c>
      <c r="L102" s="1" t="s">
        <v>435</v>
      </c>
      <c r="M102" s="9"/>
      <c r="N102" s="35"/>
      <c r="O102" s="2">
        <v>43</v>
      </c>
      <c r="P102" s="2" cm="1">
        <f t="array" ref="P102">_xlfn.XLOOKUP(TRIM(B102),TRIM('[1]wc-product-export-16-3-2026-177'!$A:$A),'[1]wc-product-export-16-3-2026-177'!$D:$D,0,0)</f>
        <v>0</v>
      </c>
      <c r="Q102" s="2" cm="1">
        <f t="array" ref="Q102">IF(TRIM($D102)="SET",IF($K102="Steak Set1",ROUNDDOWN(IFERROR(MIN(_xlfn._xlws.FILTER(O$3:O$650,ISNUMBER(MATCH(TRIM($B$3:$B$650),TRIM(_xlfn.TEXTSPLIT($N102,",")),0)))),0)/4,0)+P102,IF(IFERROR(MIN(_xlfn._xlws.FILTER(O$3:O$650,ISNUMBER(MATCH(TRIM($B$3:$B$650),TRIM(_xlfn.TEXTSPLIT($N102,",")),0)))),0)&gt;=$E$1,IFERROR(MIN(_xlfn._xlws.FILTER(O$3:O$650,ISNUMBER(MATCH(TRIM($B$3:$B$650),TRIM(_xlfn.TEXTSPLIT($N102,",")),0)))),0)+P102,P102)),IF(TRIM($D102)="EA",IF(TRIM($E102)="M",ROUNDUP(O102*0.85,0),IF(TRIM($E102)="P",O102,P102)),P102))</f>
        <v>43</v>
      </c>
      <c r="T102" t="str" cm="1">
        <f t="array" ref="T102">IFERROR(IF(D102="SET",_xlfn.TEXTJOIN(", ",TRUE,_xlfn._xlws.FILTER(TRANSPOSE(TRIM(_xlfn.TEXTSPLIT(N102,","))),COUNTIFS(B$3:B$650,TRANSPOSE(TRIM(_xlfn.TEXTSPLIT(N102,","))),O$3:O$650,"&lt;="&amp;$T$1))),""),"")</f>
        <v/>
      </c>
    </row>
    <row r="103" spans="1:20" ht="14.4" x14ac:dyDescent="0.3">
      <c r="A103" s="1">
        <v>33720</v>
      </c>
      <c r="B103" s="55" t="s">
        <v>712</v>
      </c>
      <c r="C103" s="2" t="s">
        <v>1263</v>
      </c>
      <c r="D103" s="1" t="s">
        <v>624</v>
      </c>
      <c r="E103" s="1" t="s">
        <v>686</v>
      </c>
      <c r="F103" s="9" t="s">
        <v>1690</v>
      </c>
      <c r="G103" s="9"/>
      <c r="H103" s="16" t="s">
        <v>233</v>
      </c>
      <c r="I103" s="9" t="b">
        <f t="shared" si="3"/>
        <v>1</v>
      </c>
      <c r="J103" s="1" t="s">
        <v>408</v>
      </c>
      <c r="K103" s="1" t="s">
        <v>287</v>
      </c>
      <c r="L103" s="1" t="s">
        <v>287</v>
      </c>
      <c r="M103" s="9"/>
      <c r="N103" s="35"/>
      <c r="O103" s="24">
        <v>0</v>
      </c>
      <c r="P103" s="2" cm="1">
        <f t="array" ref="P103">_xlfn.XLOOKUP(TRIM(B103),TRIM('[1]wc-product-export-16-3-2026-177'!$A:$A),'[1]wc-product-export-16-3-2026-177'!$D:$D,0,0)</f>
        <v>0</v>
      </c>
      <c r="Q103" s="2" cm="1">
        <f t="array" ref="Q103">IF(TRIM($D103)="SET",IF($K103="Steak Set1",ROUNDDOWN(IFERROR(MIN(_xlfn._xlws.FILTER(O$3:O$650,ISNUMBER(MATCH(TRIM($B$3:$B$650),TRIM(_xlfn.TEXTSPLIT($N103,",")),0)))),0)/4,0)+P103,IF(IFERROR(MIN(_xlfn._xlws.FILTER(O$3:O$650,ISNUMBER(MATCH(TRIM($B$3:$B$650),TRIM(_xlfn.TEXTSPLIT($N103,",")),0)))),0)&gt;=$E$1,IFERROR(MIN(_xlfn._xlws.FILTER(O$3:O$650,ISNUMBER(MATCH(TRIM($B$3:$B$650),TRIM(_xlfn.TEXTSPLIT($N103,",")),0)))),0)+P103,P103)),IF(TRIM($D103)="EA",IF(TRIM($E103)="M",ROUNDUP(O103*0.85,0),IF(TRIM($E103)="P",O103,P103)),P103))</f>
        <v>0</v>
      </c>
      <c r="T103" t="str" cm="1">
        <f t="array" ref="T103">IFERROR(IF(D103="SET",_xlfn.TEXTJOIN(", ",TRUE,_xlfn._xlws.FILTER(TRANSPOSE(TRIM(_xlfn.TEXTSPLIT(N103,","))),COUNTIFS(B$3:B$650,TRANSPOSE(TRIM(_xlfn.TEXTSPLIT(N103,","))),O$3:O$650,"&lt;="&amp;$T$1))),""),"")</f>
        <v/>
      </c>
    </row>
    <row r="104" spans="1:20" ht="14.4" x14ac:dyDescent="0.3">
      <c r="A104" s="1">
        <v>6030</v>
      </c>
      <c r="B104" s="1" t="s">
        <v>636</v>
      </c>
      <c r="C104" s="1" t="s">
        <v>1259</v>
      </c>
      <c r="D104" s="1" t="s">
        <v>624</v>
      </c>
      <c r="E104" s="1" t="s">
        <v>623</v>
      </c>
      <c r="F104" s="9" t="s">
        <v>1688</v>
      </c>
      <c r="G104" s="9"/>
      <c r="H104" s="53" t="s">
        <v>24</v>
      </c>
      <c r="I104" s="9" t="b">
        <f t="shared" si="3"/>
        <v>1</v>
      </c>
      <c r="J104" s="1" t="s">
        <v>119</v>
      </c>
      <c r="K104" s="1" t="s">
        <v>435</v>
      </c>
      <c r="L104" s="1" t="s">
        <v>435</v>
      </c>
      <c r="M104" s="9"/>
      <c r="N104" s="35"/>
      <c r="O104" s="2">
        <v>30</v>
      </c>
      <c r="P104" s="2" cm="1">
        <f t="array" ref="P104">_xlfn.XLOOKUP(TRIM(B104),TRIM('[1]wc-product-export-16-3-2026-177'!$A:$A),'[1]wc-product-export-16-3-2026-177'!$D:$D,0,0)</f>
        <v>0</v>
      </c>
      <c r="Q104" s="2" cm="1">
        <f t="array" ref="Q104">IF(TRIM($D104)="SET",IF($K104="Steak Set1",ROUNDDOWN(IFERROR(MIN(_xlfn._xlws.FILTER(O$3:O$650,ISNUMBER(MATCH(TRIM($B$3:$B$650),TRIM(_xlfn.TEXTSPLIT($N104,",")),0)))),0)/4,0)+P104,IF(IFERROR(MIN(_xlfn._xlws.FILTER(O$3:O$650,ISNUMBER(MATCH(TRIM($B$3:$B$650),TRIM(_xlfn.TEXTSPLIT($N104,",")),0)))),0)&gt;=$E$1,IFERROR(MIN(_xlfn._xlws.FILTER(O$3:O$650,ISNUMBER(MATCH(TRIM($B$3:$B$650),TRIM(_xlfn.TEXTSPLIT($N104,",")),0)))),0)+P104,P104)),IF(TRIM($D104)="EA",IF(TRIM($E104)="M",ROUNDUP(O104*0.85,0),IF(TRIM($E104)="P",O104,P104)),P104))</f>
        <v>30</v>
      </c>
      <c r="T104" t="str" cm="1">
        <f t="array" ref="T104">IFERROR(IF(D104="SET",_xlfn.TEXTJOIN(", ",TRUE,_xlfn._xlws.FILTER(TRANSPOSE(TRIM(_xlfn.TEXTSPLIT(N104,","))),COUNTIFS(B$3:B$650,TRANSPOSE(TRIM(_xlfn.TEXTSPLIT(N104,","))),O$3:O$650,"&lt;="&amp;$T$1))),""),"")</f>
        <v/>
      </c>
    </row>
    <row r="105" spans="1:20" ht="14.4" x14ac:dyDescent="0.3">
      <c r="A105" s="1">
        <v>6046</v>
      </c>
      <c r="B105" s="1" t="s">
        <v>1213</v>
      </c>
      <c r="C105" s="1" t="s">
        <v>1259</v>
      </c>
      <c r="D105" s="1" t="s">
        <v>624</v>
      </c>
      <c r="E105" s="1" t="s">
        <v>623</v>
      </c>
      <c r="F105" s="9" t="s">
        <v>1688</v>
      </c>
      <c r="G105" s="9"/>
      <c r="H105" s="16" t="s">
        <v>1214</v>
      </c>
      <c r="I105" s="9" t="b">
        <f t="shared" si="3"/>
        <v>0</v>
      </c>
      <c r="J105" s="1" t="s">
        <v>119</v>
      </c>
      <c r="K105" s="1" t="s">
        <v>435</v>
      </c>
      <c r="L105" s="1" t="s">
        <v>435</v>
      </c>
      <c r="M105" s="9"/>
      <c r="N105" s="35"/>
      <c r="O105" s="2">
        <v>113</v>
      </c>
      <c r="P105" s="2" cm="1">
        <f t="array" ref="P105">_xlfn.XLOOKUP(TRIM(B105),TRIM('[1]wc-product-export-16-3-2026-177'!$A:$A),'[1]wc-product-export-16-3-2026-177'!$D:$D,0,0)</f>
        <v>0</v>
      </c>
      <c r="Q105" s="2" cm="1">
        <f t="array" ref="Q105">IF(TRIM($D105)="SET",IF($K105="Steak Set1",ROUNDDOWN(IFERROR(MIN(_xlfn._xlws.FILTER(O$3:O$650,ISNUMBER(MATCH(TRIM($B$3:$B$650),TRIM(_xlfn.TEXTSPLIT($N105,",")),0)))),0)/4,0)+P105,IF(IFERROR(MIN(_xlfn._xlws.FILTER(O$3:O$650,ISNUMBER(MATCH(TRIM($B$3:$B$650),TRIM(_xlfn.TEXTSPLIT($N105,",")),0)))),0)&gt;=$E$1,IFERROR(MIN(_xlfn._xlws.FILTER(O$3:O$650,ISNUMBER(MATCH(TRIM($B$3:$B$650),TRIM(_xlfn.TEXTSPLIT($N105,",")),0)))),0)+P105,P105)),IF(TRIM($D105)="EA",IF(TRIM($E105)="M",ROUNDUP(O105*0.85,0),IF(TRIM($E105)="P",O105,P105)),P105))</f>
        <v>113</v>
      </c>
      <c r="T105" t="str" cm="1">
        <f t="array" ref="T105">IFERROR(IF(D105="SET",_xlfn.TEXTJOIN(", ",TRUE,_xlfn._xlws.FILTER(TRANSPOSE(TRIM(_xlfn.TEXTSPLIT(N105,","))),COUNTIFS(B$3:B$650,TRANSPOSE(TRIM(_xlfn.TEXTSPLIT(N105,","))),O$3:O$650,"&lt;="&amp;$T$1))),""),"")</f>
        <v/>
      </c>
    </row>
    <row r="106" spans="1:20" ht="14.4" x14ac:dyDescent="0.3">
      <c r="A106" s="1">
        <v>6200</v>
      </c>
      <c r="B106" s="1" t="s">
        <v>638</v>
      </c>
      <c r="C106" s="1" t="s">
        <v>1259</v>
      </c>
      <c r="D106" s="1" t="s">
        <v>624</v>
      </c>
      <c r="E106" s="1" t="s">
        <v>623</v>
      </c>
      <c r="F106" s="9" t="s">
        <v>1688</v>
      </c>
      <c r="G106" s="9"/>
      <c r="H106" s="16" t="s">
        <v>29</v>
      </c>
      <c r="I106" s="9" t="b">
        <f t="shared" si="3"/>
        <v>0</v>
      </c>
      <c r="J106" s="1" t="s">
        <v>119</v>
      </c>
      <c r="K106" s="1" t="s">
        <v>435</v>
      </c>
      <c r="L106" s="1" t="s">
        <v>435</v>
      </c>
      <c r="M106" s="9"/>
      <c r="N106" s="35"/>
      <c r="O106" s="2">
        <v>59</v>
      </c>
      <c r="P106" s="2" cm="1">
        <f t="array" ref="P106">_xlfn.XLOOKUP(TRIM(B106),TRIM('[1]wc-product-export-16-3-2026-177'!$A:$A),'[1]wc-product-export-16-3-2026-177'!$D:$D,0,0)</f>
        <v>0</v>
      </c>
      <c r="Q106" s="2" cm="1">
        <f t="array" ref="Q106">IF(TRIM($D106)="SET",IF($K106="Steak Set1",ROUNDDOWN(IFERROR(MIN(_xlfn._xlws.FILTER(O$3:O$650,ISNUMBER(MATCH(TRIM($B$3:$B$650),TRIM(_xlfn.TEXTSPLIT($N106,",")),0)))),0)/4,0)+P106,IF(IFERROR(MIN(_xlfn._xlws.FILTER(O$3:O$650,ISNUMBER(MATCH(TRIM($B$3:$B$650),TRIM(_xlfn.TEXTSPLIT($N106,",")),0)))),0)&gt;=$E$1,IFERROR(MIN(_xlfn._xlws.FILTER(O$3:O$650,ISNUMBER(MATCH(TRIM($B$3:$B$650),TRIM(_xlfn.TEXTSPLIT($N106,",")),0)))),0)+P106,P106)),IF(TRIM($D106)="EA",IF(TRIM($E106)="M",ROUNDUP(O106*0.85,0),IF(TRIM($E106)="P",O106,P106)),P106))</f>
        <v>59</v>
      </c>
      <c r="T106" t="str" cm="1">
        <f t="array" ref="T106">IFERROR(IF(D106="SET",_xlfn.TEXTJOIN(", ",TRUE,_xlfn._xlws.FILTER(TRANSPOSE(TRIM(_xlfn.TEXTSPLIT(N106,","))),COUNTIFS(B$3:B$650,TRANSPOSE(TRIM(_xlfn.TEXTSPLIT(N106,","))),O$3:O$650,"&lt;="&amp;$T$1))),""),"")</f>
        <v/>
      </c>
    </row>
    <row r="107" spans="1:20" ht="14.4" x14ac:dyDescent="0.3">
      <c r="A107" s="1">
        <v>6204</v>
      </c>
      <c r="B107" s="1" t="s">
        <v>639</v>
      </c>
      <c r="C107" s="1" t="s">
        <v>1259</v>
      </c>
      <c r="D107" s="1" t="s">
        <v>624</v>
      </c>
      <c r="E107" s="1" t="s">
        <v>623</v>
      </c>
      <c r="F107" s="9" t="s">
        <v>1688</v>
      </c>
      <c r="G107" s="9"/>
      <c r="H107" s="16" t="s">
        <v>28</v>
      </c>
      <c r="I107" s="9" t="b">
        <f t="shared" si="3"/>
        <v>0</v>
      </c>
      <c r="J107" s="1" t="s">
        <v>119</v>
      </c>
      <c r="K107" s="1" t="s">
        <v>435</v>
      </c>
      <c r="L107" s="1" t="s">
        <v>435</v>
      </c>
      <c r="M107" s="9"/>
      <c r="N107" s="35"/>
      <c r="O107" s="2">
        <v>56</v>
      </c>
      <c r="P107" s="2" cm="1">
        <f t="array" ref="P107">_xlfn.XLOOKUP(TRIM(B107),TRIM('[1]wc-product-export-16-3-2026-177'!$A:$A),'[1]wc-product-export-16-3-2026-177'!$D:$D,0,0)</f>
        <v>0</v>
      </c>
      <c r="Q107" s="2" cm="1">
        <f t="array" ref="Q107">IF(TRIM($D107)="SET",IF($K107="Steak Set1",ROUNDDOWN(IFERROR(MIN(_xlfn._xlws.FILTER(O$3:O$650,ISNUMBER(MATCH(TRIM($B$3:$B$650),TRIM(_xlfn.TEXTSPLIT($N107,",")),0)))),0)/4,0)+P107,IF(IFERROR(MIN(_xlfn._xlws.FILTER(O$3:O$650,ISNUMBER(MATCH(TRIM($B$3:$B$650),TRIM(_xlfn.TEXTSPLIT($N107,",")),0)))),0)&gt;=$E$1,IFERROR(MIN(_xlfn._xlws.FILTER(O$3:O$650,ISNUMBER(MATCH(TRIM($B$3:$B$650),TRIM(_xlfn.TEXTSPLIT($N107,",")),0)))),0)+P107,P107)),IF(TRIM($D107)="EA",IF(TRIM($E107)="M",ROUNDUP(O107*0.85,0),IF(TRIM($E107)="P",O107,P107)),P107))</f>
        <v>56</v>
      </c>
      <c r="T107" t="str" cm="1">
        <f t="array" ref="T107">IFERROR(IF(D107="SET",_xlfn.TEXTJOIN(", ",TRUE,_xlfn._xlws.FILTER(TRANSPOSE(TRIM(_xlfn.TEXTSPLIT(N107,","))),COUNTIFS(B$3:B$650,TRANSPOSE(TRIM(_xlfn.TEXTSPLIT(N107,","))),O$3:O$650,"&lt;="&amp;$T$1))),""),"")</f>
        <v/>
      </c>
    </row>
    <row r="108" spans="1:20" ht="14.4" x14ac:dyDescent="0.3">
      <c r="A108" s="1">
        <v>33730</v>
      </c>
      <c r="B108" s="56" t="s">
        <v>713</v>
      </c>
      <c r="C108" s="2" t="s">
        <v>1263</v>
      </c>
      <c r="D108" s="1" t="s">
        <v>624</v>
      </c>
      <c r="E108" s="1" t="s">
        <v>686</v>
      </c>
      <c r="F108" s="9" t="s">
        <v>1688</v>
      </c>
      <c r="G108" s="9"/>
      <c r="H108" s="16" t="s">
        <v>234</v>
      </c>
      <c r="I108" s="9" t="b">
        <f t="shared" si="3"/>
        <v>1</v>
      </c>
      <c r="J108" s="1" t="s">
        <v>408</v>
      </c>
      <c r="K108" s="1" t="s">
        <v>287</v>
      </c>
      <c r="L108" s="1" t="s">
        <v>287</v>
      </c>
      <c r="M108" s="9"/>
      <c r="N108" s="35"/>
      <c r="O108" s="24">
        <v>138</v>
      </c>
      <c r="P108" s="2" cm="1">
        <f t="array" ref="P108">_xlfn.XLOOKUP(TRIM(B108),TRIM('[1]wc-product-export-16-3-2026-177'!$A:$A),'[1]wc-product-export-16-3-2026-177'!$D:$D,0,0)</f>
        <v>0</v>
      </c>
      <c r="Q108" s="2" cm="1">
        <f t="array" ref="Q108">IF(TRIM($D108)="SET",IF($K108="Steak Set1",ROUNDDOWN(IFERROR(MIN(_xlfn._xlws.FILTER(O$3:O$650,ISNUMBER(MATCH(TRIM($B$3:$B$650),TRIM(_xlfn.TEXTSPLIT($N108,",")),0)))),0)/4,0)+P108,IF(IFERROR(MIN(_xlfn._xlws.FILTER(O$3:O$650,ISNUMBER(MATCH(TRIM($B$3:$B$650),TRIM(_xlfn.TEXTSPLIT($N108,",")),0)))),0)&gt;=$E$1,IFERROR(MIN(_xlfn._xlws.FILTER(O$3:O$650,ISNUMBER(MATCH(TRIM($B$3:$B$650),TRIM(_xlfn.TEXTSPLIT($N108,",")),0)))),0)+P108,P108)),IF(TRIM($D108)="EA",IF(TRIM($E108)="M",ROUNDUP(O108*0.85,0),IF(TRIM($E108)="P",O108,P108)),P108))</f>
        <v>118</v>
      </c>
      <c r="T108" t="str" cm="1">
        <f t="array" ref="T108">IFERROR(IF(D108="SET",_xlfn.TEXTJOIN(", ",TRUE,_xlfn._xlws.FILTER(TRANSPOSE(TRIM(_xlfn.TEXTSPLIT(N108,","))),COUNTIFS(B$3:B$650,TRANSPOSE(TRIM(_xlfn.TEXTSPLIT(N108,","))),O$3:O$650,"&lt;="&amp;$T$1))),""),"")</f>
        <v/>
      </c>
    </row>
    <row r="109" spans="1:20" ht="14.4" x14ac:dyDescent="0.3">
      <c r="A109" s="1">
        <v>6208</v>
      </c>
      <c r="B109" s="1" t="s">
        <v>641</v>
      </c>
      <c r="C109" s="1" t="s">
        <v>1259</v>
      </c>
      <c r="D109" s="1" t="s">
        <v>624</v>
      </c>
      <c r="E109" s="1" t="s">
        <v>623</v>
      </c>
      <c r="F109" s="9" t="s">
        <v>1688</v>
      </c>
      <c r="G109" s="9"/>
      <c r="H109" s="53" t="s">
        <v>124</v>
      </c>
      <c r="I109" s="9" t="b">
        <f t="shared" si="3"/>
        <v>0</v>
      </c>
      <c r="J109" s="1" t="s">
        <v>119</v>
      </c>
      <c r="K109" s="1" t="s">
        <v>435</v>
      </c>
      <c r="L109" s="1" t="s">
        <v>435</v>
      </c>
      <c r="M109" s="9"/>
      <c r="N109" s="35"/>
      <c r="O109" s="2">
        <v>96</v>
      </c>
      <c r="P109" s="2" cm="1">
        <f t="array" ref="P109">_xlfn.XLOOKUP(TRIM(B109),TRIM('[1]wc-product-export-16-3-2026-177'!$A:$A),'[1]wc-product-export-16-3-2026-177'!$D:$D,0,0)</f>
        <v>0</v>
      </c>
      <c r="Q109" s="2" cm="1">
        <f t="array" ref="Q109">IF(TRIM($D109)="SET",IF($K109="Steak Set1",ROUNDDOWN(IFERROR(MIN(_xlfn._xlws.FILTER(O$3:O$650,ISNUMBER(MATCH(TRIM($B$3:$B$650),TRIM(_xlfn.TEXTSPLIT($N109,",")),0)))),0)/4,0)+P109,IF(IFERROR(MIN(_xlfn._xlws.FILTER(O$3:O$650,ISNUMBER(MATCH(TRIM($B$3:$B$650),TRIM(_xlfn.TEXTSPLIT($N109,",")),0)))),0)&gt;=$E$1,IFERROR(MIN(_xlfn._xlws.FILTER(O$3:O$650,ISNUMBER(MATCH(TRIM($B$3:$B$650),TRIM(_xlfn.TEXTSPLIT($N109,",")),0)))),0)+P109,P109)),IF(TRIM($D109)="EA",IF(TRIM($E109)="M",ROUNDUP(O109*0.85,0),IF(TRIM($E109)="P",O109,P109)),P109))</f>
        <v>96</v>
      </c>
      <c r="T109" t="str" cm="1">
        <f t="array" ref="T109">IFERROR(IF(D109="SET",_xlfn.TEXTJOIN(", ",TRUE,_xlfn._xlws.FILTER(TRANSPOSE(TRIM(_xlfn.TEXTSPLIT(N109,","))),COUNTIFS(B$3:B$650,TRANSPOSE(TRIM(_xlfn.TEXTSPLIT(N109,","))),O$3:O$650,"&lt;="&amp;$T$1))),""),"")</f>
        <v/>
      </c>
    </row>
    <row r="110" spans="1:20" ht="14.4" x14ac:dyDescent="0.3">
      <c r="A110" s="1">
        <v>6214</v>
      </c>
      <c r="B110" s="1" t="s">
        <v>642</v>
      </c>
      <c r="C110" s="1" t="s">
        <v>1259</v>
      </c>
      <c r="D110" s="1" t="s">
        <v>624</v>
      </c>
      <c r="E110" s="1" t="s">
        <v>623</v>
      </c>
      <c r="F110" s="9" t="s">
        <v>1688</v>
      </c>
      <c r="G110" s="9"/>
      <c r="H110" s="16" t="s">
        <v>30</v>
      </c>
      <c r="I110" s="9" t="b">
        <f t="shared" si="3"/>
        <v>0</v>
      </c>
      <c r="J110" s="1" t="s">
        <v>119</v>
      </c>
      <c r="K110" s="1" t="s">
        <v>435</v>
      </c>
      <c r="L110" s="1" t="s">
        <v>1725</v>
      </c>
      <c r="M110" s="9"/>
      <c r="N110" s="35"/>
      <c r="O110" s="2">
        <v>30</v>
      </c>
      <c r="P110" s="2" cm="1">
        <f t="array" ref="P110">_xlfn.XLOOKUP(TRIM(B110),TRIM('[1]wc-product-export-16-3-2026-177'!$A:$A),'[1]wc-product-export-16-3-2026-177'!$D:$D,0,0)</f>
        <v>0</v>
      </c>
      <c r="Q110" s="2" cm="1">
        <f t="array" ref="Q110">IF(TRIM($D110)="SET",IF($K110="Steak Set1",ROUNDDOWN(IFERROR(MIN(_xlfn._xlws.FILTER(O$3:O$650,ISNUMBER(MATCH(TRIM($B$3:$B$650),TRIM(_xlfn.TEXTSPLIT($N110,",")),0)))),0)/4,0)+P110,IF(IFERROR(MIN(_xlfn._xlws.FILTER(O$3:O$650,ISNUMBER(MATCH(TRIM($B$3:$B$650),TRIM(_xlfn.TEXTSPLIT($N110,",")),0)))),0)&gt;=$E$1,IFERROR(MIN(_xlfn._xlws.FILTER(O$3:O$650,ISNUMBER(MATCH(TRIM($B$3:$B$650),TRIM(_xlfn.TEXTSPLIT($N110,",")),0)))),0)+P110,P110)),IF(TRIM($D110)="EA",IF(TRIM($E110)="M",ROUNDUP(O110*0.85,0),IF(TRIM($E110)="P",O110,P110)),P110))</f>
        <v>30</v>
      </c>
      <c r="T110" t="str" cm="1">
        <f t="array" ref="T110">IFERROR(IF(D110="SET",_xlfn.TEXTJOIN(", ",TRUE,_xlfn._xlws.FILTER(TRANSPOSE(TRIM(_xlfn.TEXTSPLIT(N110,","))),COUNTIFS(B$3:B$650,TRANSPOSE(TRIM(_xlfn.TEXTSPLIT(N110,","))),O$3:O$650,"&lt;="&amp;$T$1))),""),"")</f>
        <v/>
      </c>
    </row>
    <row r="111" spans="1:20" ht="14.4" x14ac:dyDescent="0.3">
      <c r="A111" s="1">
        <v>6218</v>
      </c>
      <c r="B111" s="1" t="s">
        <v>644</v>
      </c>
      <c r="C111" s="1" t="s">
        <v>1259</v>
      </c>
      <c r="D111" s="1" t="s">
        <v>624</v>
      </c>
      <c r="E111" s="1" t="s">
        <v>623</v>
      </c>
      <c r="F111" s="9" t="s">
        <v>1688</v>
      </c>
      <c r="G111" s="9"/>
      <c r="H111" s="16" t="s">
        <v>25</v>
      </c>
      <c r="I111" s="9" t="b">
        <f t="shared" si="3"/>
        <v>0</v>
      </c>
      <c r="J111" s="1" t="s">
        <v>119</v>
      </c>
      <c r="K111" s="1" t="s">
        <v>435</v>
      </c>
      <c r="L111" s="1" t="s">
        <v>435</v>
      </c>
      <c r="M111" s="9"/>
      <c r="N111" s="35"/>
      <c r="O111" s="2">
        <v>46</v>
      </c>
      <c r="P111" s="2" cm="1">
        <f t="array" ref="P111">_xlfn.XLOOKUP(TRIM(B111),TRIM('[1]wc-product-export-16-3-2026-177'!$A:$A),'[1]wc-product-export-16-3-2026-177'!$D:$D,0,0)</f>
        <v>0</v>
      </c>
      <c r="Q111" s="2" cm="1">
        <f t="array" ref="Q111">IF(TRIM($D111)="SET",IF($K111="Steak Set1",ROUNDDOWN(IFERROR(MIN(_xlfn._xlws.FILTER(O$3:O$650,ISNUMBER(MATCH(TRIM($B$3:$B$650),TRIM(_xlfn.TEXTSPLIT($N111,",")),0)))),0)/4,0)+P111,IF(IFERROR(MIN(_xlfn._xlws.FILTER(O$3:O$650,ISNUMBER(MATCH(TRIM($B$3:$B$650),TRIM(_xlfn.TEXTSPLIT($N111,",")),0)))),0)&gt;=$E$1,IFERROR(MIN(_xlfn._xlws.FILTER(O$3:O$650,ISNUMBER(MATCH(TRIM($B$3:$B$650),TRIM(_xlfn.TEXTSPLIT($N111,",")),0)))),0)+P111,P111)),IF(TRIM($D111)="EA",IF(TRIM($E111)="M",ROUNDUP(O111*0.85,0),IF(TRIM($E111)="P",O111,P111)),P111))</f>
        <v>46</v>
      </c>
      <c r="T111" t="str" cm="1">
        <f t="array" ref="T111">IFERROR(IF(D111="SET",_xlfn.TEXTJOIN(", ",TRUE,_xlfn._xlws.FILTER(TRANSPOSE(TRIM(_xlfn.TEXTSPLIT(N111,","))),COUNTIFS(B$3:B$650,TRANSPOSE(TRIM(_xlfn.TEXTSPLIT(N111,","))),O$3:O$650,"&lt;="&amp;$T$1))),""),"")</f>
        <v/>
      </c>
    </row>
    <row r="112" spans="1:20" ht="14.4" x14ac:dyDescent="0.3">
      <c r="A112" s="1">
        <v>6226</v>
      </c>
      <c r="B112" s="1" t="s">
        <v>1231</v>
      </c>
      <c r="C112" s="1" t="s">
        <v>1259</v>
      </c>
      <c r="D112" s="1" t="s">
        <v>624</v>
      </c>
      <c r="E112" s="1" t="s">
        <v>623</v>
      </c>
      <c r="F112" s="9" t="s">
        <v>1688</v>
      </c>
      <c r="G112" s="9"/>
      <c r="H112" s="16" t="s">
        <v>1232</v>
      </c>
      <c r="I112" s="9" t="b">
        <f t="shared" si="3"/>
        <v>0</v>
      </c>
      <c r="J112" s="1" t="s">
        <v>119</v>
      </c>
      <c r="K112" s="1" t="s">
        <v>1301</v>
      </c>
      <c r="L112" s="1" t="s">
        <v>1301</v>
      </c>
      <c r="M112" s="9"/>
      <c r="N112" s="35"/>
      <c r="O112" s="2">
        <v>113</v>
      </c>
      <c r="P112" s="2" cm="1">
        <f t="array" ref="P112">_xlfn.XLOOKUP(TRIM(B112),TRIM('[1]wc-product-export-16-3-2026-177'!$A:$A),'[1]wc-product-export-16-3-2026-177'!$D:$D,0,0)</f>
        <v>0</v>
      </c>
      <c r="Q112" s="2" cm="1">
        <f t="array" ref="Q112">IF(TRIM($D112)="SET",IF($K112="Steak Set1",ROUNDDOWN(IFERROR(MIN(_xlfn._xlws.FILTER(O$3:O$650,ISNUMBER(MATCH(TRIM($B$3:$B$650),TRIM(_xlfn.TEXTSPLIT($N112,",")),0)))),0)/4,0)+P112,IF(IFERROR(MIN(_xlfn._xlws.FILTER(O$3:O$650,ISNUMBER(MATCH(TRIM($B$3:$B$650),TRIM(_xlfn.TEXTSPLIT($N112,",")),0)))),0)&gt;=$E$1,IFERROR(MIN(_xlfn._xlws.FILTER(O$3:O$650,ISNUMBER(MATCH(TRIM($B$3:$B$650),TRIM(_xlfn.TEXTSPLIT($N112,",")),0)))),0)+P112,P112)),IF(TRIM($D112)="EA",IF(TRIM($E112)="M",ROUNDUP(O112*0.85,0),IF(TRIM($E112)="P",O112,P112)),P112))</f>
        <v>113</v>
      </c>
      <c r="T112" t="str" cm="1">
        <f t="array" ref="T112">IFERROR(IF(D112="SET",_xlfn.TEXTJOIN(", ",TRUE,_xlfn._xlws.FILTER(TRANSPOSE(TRIM(_xlfn.TEXTSPLIT(N112,","))),COUNTIFS(B$3:B$650,TRANSPOSE(TRIM(_xlfn.TEXTSPLIT(N112,","))),O$3:O$650,"&lt;="&amp;$T$1))),""),"")</f>
        <v/>
      </c>
    </row>
    <row r="113" spans="1:20" ht="14.4" x14ac:dyDescent="0.3">
      <c r="A113" s="1">
        <v>33777</v>
      </c>
      <c r="B113" s="56" t="s">
        <v>714</v>
      </c>
      <c r="C113" s="2" t="s">
        <v>1263</v>
      </c>
      <c r="D113" s="1" t="s">
        <v>624</v>
      </c>
      <c r="E113" s="1" t="s">
        <v>686</v>
      </c>
      <c r="F113" s="9"/>
      <c r="G113" s="9"/>
      <c r="H113" s="16" t="s">
        <v>235</v>
      </c>
      <c r="I113" s="9" t="b">
        <f t="shared" si="3"/>
        <v>1</v>
      </c>
      <c r="J113" s="1" t="s">
        <v>408</v>
      </c>
      <c r="K113" s="1" t="s">
        <v>287</v>
      </c>
      <c r="L113" s="1" t="s">
        <v>287</v>
      </c>
      <c r="M113" s="9"/>
      <c r="N113" s="35"/>
      <c r="O113" s="24">
        <v>45</v>
      </c>
      <c r="P113" s="2" cm="1">
        <f t="array" ref="P113">_xlfn.XLOOKUP(TRIM(B113),TRIM('[1]wc-product-export-16-3-2026-177'!$A:$A),'[1]wc-product-export-16-3-2026-177'!$D:$D,0,0)</f>
        <v>0</v>
      </c>
      <c r="Q113" s="2" cm="1">
        <f t="array" ref="Q113">IF(TRIM($D113)="SET",IF($K113="Steak Set1",ROUNDDOWN(IFERROR(MIN(_xlfn._xlws.FILTER(O$3:O$650,ISNUMBER(MATCH(TRIM($B$3:$B$650),TRIM(_xlfn.TEXTSPLIT($N113,",")),0)))),0)/4,0)+P113,IF(IFERROR(MIN(_xlfn._xlws.FILTER(O$3:O$650,ISNUMBER(MATCH(TRIM($B$3:$B$650),TRIM(_xlfn.TEXTSPLIT($N113,",")),0)))),0)&gt;=$E$1,IFERROR(MIN(_xlfn._xlws.FILTER(O$3:O$650,ISNUMBER(MATCH(TRIM($B$3:$B$650),TRIM(_xlfn.TEXTSPLIT($N113,",")),0)))),0)+P113,P113)),IF(TRIM($D113)="EA",IF(TRIM($E113)="M",ROUNDUP(O113*0.85,0),IF(TRIM($E113)="P",O113,P113)),P113))</f>
        <v>39</v>
      </c>
      <c r="T113" t="str" cm="1">
        <f t="array" ref="T113">IFERROR(IF(D113="SET",_xlfn.TEXTJOIN(", ",TRUE,_xlfn._xlws.FILTER(TRANSPOSE(TRIM(_xlfn.TEXTSPLIT(N113,","))),COUNTIFS(B$3:B$650,TRANSPOSE(TRIM(_xlfn.TEXTSPLIT(N113,","))),O$3:O$650,"&lt;="&amp;$T$1))),""),"")</f>
        <v/>
      </c>
    </row>
    <row r="114" spans="1:20" ht="14.4" x14ac:dyDescent="0.3">
      <c r="A114" s="1">
        <v>33778</v>
      </c>
      <c r="B114" s="56" t="s">
        <v>715</v>
      </c>
      <c r="C114" s="2" t="s">
        <v>1263</v>
      </c>
      <c r="D114" s="1" t="s">
        <v>624</v>
      </c>
      <c r="E114" s="1" t="s">
        <v>686</v>
      </c>
      <c r="F114" s="9"/>
      <c r="G114" s="9"/>
      <c r="H114" s="16" t="s">
        <v>236</v>
      </c>
      <c r="I114" s="9" t="b">
        <f t="shared" si="3"/>
        <v>1</v>
      </c>
      <c r="J114" s="1" t="s">
        <v>408</v>
      </c>
      <c r="K114" s="1" t="s">
        <v>287</v>
      </c>
      <c r="L114" s="1" t="s">
        <v>287</v>
      </c>
      <c r="M114" s="9"/>
      <c r="N114" s="35"/>
      <c r="O114" s="24">
        <v>52</v>
      </c>
      <c r="P114" s="2" cm="1">
        <f t="array" ref="P114">_xlfn.XLOOKUP(TRIM(B114),TRIM('[1]wc-product-export-16-3-2026-177'!$A:$A),'[1]wc-product-export-16-3-2026-177'!$D:$D,0,0)</f>
        <v>0</v>
      </c>
      <c r="Q114" s="2" cm="1">
        <f t="array" ref="Q114">IF(TRIM($D114)="SET",IF($K114="Steak Set1",ROUNDDOWN(IFERROR(MIN(_xlfn._xlws.FILTER(O$3:O$650,ISNUMBER(MATCH(TRIM($B$3:$B$650),TRIM(_xlfn.TEXTSPLIT($N114,",")),0)))),0)/4,0)+P114,IF(IFERROR(MIN(_xlfn._xlws.FILTER(O$3:O$650,ISNUMBER(MATCH(TRIM($B$3:$B$650),TRIM(_xlfn.TEXTSPLIT($N114,",")),0)))),0)&gt;=$E$1,IFERROR(MIN(_xlfn._xlws.FILTER(O$3:O$650,ISNUMBER(MATCH(TRIM($B$3:$B$650),TRIM(_xlfn.TEXTSPLIT($N114,",")),0)))),0)+P114,P114)),IF(TRIM($D114)="EA",IF(TRIM($E114)="M",ROUNDUP(O114*0.85,0),IF(TRIM($E114)="P",O114,P114)),P114))</f>
        <v>45</v>
      </c>
      <c r="T114" t="str" cm="1">
        <f t="array" ref="T114">IFERROR(IF(D114="SET",_xlfn.TEXTJOIN(", ",TRUE,_xlfn._xlws.FILTER(TRANSPOSE(TRIM(_xlfn.TEXTSPLIT(N114,","))),COUNTIFS(B$3:B$650,TRANSPOSE(TRIM(_xlfn.TEXTSPLIT(N114,","))),O$3:O$650,"&lt;="&amp;$T$1))),""),"")</f>
        <v/>
      </c>
    </row>
    <row r="115" spans="1:20" ht="14.4" x14ac:dyDescent="0.3">
      <c r="A115" s="1">
        <v>7004</v>
      </c>
      <c r="B115" s="1" t="s">
        <v>668</v>
      </c>
      <c r="C115" s="1" t="s">
        <v>1259</v>
      </c>
      <c r="D115" s="1" t="s">
        <v>624</v>
      </c>
      <c r="E115" s="1" t="s">
        <v>623</v>
      </c>
      <c r="F115" s="9" t="s">
        <v>1688</v>
      </c>
      <c r="G115" s="9"/>
      <c r="H115" s="53" t="s">
        <v>221</v>
      </c>
      <c r="I115" s="9" t="b">
        <f t="shared" si="3"/>
        <v>0</v>
      </c>
      <c r="J115" s="1" t="s">
        <v>394</v>
      </c>
      <c r="K115" s="1" t="s">
        <v>295</v>
      </c>
      <c r="L115" s="1" t="s">
        <v>295</v>
      </c>
      <c r="M115" s="9"/>
      <c r="N115" s="35"/>
      <c r="O115" s="2">
        <v>364</v>
      </c>
      <c r="P115" s="2" cm="1">
        <f t="array" ref="P115">_xlfn.XLOOKUP(TRIM(B115),TRIM('[1]wc-product-export-16-3-2026-177'!$A:$A),'[1]wc-product-export-16-3-2026-177'!$D:$D,0,0)</f>
        <v>0</v>
      </c>
      <c r="Q115" s="2" cm="1">
        <f t="array" ref="Q115">IF(TRIM($D115)="SET",IF($K115="Steak Set1",ROUNDDOWN(IFERROR(MIN(_xlfn._xlws.FILTER(O$3:O$650,ISNUMBER(MATCH(TRIM($B$3:$B$650),TRIM(_xlfn.TEXTSPLIT($N115,",")),0)))),0)/4,0)+P115,IF(IFERROR(MIN(_xlfn._xlws.FILTER(O$3:O$650,ISNUMBER(MATCH(TRIM($B$3:$B$650),TRIM(_xlfn.TEXTSPLIT($N115,",")),0)))),0)&gt;=$E$1,IFERROR(MIN(_xlfn._xlws.FILTER(O$3:O$650,ISNUMBER(MATCH(TRIM($B$3:$B$650),TRIM(_xlfn.TEXTSPLIT($N115,",")),0)))),0)+P115,P115)),IF(TRIM($D115)="EA",IF(TRIM($E115)="M",ROUNDUP(O115*0.85,0),IF(TRIM($E115)="P",O115,P115)),P115))</f>
        <v>364</v>
      </c>
      <c r="T115" t="str" cm="1">
        <f t="array" ref="T115">IFERROR(IF(D115="SET",_xlfn.TEXTJOIN(", ",TRUE,_xlfn._xlws.FILTER(TRANSPOSE(TRIM(_xlfn.TEXTSPLIT(N115,","))),COUNTIFS(B$3:B$650,TRANSPOSE(TRIM(_xlfn.TEXTSPLIT(N115,","))),O$3:O$650,"&lt;="&amp;$T$1))),""),"")</f>
        <v/>
      </c>
    </row>
    <row r="116" spans="1:20" ht="14.4" x14ac:dyDescent="0.3">
      <c r="A116" s="1">
        <v>7006</v>
      </c>
      <c r="B116" s="1" t="s">
        <v>669</v>
      </c>
      <c r="C116" s="1" t="s">
        <v>1259</v>
      </c>
      <c r="D116" s="1" t="s">
        <v>624</v>
      </c>
      <c r="E116" s="1" t="s">
        <v>623</v>
      </c>
      <c r="F116" s="9"/>
      <c r="G116" s="9"/>
      <c r="H116" s="16" t="s">
        <v>355</v>
      </c>
      <c r="I116" s="9" t="b">
        <f t="shared" si="3"/>
        <v>0</v>
      </c>
      <c r="J116" s="1" t="s">
        <v>394</v>
      </c>
      <c r="K116" s="1" t="s">
        <v>295</v>
      </c>
      <c r="L116" s="1" t="s">
        <v>295</v>
      </c>
      <c r="M116" s="9"/>
      <c r="N116" s="35"/>
      <c r="O116" s="2">
        <v>523</v>
      </c>
      <c r="P116" s="2" cm="1">
        <f t="array" ref="P116">_xlfn.XLOOKUP(TRIM(B116),TRIM('[1]wc-product-export-16-3-2026-177'!$A:$A),'[1]wc-product-export-16-3-2026-177'!$D:$D,0,0)</f>
        <v>0</v>
      </c>
      <c r="Q116" s="2" cm="1">
        <f t="array" ref="Q116">IF(TRIM($D116)="SET",IF($K116="Steak Set1",ROUNDDOWN(IFERROR(MIN(_xlfn._xlws.FILTER(O$3:O$650,ISNUMBER(MATCH(TRIM($B$3:$B$650),TRIM(_xlfn.TEXTSPLIT($N116,",")),0)))),0)/4,0)+P116,IF(IFERROR(MIN(_xlfn._xlws.FILTER(O$3:O$650,ISNUMBER(MATCH(TRIM($B$3:$B$650),TRIM(_xlfn.TEXTSPLIT($N116,",")),0)))),0)&gt;=$E$1,IFERROR(MIN(_xlfn._xlws.FILTER(O$3:O$650,ISNUMBER(MATCH(TRIM($B$3:$B$650),TRIM(_xlfn.TEXTSPLIT($N116,",")),0)))),0)+P116,P116)),IF(TRIM($D116)="EA",IF(TRIM($E116)="M",ROUNDUP(O116*0.85,0),IF(TRIM($E116)="P",O116,P116)),P116))</f>
        <v>523</v>
      </c>
      <c r="T116" t="str" cm="1">
        <f t="array" ref="T116">IFERROR(IF(D116="SET",_xlfn.TEXTJOIN(", ",TRUE,_xlfn._xlws.FILTER(TRANSPOSE(TRIM(_xlfn.TEXTSPLIT(N116,","))),COUNTIFS(B$3:B$650,TRANSPOSE(TRIM(_xlfn.TEXTSPLIT(N116,","))),O$3:O$650,"&lt;="&amp;$T$1))),""),"")</f>
        <v/>
      </c>
    </row>
    <row r="117" spans="1:20" ht="14.4" x14ac:dyDescent="0.3">
      <c r="A117" s="1">
        <v>7008</v>
      </c>
      <c r="B117" s="1" t="s">
        <v>670</v>
      </c>
      <c r="C117" s="1" t="s">
        <v>1259</v>
      </c>
      <c r="D117" s="1" t="s">
        <v>624</v>
      </c>
      <c r="E117" s="1" t="s">
        <v>623</v>
      </c>
      <c r="F117" s="9"/>
      <c r="G117" s="9"/>
      <c r="H117" s="16" t="s">
        <v>217</v>
      </c>
      <c r="I117" s="9" t="b">
        <f t="shared" si="3"/>
        <v>0</v>
      </c>
      <c r="J117" s="1" t="s">
        <v>394</v>
      </c>
      <c r="K117" s="1" t="s">
        <v>295</v>
      </c>
      <c r="L117" s="1" t="s">
        <v>295</v>
      </c>
      <c r="M117" s="9"/>
      <c r="N117" s="35"/>
      <c r="O117" s="2">
        <v>135</v>
      </c>
      <c r="P117" s="2" cm="1">
        <f t="array" ref="P117">_xlfn.XLOOKUP(TRIM(B117),TRIM('[1]wc-product-export-16-3-2026-177'!$A:$A),'[1]wc-product-export-16-3-2026-177'!$D:$D,0,0)</f>
        <v>0</v>
      </c>
      <c r="Q117" s="2" cm="1">
        <f t="array" ref="Q117">IF(TRIM($D117)="SET",IF($K117="Steak Set1",ROUNDDOWN(IFERROR(MIN(_xlfn._xlws.FILTER(O$3:O$650,ISNUMBER(MATCH(TRIM($B$3:$B$650),TRIM(_xlfn.TEXTSPLIT($N117,",")),0)))),0)/4,0)+P117,IF(IFERROR(MIN(_xlfn._xlws.FILTER(O$3:O$650,ISNUMBER(MATCH(TRIM($B$3:$B$650),TRIM(_xlfn.TEXTSPLIT($N117,",")),0)))),0)&gt;=$E$1,IFERROR(MIN(_xlfn._xlws.FILTER(O$3:O$650,ISNUMBER(MATCH(TRIM($B$3:$B$650),TRIM(_xlfn.TEXTSPLIT($N117,",")),0)))),0)+P117,P117)),IF(TRIM($D117)="EA",IF(TRIM($E117)="M",ROUNDUP(O117*0.85,0),IF(TRIM($E117)="P",O117,P117)),P117))</f>
        <v>135</v>
      </c>
      <c r="T117" t="str" cm="1">
        <f t="array" ref="T117">IFERROR(IF(D117="SET",_xlfn.TEXTJOIN(", ",TRUE,_xlfn._xlws.FILTER(TRANSPOSE(TRIM(_xlfn.TEXTSPLIT(N117,","))),COUNTIFS(B$3:B$650,TRANSPOSE(TRIM(_xlfn.TEXTSPLIT(N117,","))),O$3:O$650,"&lt;="&amp;$T$1))),""),"")</f>
        <v/>
      </c>
    </row>
    <row r="118" spans="1:20" ht="14.4" x14ac:dyDescent="0.3">
      <c r="A118" s="1">
        <v>7010</v>
      </c>
      <c r="B118" s="1" t="s">
        <v>671</v>
      </c>
      <c r="C118" s="1" t="s">
        <v>1259</v>
      </c>
      <c r="D118" s="1" t="s">
        <v>624</v>
      </c>
      <c r="E118" s="1" t="s">
        <v>623</v>
      </c>
      <c r="F118" s="9" t="s">
        <v>1688</v>
      </c>
      <c r="G118" s="9"/>
      <c r="H118" s="16" t="s">
        <v>219</v>
      </c>
      <c r="I118" s="9" t="b">
        <f t="shared" si="3"/>
        <v>0</v>
      </c>
      <c r="J118" s="1" t="s">
        <v>394</v>
      </c>
      <c r="K118" s="1" t="s">
        <v>295</v>
      </c>
      <c r="L118" s="1" t="s">
        <v>295</v>
      </c>
      <c r="M118" s="9"/>
      <c r="N118" s="35"/>
      <c r="O118" s="2">
        <v>54</v>
      </c>
      <c r="P118" s="2" cm="1">
        <f t="array" ref="P118">_xlfn.XLOOKUP(TRIM(B118),TRIM('[1]wc-product-export-16-3-2026-177'!$A:$A),'[1]wc-product-export-16-3-2026-177'!$D:$D,0,0)</f>
        <v>0</v>
      </c>
      <c r="Q118" s="2" cm="1">
        <f t="array" ref="Q118">IF(TRIM($D118)="SET",IF($K118="Steak Set1",ROUNDDOWN(IFERROR(MIN(_xlfn._xlws.FILTER(O$3:O$650,ISNUMBER(MATCH(TRIM($B$3:$B$650),TRIM(_xlfn.TEXTSPLIT($N118,",")),0)))),0)/4,0)+P118,IF(IFERROR(MIN(_xlfn._xlws.FILTER(O$3:O$650,ISNUMBER(MATCH(TRIM($B$3:$B$650),TRIM(_xlfn.TEXTSPLIT($N118,",")),0)))),0)&gt;=$E$1,IFERROR(MIN(_xlfn._xlws.FILTER(O$3:O$650,ISNUMBER(MATCH(TRIM($B$3:$B$650),TRIM(_xlfn.TEXTSPLIT($N118,",")),0)))),0)+P118,P118)),IF(TRIM($D118)="EA",IF(TRIM($E118)="M",ROUNDUP(O118*0.85,0),IF(TRIM($E118)="P",O118,P118)),P118))</f>
        <v>54</v>
      </c>
      <c r="T118" t="str" cm="1">
        <f t="array" ref="T118">IFERROR(IF(D118="SET",_xlfn.TEXTJOIN(", ",TRUE,_xlfn._xlws.FILTER(TRANSPOSE(TRIM(_xlfn.TEXTSPLIT(N118,","))),COUNTIFS(B$3:B$650,TRANSPOSE(TRIM(_xlfn.TEXTSPLIT(N118,","))),O$3:O$650,"&lt;="&amp;$T$1))),""),"")</f>
        <v/>
      </c>
    </row>
    <row r="119" spans="1:20" ht="14.4" x14ac:dyDescent="0.3">
      <c r="A119" s="1">
        <v>7012</v>
      </c>
      <c r="B119" s="1" t="s">
        <v>672</v>
      </c>
      <c r="C119" s="1" t="s">
        <v>1259</v>
      </c>
      <c r="D119" s="1" t="s">
        <v>624</v>
      </c>
      <c r="E119" s="1" t="s">
        <v>623</v>
      </c>
      <c r="F119" s="9"/>
      <c r="G119" s="9"/>
      <c r="H119" s="16" t="s">
        <v>406</v>
      </c>
      <c r="I119" s="9" t="b">
        <f t="shared" si="3"/>
        <v>0</v>
      </c>
      <c r="J119" s="1" t="s">
        <v>394</v>
      </c>
      <c r="K119" s="1" t="s">
        <v>295</v>
      </c>
      <c r="L119" s="1" t="s">
        <v>295</v>
      </c>
      <c r="M119" s="9"/>
      <c r="N119" s="35"/>
      <c r="O119" s="2">
        <v>145</v>
      </c>
      <c r="P119" s="2" cm="1">
        <f t="array" ref="P119">_xlfn.XLOOKUP(TRIM(B119),TRIM('[1]wc-product-export-16-3-2026-177'!$A:$A),'[1]wc-product-export-16-3-2026-177'!$D:$D,0,0)</f>
        <v>0</v>
      </c>
      <c r="Q119" s="2" cm="1">
        <f t="array" ref="Q119">IF(TRIM($D119)="SET",IF($K119="Steak Set1",ROUNDDOWN(IFERROR(MIN(_xlfn._xlws.FILTER(O$3:O$650,ISNUMBER(MATCH(TRIM($B$3:$B$650),TRIM(_xlfn.TEXTSPLIT($N119,",")),0)))),0)/4,0)+P119,IF(IFERROR(MIN(_xlfn._xlws.FILTER(O$3:O$650,ISNUMBER(MATCH(TRIM($B$3:$B$650),TRIM(_xlfn.TEXTSPLIT($N119,",")),0)))),0)&gt;=$E$1,IFERROR(MIN(_xlfn._xlws.FILTER(O$3:O$650,ISNUMBER(MATCH(TRIM($B$3:$B$650),TRIM(_xlfn.TEXTSPLIT($N119,",")),0)))),0)+P119,P119)),IF(TRIM($D119)="EA",IF(TRIM($E119)="M",ROUNDUP(O119*0.85,0),IF(TRIM($E119)="P",O119,P119)),P119))</f>
        <v>145</v>
      </c>
      <c r="T119" t="str" cm="1">
        <f t="array" ref="T119">IFERROR(IF(D119="SET",_xlfn.TEXTJOIN(", ",TRUE,_xlfn._xlws.FILTER(TRANSPOSE(TRIM(_xlfn.TEXTSPLIT(N119,","))),COUNTIFS(B$3:B$650,TRANSPOSE(TRIM(_xlfn.TEXTSPLIT(N119,","))),O$3:O$650,"&lt;="&amp;$T$1))),""),"")</f>
        <v/>
      </c>
    </row>
    <row r="120" spans="1:20" ht="14.4" x14ac:dyDescent="0.3">
      <c r="A120" s="1">
        <v>7024</v>
      </c>
      <c r="B120" s="1" t="s">
        <v>1239</v>
      </c>
      <c r="C120" s="1" t="s">
        <v>1259</v>
      </c>
      <c r="D120" s="1" t="s">
        <v>624</v>
      </c>
      <c r="E120" s="1" t="s">
        <v>623</v>
      </c>
      <c r="F120" s="9" t="s">
        <v>1688</v>
      </c>
      <c r="G120" s="9"/>
      <c r="H120" s="16" t="s">
        <v>1240</v>
      </c>
      <c r="I120" s="9" t="b">
        <f t="shared" si="3"/>
        <v>0</v>
      </c>
      <c r="J120" s="1" t="s">
        <v>394</v>
      </c>
      <c r="K120" s="1" t="s">
        <v>1292</v>
      </c>
      <c r="L120" s="1" t="s">
        <v>1292</v>
      </c>
      <c r="M120" s="9"/>
      <c r="N120" s="35"/>
      <c r="O120" s="2">
        <v>759</v>
      </c>
      <c r="P120" s="2" cm="1">
        <f t="array" ref="P120">_xlfn.XLOOKUP(TRIM(B120),TRIM('[1]wc-product-export-16-3-2026-177'!$A:$A),'[1]wc-product-export-16-3-2026-177'!$D:$D,0,0)</f>
        <v>0</v>
      </c>
      <c r="Q120" s="2" cm="1">
        <f t="array" ref="Q120">IF(TRIM($D120)="SET",IF($K120="Steak Set1",ROUNDDOWN(IFERROR(MIN(_xlfn._xlws.FILTER(O$3:O$650,ISNUMBER(MATCH(TRIM($B$3:$B$650),TRIM(_xlfn.TEXTSPLIT($N120,",")),0)))),0)/4,0)+P120,IF(IFERROR(MIN(_xlfn._xlws.FILTER(O$3:O$650,ISNUMBER(MATCH(TRIM($B$3:$B$650),TRIM(_xlfn.TEXTSPLIT($N120,",")),0)))),0)&gt;=$E$1,IFERROR(MIN(_xlfn._xlws.FILTER(O$3:O$650,ISNUMBER(MATCH(TRIM($B$3:$B$650),TRIM(_xlfn.TEXTSPLIT($N120,",")),0)))),0)+P120,P120)),IF(TRIM($D120)="EA",IF(TRIM($E120)="M",ROUNDUP(O120*0.85,0),IF(TRIM($E120)="P",O120,P120)),P120))</f>
        <v>759</v>
      </c>
      <c r="T120" t="str" cm="1">
        <f t="array" ref="T120">IFERROR(IF(D120="SET",_xlfn.TEXTJOIN(", ",TRUE,_xlfn._xlws.FILTER(TRANSPOSE(TRIM(_xlfn.TEXTSPLIT(N120,","))),COUNTIFS(B$3:B$650,TRANSPOSE(TRIM(_xlfn.TEXTSPLIT(N120,","))),O$3:O$650,"&lt;="&amp;$T$1))),""),"")</f>
        <v/>
      </c>
    </row>
    <row r="121" spans="1:20" ht="14.4" x14ac:dyDescent="0.3">
      <c r="A121" s="1">
        <v>7074</v>
      </c>
      <c r="B121" s="1" t="s">
        <v>673</v>
      </c>
      <c r="C121" s="1" t="s">
        <v>1259</v>
      </c>
      <c r="D121" s="1" t="s">
        <v>624</v>
      </c>
      <c r="E121" s="1" t="s">
        <v>623</v>
      </c>
      <c r="F121" s="9"/>
      <c r="G121" s="9"/>
      <c r="H121" s="16" t="s">
        <v>226</v>
      </c>
      <c r="I121" s="9" t="b">
        <f t="shared" si="3"/>
        <v>0</v>
      </c>
      <c r="J121" s="1" t="s">
        <v>394</v>
      </c>
      <c r="K121" s="1" t="s">
        <v>295</v>
      </c>
      <c r="L121" s="1" t="s">
        <v>295</v>
      </c>
      <c r="M121" s="9"/>
      <c r="N121" s="35"/>
      <c r="O121" s="2">
        <v>886</v>
      </c>
      <c r="P121" s="2" cm="1">
        <f t="array" ref="P121">_xlfn.XLOOKUP(TRIM(B121),TRIM('[1]wc-product-export-16-3-2026-177'!$A:$A),'[1]wc-product-export-16-3-2026-177'!$D:$D,0,0)</f>
        <v>0</v>
      </c>
      <c r="Q121" s="2" cm="1">
        <f t="array" ref="Q121">IF(TRIM($D121)="SET",IF($K121="Steak Set1",ROUNDDOWN(IFERROR(MIN(_xlfn._xlws.FILTER(O$3:O$650,ISNUMBER(MATCH(TRIM($B$3:$B$650),TRIM(_xlfn.TEXTSPLIT($N121,",")),0)))),0)/4,0)+P121,IF(IFERROR(MIN(_xlfn._xlws.FILTER(O$3:O$650,ISNUMBER(MATCH(TRIM($B$3:$B$650),TRIM(_xlfn.TEXTSPLIT($N121,",")),0)))),0)&gt;=$E$1,IFERROR(MIN(_xlfn._xlws.FILTER(O$3:O$650,ISNUMBER(MATCH(TRIM($B$3:$B$650),TRIM(_xlfn.TEXTSPLIT($N121,",")),0)))),0)+P121,P121)),IF(TRIM($D121)="EA",IF(TRIM($E121)="M",ROUNDUP(O121*0.85,0),IF(TRIM($E121)="P",O121,P121)),P121))</f>
        <v>886</v>
      </c>
      <c r="T121" t="str" cm="1">
        <f t="array" ref="T121">IFERROR(IF(D121="SET",_xlfn.TEXTJOIN(", ",TRUE,_xlfn._xlws.FILTER(TRANSPOSE(TRIM(_xlfn.TEXTSPLIT(N121,","))),COUNTIFS(B$3:B$650,TRANSPOSE(TRIM(_xlfn.TEXTSPLIT(N121,","))),O$3:O$650,"&lt;="&amp;$T$1))),""),"")</f>
        <v/>
      </c>
    </row>
    <row r="122" spans="1:20" ht="14.4" x14ac:dyDescent="0.3">
      <c r="A122" s="1">
        <v>7086</v>
      </c>
      <c r="B122" s="1" t="s">
        <v>646</v>
      </c>
      <c r="C122" s="1" t="s">
        <v>1259</v>
      </c>
      <c r="D122" s="1" t="s">
        <v>624</v>
      </c>
      <c r="E122" s="1" t="s">
        <v>623</v>
      </c>
      <c r="F122" s="9"/>
      <c r="G122" s="9"/>
      <c r="H122" s="16" t="s">
        <v>205</v>
      </c>
      <c r="I122" s="9" t="b">
        <f t="shared" si="3"/>
        <v>0</v>
      </c>
      <c r="J122" s="1" t="s">
        <v>394</v>
      </c>
      <c r="K122" s="1" t="s">
        <v>292</v>
      </c>
      <c r="L122" s="1" t="s">
        <v>292</v>
      </c>
      <c r="M122" s="9"/>
      <c r="N122" s="35"/>
      <c r="O122" s="2">
        <v>304</v>
      </c>
      <c r="P122" s="2" cm="1">
        <f t="array" ref="P122">_xlfn.XLOOKUP(TRIM(B122),TRIM('[1]wc-product-export-16-3-2026-177'!$A:$A),'[1]wc-product-export-16-3-2026-177'!$D:$D,0,0)</f>
        <v>0</v>
      </c>
      <c r="Q122" s="2" cm="1">
        <f t="array" ref="Q122">IF(TRIM($D122)="SET",IF($K122="Steak Set1",ROUNDDOWN(IFERROR(MIN(_xlfn._xlws.FILTER(O$3:O$650,ISNUMBER(MATCH(TRIM($B$3:$B$650),TRIM(_xlfn.TEXTSPLIT($N122,",")),0)))),0)/4,0)+P122,IF(IFERROR(MIN(_xlfn._xlws.FILTER(O$3:O$650,ISNUMBER(MATCH(TRIM($B$3:$B$650),TRIM(_xlfn.TEXTSPLIT($N122,",")),0)))),0)&gt;=$E$1,IFERROR(MIN(_xlfn._xlws.FILTER(O$3:O$650,ISNUMBER(MATCH(TRIM($B$3:$B$650),TRIM(_xlfn.TEXTSPLIT($N122,",")),0)))),0)+P122,P122)),IF(TRIM($D122)="EA",IF(TRIM($E122)="M",ROUNDUP(O122*0.85,0),IF(TRIM($E122)="P",O122,P122)),P122))</f>
        <v>304</v>
      </c>
      <c r="T122" t="str" cm="1">
        <f t="array" ref="T122">IFERROR(IF(D122="SET",_xlfn.TEXTJOIN(", ",TRUE,_xlfn._xlws.FILTER(TRANSPOSE(TRIM(_xlfn.TEXTSPLIT(N122,","))),COUNTIFS(B$3:B$650,TRANSPOSE(TRIM(_xlfn.TEXTSPLIT(N122,","))),O$3:O$650,"&lt;="&amp;$T$1))),""),"")</f>
        <v/>
      </c>
    </row>
    <row r="123" spans="1:20" ht="14.4" x14ac:dyDescent="0.3">
      <c r="A123" s="1">
        <v>7088</v>
      </c>
      <c r="B123" s="1" t="s">
        <v>647</v>
      </c>
      <c r="C123" s="1" t="s">
        <v>1259</v>
      </c>
      <c r="D123" s="1" t="s">
        <v>624</v>
      </c>
      <c r="E123" s="1" t="s">
        <v>623</v>
      </c>
      <c r="F123" s="9"/>
      <c r="G123" s="9"/>
      <c r="H123" s="16" t="s">
        <v>206</v>
      </c>
      <c r="I123" s="9" t="b">
        <f t="shared" si="3"/>
        <v>0</v>
      </c>
      <c r="J123" s="1" t="s">
        <v>394</v>
      </c>
      <c r="K123" s="1" t="s">
        <v>292</v>
      </c>
      <c r="L123" s="1" t="s">
        <v>292</v>
      </c>
      <c r="M123" s="9"/>
      <c r="N123" s="35"/>
      <c r="O123" s="2">
        <v>34</v>
      </c>
      <c r="P123" s="2" cm="1">
        <f t="array" ref="P123">_xlfn.XLOOKUP(TRIM(B123),TRIM('[1]wc-product-export-16-3-2026-177'!$A:$A),'[1]wc-product-export-16-3-2026-177'!$D:$D,0,0)</f>
        <v>0</v>
      </c>
      <c r="Q123" s="2" cm="1">
        <f t="array" ref="Q123">IF(TRIM($D123)="SET",IF($K123="Steak Set1",ROUNDDOWN(IFERROR(MIN(_xlfn._xlws.FILTER(O$3:O$650,ISNUMBER(MATCH(TRIM($B$3:$B$650),TRIM(_xlfn.TEXTSPLIT($N123,",")),0)))),0)/4,0)+P123,IF(IFERROR(MIN(_xlfn._xlws.FILTER(O$3:O$650,ISNUMBER(MATCH(TRIM($B$3:$B$650),TRIM(_xlfn.TEXTSPLIT($N123,",")),0)))),0)&gt;=$E$1,IFERROR(MIN(_xlfn._xlws.FILTER(O$3:O$650,ISNUMBER(MATCH(TRIM($B$3:$B$650),TRIM(_xlfn.TEXTSPLIT($N123,",")),0)))),0)+P123,P123)),IF(TRIM($D123)="EA",IF(TRIM($E123)="M",ROUNDUP(O123*0.85,0),IF(TRIM($E123)="P",O123,P123)),P123))</f>
        <v>34</v>
      </c>
      <c r="T123" t="str" cm="1">
        <f t="array" ref="T123">IFERROR(IF(D123="SET",_xlfn.TEXTJOIN(", ",TRUE,_xlfn._xlws.FILTER(TRANSPOSE(TRIM(_xlfn.TEXTSPLIT(N123,","))),COUNTIFS(B$3:B$650,TRANSPOSE(TRIM(_xlfn.TEXTSPLIT(N123,","))),O$3:O$650,"&lt;="&amp;$T$1))),""),"")</f>
        <v/>
      </c>
    </row>
    <row r="124" spans="1:20" ht="14.4" x14ac:dyDescent="0.3">
      <c r="A124" s="1">
        <v>7090</v>
      </c>
      <c r="B124" s="1" t="s">
        <v>648</v>
      </c>
      <c r="C124" s="1" t="s">
        <v>1259</v>
      </c>
      <c r="D124" s="1" t="s">
        <v>624</v>
      </c>
      <c r="E124" s="1" t="s">
        <v>623</v>
      </c>
      <c r="F124" s="9"/>
      <c r="G124" s="9"/>
      <c r="H124" s="16" t="s">
        <v>208</v>
      </c>
      <c r="I124" s="9" t="b">
        <f t="shared" si="3"/>
        <v>0</v>
      </c>
      <c r="J124" s="1" t="s">
        <v>394</v>
      </c>
      <c r="K124" s="1" t="s">
        <v>292</v>
      </c>
      <c r="L124" s="1" t="s">
        <v>292</v>
      </c>
      <c r="M124" s="9"/>
      <c r="N124" s="35"/>
      <c r="O124" s="2">
        <v>264</v>
      </c>
      <c r="P124" s="2" cm="1">
        <f t="array" ref="P124">_xlfn.XLOOKUP(TRIM(B124),TRIM('[1]wc-product-export-16-3-2026-177'!$A:$A),'[1]wc-product-export-16-3-2026-177'!$D:$D,0,0)</f>
        <v>0</v>
      </c>
      <c r="Q124" s="2" cm="1">
        <f t="array" ref="Q124">IF(TRIM($D124)="SET",IF($K124="Steak Set1",ROUNDDOWN(IFERROR(MIN(_xlfn._xlws.FILTER(O$3:O$650,ISNUMBER(MATCH(TRIM($B$3:$B$650),TRIM(_xlfn.TEXTSPLIT($N124,",")),0)))),0)/4,0)+P124,IF(IFERROR(MIN(_xlfn._xlws.FILTER(O$3:O$650,ISNUMBER(MATCH(TRIM($B$3:$B$650),TRIM(_xlfn.TEXTSPLIT($N124,",")),0)))),0)&gt;=$E$1,IFERROR(MIN(_xlfn._xlws.FILTER(O$3:O$650,ISNUMBER(MATCH(TRIM($B$3:$B$650),TRIM(_xlfn.TEXTSPLIT($N124,",")),0)))),0)+P124,P124)),IF(TRIM($D124)="EA",IF(TRIM($E124)="M",ROUNDUP(O124*0.85,0),IF(TRIM($E124)="P",O124,P124)),P124))</f>
        <v>264</v>
      </c>
      <c r="T124" t="str" cm="1">
        <f t="array" ref="T124">IFERROR(IF(D124="SET",_xlfn.TEXTJOIN(", ",TRUE,_xlfn._xlws.FILTER(TRANSPOSE(TRIM(_xlfn.TEXTSPLIT(N124,","))),COUNTIFS(B$3:B$650,TRANSPOSE(TRIM(_xlfn.TEXTSPLIT(N124,","))),O$3:O$650,"&lt;="&amp;$T$1))),""),"")</f>
        <v/>
      </c>
    </row>
    <row r="125" spans="1:20" ht="14.4" x14ac:dyDescent="0.3">
      <c r="A125" s="1">
        <v>7091</v>
      </c>
      <c r="B125" s="1" t="s">
        <v>649</v>
      </c>
      <c r="C125" s="1" t="s">
        <v>1259</v>
      </c>
      <c r="D125" s="1" t="s">
        <v>624</v>
      </c>
      <c r="E125" s="1" t="s">
        <v>623</v>
      </c>
      <c r="F125" s="9"/>
      <c r="G125" s="9"/>
      <c r="H125" s="16" t="s">
        <v>207</v>
      </c>
      <c r="I125" s="9" t="b">
        <f t="shared" si="3"/>
        <v>0</v>
      </c>
      <c r="J125" s="1" t="s">
        <v>394</v>
      </c>
      <c r="K125" s="1" t="s">
        <v>292</v>
      </c>
      <c r="L125" s="1" t="s">
        <v>292</v>
      </c>
      <c r="M125" s="9"/>
      <c r="N125" s="35"/>
      <c r="O125" s="2">
        <v>152</v>
      </c>
      <c r="P125" s="2" cm="1">
        <f t="array" ref="P125">_xlfn.XLOOKUP(TRIM(B125),TRIM('[1]wc-product-export-16-3-2026-177'!$A:$A),'[1]wc-product-export-16-3-2026-177'!$D:$D,0,0)</f>
        <v>0</v>
      </c>
      <c r="Q125" s="2" cm="1">
        <f t="array" ref="Q125">IF(TRIM($D125)="SET",IF($K125="Steak Set1",ROUNDDOWN(IFERROR(MIN(_xlfn._xlws.FILTER(O$3:O$650,ISNUMBER(MATCH(TRIM($B$3:$B$650),TRIM(_xlfn.TEXTSPLIT($N125,",")),0)))),0)/4,0)+P125,IF(IFERROR(MIN(_xlfn._xlws.FILTER(O$3:O$650,ISNUMBER(MATCH(TRIM($B$3:$B$650),TRIM(_xlfn.TEXTSPLIT($N125,",")),0)))),0)&gt;=$E$1,IFERROR(MIN(_xlfn._xlws.FILTER(O$3:O$650,ISNUMBER(MATCH(TRIM($B$3:$B$650),TRIM(_xlfn.TEXTSPLIT($N125,",")),0)))),0)+P125,P125)),IF(TRIM($D125)="EA",IF(TRIM($E125)="M",ROUNDUP(O125*0.85,0),IF(TRIM($E125)="P",O125,P125)),P125))</f>
        <v>152</v>
      </c>
      <c r="T125" t="str" cm="1">
        <f t="array" ref="T125">IFERROR(IF(D125="SET",_xlfn.TEXTJOIN(", ",TRUE,_xlfn._xlws.FILTER(TRANSPOSE(TRIM(_xlfn.TEXTSPLIT(N125,","))),COUNTIFS(B$3:B$650,TRANSPOSE(TRIM(_xlfn.TEXTSPLIT(N125,","))),O$3:O$650,"&lt;="&amp;$T$1))),""),"")</f>
        <v/>
      </c>
    </row>
    <row r="126" spans="1:20" ht="14.4" x14ac:dyDescent="0.3">
      <c r="A126" s="1">
        <v>7242</v>
      </c>
      <c r="B126" s="1" t="s">
        <v>674</v>
      </c>
      <c r="C126" s="1" t="s">
        <v>1259</v>
      </c>
      <c r="D126" s="1" t="s">
        <v>624</v>
      </c>
      <c r="E126" s="1" t="s">
        <v>623</v>
      </c>
      <c r="F126" s="9" t="s">
        <v>1688</v>
      </c>
      <c r="G126" s="9"/>
      <c r="H126" s="16" t="s">
        <v>223</v>
      </c>
      <c r="I126" s="9" t="b">
        <f t="shared" si="3"/>
        <v>0</v>
      </c>
      <c r="J126" s="1" t="s">
        <v>394</v>
      </c>
      <c r="K126" s="1" t="s">
        <v>295</v>
      </c>
      <c r="L126" s="1" t="s">
        <v>295</v>
      </c>
      <c r="M126" s="9"/>
      <c r="N126" s="35"/>
      <c r="O126" s="2">
        <v>61</v>
      </c>
      <c r="P126" s="2" cm="1">
        <f t="array" ref="P126">_xlfn.XLOOKUP(TRIM(B126),TRIM('[1]wc-product-export-16-3-2026-177'!$A:$A),'[1]wc-product-export-16-3-2026-177'!$D:$D,0,0)</f>
        <v>0</v>
      </c>
      <c r="Q126" s="2" cm="1">
        <f t="array" ref="Q126">IF(TRIM($D126)="SET",IF($K126="Steak Set1",ROUNDDOWN(IFERROR(MIN(_xlfn._xlws.FILTER(O$3:O$650,ISNUMBER(MATCH(TRIM($B$3:$B$650),TRIM(_xlfn.TEXTSPLIT($N126,",")),0)))),0)/4,0)+P126,IF(IFERROR(MIN(_xlfn._xlws.FILTER(O$3:O$650,ISNUMBER(MATCH(TRIM($B$3:$B$650),TRIM(_xlfn.TEXTSPLIT($N126,",")),0)))),0)&gt;=$E$1,IFERROR(MIN(_xlfn._xlws.FILTER(O$3:O$650,ISNUMBER(MATCH(TRIM($B$3:$B$650),TRIM(_xlfn.TEXTSPLIT($N126,",")),0)))),0)+P126,P126)),IF(TRIM($D126)="EA",IF(TRIM($E126)="M",ROUNDUP(O126*0.85,0),IF(TRIM($E126)="P",O126,P126)),P126))</f>
        <v>61</v>
      </c>
      <c r="T126" t="str" cm="1">
        <f t="array" ref="T126">IFERROR(IF(D126="SET",_xlfn.TEXTJOIN(", ",TRUE,_xlfn._xlws.FILTER(TRANSPOSE(TRIM(_xlfn.TEXTSPLIT(N126,","))),COUNTIFS(B$3:B$650,TRANSPOSE(TRIM(_xlfn.TEXTSPLIT(N126,","))),O$3:O$650,"&lt;="&amp;$T$1))),""),"")</f>
        <v/>
      </c>
    </row>
    <row r="127" spans="1:20" ht="14.4" x14ac:dyDescent="0.3">
      <c r="A127" s="1">
        <v>7300</v>
      </c>
      <c r="B127" s="1" t="s">
        <v>663</v>
      </c>
      <c r="C127" s="1" t="s">
        <v>1259</v>
      </c>
      <c r="D127" s="1" t="s">
        <v>624</v>
      </c>
      <c r="E127" s="1" t="s">
        <v>623</v>
      </c>
      <c r="F127" s="9"/>
      <c r="G127" s="9"/>
      <c r="H127" s="16" t="s">
        <v>421</v>
      </c>
      <c r="I127" s="9" t="b">
        <f t="shared" si="3"/>
        <v>0</v>
      </c>
      <c r="J127" s="1" t="s">
        <v>394</v>
      </c>
      <c r="K127" s="1" t="s">
        <v>356</v>
      </c>
      <c r="L127" s="1" t="s">
        <v>356</v>
      </c>
      <c r="M127" s="9"/>
      <c r="N127" s="35"/>
      <c r="O127" s="2">
        <v>180</v>
      </c>
      <c r="P127" s="2" cm="1">
        <f t="array" ref="P127">_xlfn.XLOOKUP(TRIM(B127),TRIM('[1]wc-product-export-16-3-2026-177'!$A:$A),'[1]wc-product-export-16-3-2026-177'!$D:$D,0,0)</f>
        <v>0</v>
      </c>
      <c r="Q127" s="2" cm="1">
        <f t="array" ref="Q127">IF(TRIM($D127)="SET",IF($K127="Steak Set1",ROUNDDOWN(IFERROR(MIN(_xlfn._xlws.FILTER(O$3:O$650,ISNUMBER(MATCH(TRIM($B$3:$B$650),TRIM(_xlfn.TEXTSPLIT($N127,",")),0)))),0)/4,0)+P127,IF(IFERROR(MIN(_xlfn._xlws.FILTER(O$3:O$650,ISNUMBER(MATCH(TRIM($B$3:$B$650),TRIM(_xlfn.TEXTSPLIT($N127,",")),0)))),0)&gt;=$E$1,IFERROR(MIN(_xlfn._xlws.FILTER(O$3:O$650,ISNUMBER(MATCH(TRIM($B$3:$B$650),TRIM(_xlfn.TEXTSPLIT($N127,",")),0)))),0)+P127,P127)),IF(TRIM($D127)="EA",IF(TRIM($E127)="M",ROUNDUP(O127*0.85,0),IF(TRIM($E127)="P",O127,P127)),P127))</f>
        <v>180</v>
      </c>
      <c r="T127" t="str" cm="1">
        <f t="array" ref="T127">IFERROR(IF(D127="SET",_xlfn.TEXTJOIN(", ",TRUE,_xlfn._xlws.FILTER(TRANSPOSE(TRIM(_xlfn.TEXTSPLIT(N127,","))),COUNTIFS(B$3:B$650,TRANSPOSE(TRIM(_xlfn.TEXTSPLIT(N127,","))),O$3:O$650,"&lt;="&amp;$T$1))),""),"")</f>
        <v/>
      </c>
    </row>
    <row r="128" spans="1:20" ht="14.4" x14ac:dyDescent="0.3">
      <c r="A128" s="1">
        <v>7304</v>
      </c>
      <c r="B128" s="1" t="s">
        <v>664</v>
      </c>
      <c r="C128" s="1" t="s">
        <v>1259</v>
      </c>
      <c r="D128" s="1" t="s">
        <v>624</v>
      </c>
      <c r="E128" s="1" t="s">
        <v>623</v>
      </c>
      <c r="F128" s="9"/>
      <c r="G128" s="9"/>
      <c r="H128" s="16" t="s">
        <v>422</v>
      </c>
      <c r="I128" s="9" t="b">
        <f t="shared" si="3"/>
        <v>0</v>
      </c>
      <c r="J128" s="1" t="s">
        <v>394</v>
      </c>
      <c r="K128" s="1" t="s">
        <v>356</v>
      </c>
      <c r="L128" s="1" t="s">
        <v>356</v>
      </c>
      <c r="M128" s="9"/>
      <c r="N128" s="35"/>
      <c r="O128" s="2">
        <v>181</v>
      </c>
      <c r="P128" s="2" cm="1">
        <f t="array" ref="P128">_xlfn.XLOOKUP(TRIM(B128),TRIM('[1]wc-product-export-16-3-2026-177'!$A:$A),'[1]wc-product-export-16-3-2026-177'!$D:$D,0,0)</f>
        <v>0</v>
      </c>
      <c r="Q128" s="2" cm="1">
        <f t="array" ref="Q128">IF(TRIM($D128)="SET",IF($K128="Steak Set1",ROUNDDOWN(IFERROR(MIN(_xlfn._xlws.FILTER(O$3:O$650,ISNUMBER(MATCH(TRIM($B$3:$B$650),TRIM(_xlfn.TEXTSPLIT($N128,",")),0)))),0)/4,0)+P128,IF(IFERROR(MIN(_xlfn._xlws.FILTER(O$3:O$650,ISNUMBER(MATCH(TRIM($B$3:$B$650),TRIM(_xlfn.TEXTSPLIT($N128,",")),0)))),0)&gt;=$E$1,IFERROR(MIN(_xlfn._xlws.FILTER(O$3:O$650,ISNUMBER(MATCH(TRIM($B$3:$B$650),TRIM(_xlfn.TEXTSPLIT($N128,",")),0)))),0)+P128,P128)),IF(TRIM($D128)="EA",IF(TRIM($E128)="M",ROUNDUP(O128*0.85,0),IF(TRIM($E128)="P",O128,P128)),P128))</f>
        <v>181</v>
      </c>
      <c r="T128" t="str" cm="1">
        <f t="array" ref="T128">IFERROR(IF(D128="SET",_xlfn.TEXTJOIN(", ",TRUE,_xlfn._xlws.FILTER(TRANSPOSE(TRIM(_xlfn.TEXTSPLIT(N128,","))),COUNTIFS(B$3:B$650,TRANSPOSE(TRIM(_xlfn.TEXTSPLIT(N128,","))),O$3:O$650,"&lt;="&amp;$T$1))),""),"")</f>
        <v/>
      </c>
    </row>
    <row r="129" spans="1:20" ht="14.4" x14ac:dyDescent="0.3">
      <c r="A129" s="1">
        <v>7308</v>
      </c>
      <c r="B129" s="1" t="s">
        <v>665</v>
      </c>
      <c r="C129" s="1" t="s">
        <v>1259</v>
      </c>
      <c r="D129" s="1" t="s">
        <v>624</v>
      </c>
      <c r="E129" s="1" t="s">
        <v>623</v>
      </c>
      <c r="F129" s="9"/>
      <c r="G129" s="9"/>
      <c r="H129" s="16" t="s">
        <v>216</v>
      </c>
      <c r="I129" s="9" t="b">
        <f t="shared" si="3"/>
        <v>0</v>
      </c>
      <c r="J129" s="1" t="s">
        <v>394</v>
      </c>
      <c r="K129" s="1" t="s">
        <v>356</v>
      </c>
      <c r="L129" s="1" t="s">
        <v>356</v>
      </c>
      <c r="M129" s="9"/>
      <c r="N129" s="35"/>
      <c r="O129" s="2">
        <v>242</v>
      </c>
      <c r="P129" s="2" cm="1">
        <f t="array" ref="P129">_xlfn.XLOOKUP(TRIM(B129),TRIM('[1]wc-product-export-16-3-2026-177'!$A:$A),'[1]wc-product-export-16-3-2026-177'!$D:$D,0,0)</f>
        <v>0</v>
      </c>
      <c r="Q129" s="2" cm="1">
        <f t="array" ref="Q129">IF(TRIM($D129)="SET",IF($K129="Steak Set1",ROUNDDOWN(IFERROR(MIN(_xlfn._xlws.FILTER(O$3:O$650,ISNUMBER(MATCH(TRIM($B$3:$B$650),TRIM(_xlfn.TEXTSPLIT($N129,",")),0)))),0)/4,0)+P129,IF(IFERROR(MIN(_xlfn._xlws.FILTER(O$3:O$650,ISNUMBER(MATCH(TRIM($B$3:$B$650),TRIM(_xlfn.TEXTSPLIT($N129,",")),0)))),0)&gt;=$E$1,IFERROR(MIN(_xlfn._xlws.FILTER(O$3:O$650,ISNUMBER(MATCH(TRIM($B$3:$B$650),TRIM(_xlfn.TEXTSPLIT($N129,",")),0)))),0)+P129,P129)),IF(TRIM($D129)="EA",IF(TRIM($E129)="M",ROUNDUP(O129*0.85,0),IF(TRIM($E129)="P",O129,P129)),P129))</f>
        <v>242</v>
      </c>
      <c r="T129" t="str" cm="1">
        <f t="array" ref="T129">IFERROR(IF(D129="SET",_xlfn.TEXTJOIN(", ",TRUE,_xlfn._xlws.FILTER(TRANSPOSE(TRIM(_xlfn.TEXTSPLIT(N129,","))),COUNTIFS(B$3:B$650,TRANSPOSE(TRIM(_xlfn.TEXTSPLIT(N129,","))),O$3:O$650,"&lt;="&amp;$T$1))),""),"")</f>
        <v/>
      </c>
    </row>
    <row r="130" spans="1:20" ht="14.4" x14ac:dyDescent="0.3">
      <c r="A130" s="1">
        <v>33779</v>
      </c>
      <c r="B130" s="55" t="s">
        <v>716</v>
      </c>
      <c r="C130" s="2" t="s">
        <v>1263</v>
      </c>
      <c r="D130" s="1" t="s">
        <v>624</v>
      </c>
      <c r="E130" s="1" t="s">
        <v>686</v>
      </c>
      <c r="F130" s="9"/>
      <c r="G130" s="9"/>
      <c r="H130" s="16" t="s">
        <v>230</v>
      </c>
      <c r="I130" s="9" t="b">
        <f t="shared" si="3"/>
        <v>1</v>
      </c>
      <c r="J130" s="1" t="s">
        <v>408</v>
      </c>
      <c r="K130" s="1" t="s">
        <v>287</v>
      </c>
      <c r="L130" s="1" t="s">
        <v>287</v>
      </c>
      <c r="M130" s="9"/>
      <c r="N130" s="35"/>
      <c r="O130" s="24">
        <v>36</v>
      </c>
      <c r="P130" s="2" cm="1">
        <f t="array" ref="P130">_xlfn.XLOOKUP(TRIM(B130),TRIM('[1]wc-product-export-16-3-2026-177'!$A:$A),'[1]wc-product-export-16-3-2026-177'!$D:$D,0,0)</f>
        <v>0</v>
      </c>
      <c r="Q130" s="2" cm="1">
        <f t="array" ref="Q130">IF(TRIM($D130)="SET",IF($K130="Steak Set1",ROUNDDOWN(IFERROR(MIN(_xlfn._xlws.FILTER(O$3:O$650,ISNUMBER(MATCH(TRIM($B$3:$B$650),TRIM(_xlfn.TEXTSPLIT($N130,",")),0)))),0)/4,0)+P130,IF(IFERROR(MIN(_xlfn._xlws.FILTER(O$3:O$650,ISNUMBER(MATCH(TRIM($B$3:$B$650),TRIM(_xlfn.TEXTSPLIT($N130,",")),0)))),0)&gt;=$E$1,IFERROR(MIN(_xlfn._xlws.FILTER(O$3:O$650,ISNUMBER(MATCH(TRIM($B$3:$B$650),TRIM(_xlfn.TEXTSPLIT($N130,",")),0)))),0)+P130,P130)),IF(TRIM($D130)="EA",IF(TRIM($E130)="M",ROUNDUP(O130*0.85,0),IF(TRIM($E130)="P",O130,P130)),P130))</f>
        <v>31</v>
      </c>
      <c r="T130" t="str" cm="1">
        <f t="array" ref="T130">IFERROR(IF(D130="SET",_xlfn.TEXTJOIN(", ",TRUE,_xlfn._xlws.FILTER(TRANSPOSE(TRIM(_xlfn.TEXTSPLIT(N130,","))),COUNTIFS(B$3:B$650,TRANSPOSE(TRIM(_xlfn.TEXTSPLIT(N130,","))),O$3:O$650,"&lt;="&amp;$T$1))),""),"")</f>
        <v/>
      </c>
    </row>
    <row r="131" spans="1:20" ht="14.4" x14ac:dyDescent="0.3">
      <c r="B131" s="24">
        <v>33780</v>
      </c>
      <c r="C131" s="2" t="s">
        <v>1263</v>
      </c>
      <c r="D131" s="14" t="s">
        <v>624</v>
      </c>
      <c r="E131" s="2" t="s">
        <v>686</v>
      </c>
      <c r="H131" s="16" t="s">
        <v>1698</v>
      </c>
      <c r="J131" s="1" t="s">
        <v>408</v>
      </c>
      <c r="L131" s="1" t="s">
        <v>1725</v>
      </c>
      <c r="O131" s="24">
        <v>33</v>
      </c>
      <c r="P131" s="2" cm="1">
        <f t="array" ref="P131">_xlfn.XLOOKUP(TRIM(B131),TRIM('[1]wc-product-export-16-3-2026-177'!$A:$A),'[1]wc-product-export-16-3-2026-177'!$D:$D,0,0)</f>
        <v>0</v>
      </c>
      <c r="Q131" s="2" cm="1">
        <f t="array" ref="Q131">IF(TRIM($D131)="SET",IF($K131="Steak Set1",ROUNDDOWN(IFERROR(MIN(_xlfn._xlws.FILTER(O$3:O$650,ISNUMBER(MATCH(TRIM($B$3:$B$650),TRIM(_xlfn.TEXTSPLIT($N131,",")),0)))),0)/4,0)+P131,IF(IFERROR(MIN(_xlfn._xlws.FILTER(O$3:O$650,ISNUMBER(MATCH(TRIM($B$3:$B$650),TRIM(_xlfn.TEXTSPLIT($N131,",")),0)))),0)&gt;=$E$1,IFERROR(MIN(_xlfn._xlws.FILTER(O$3:O$650,ISNUMBER(MATCH(TRIM($B$3:$B$650),TRIM(_xlfn.TEXTSPLIT($N131,",")),0)))),0)+P131,P131)),IF(TRIM($D131)="EA",IF(TRIM($E131)="M",ROUNDUP(O131*0.85,0),IF(TRIM($E131)="P",O131,P131)),P131))</f>
        <v>29</v>
      </c>
      <c r="T131" t="str" cm="1">
        <f t="array" ref="T131">IFERROR(IF(D131="SET",_xlfn.TEXTJOIN(", ",TRUE,_xlfn._xlws.FILTER(TRANSPOSE(TRIM(_xlfn.TEXTSPLIT(N131,","))),COUNTIFS(B$3:B$650,TRANSPOSE(TRIM(_xlfn.TEXTSPLIT(N131,","))),O$3:O$650,"&lt;="&amp;$T$1))),""),"")</f>
        <v/>
      </c>
    </row>
    <row r="132" spans="1:20" ht="14.4" x14ac:dyDescent="0.3">
      <c r="A132" s="1">
        <v>33782</v>
      </c>
      <c r="B132" s="56" t="s">
        <v>717</v>
      </c>
      <c r="C132" s="2" t="s">
        <v>1263</v>
      </c>
      <c r="D132" s="1" t="s">
        <v>624</v>
      </c>
      <c r="E132" s="1" t="s">
        <v>686</v>
      </c>
      <c r="F132" s="9" t="s">
        <v>1688</v>
      </c>
      <c r="G132" s="9"/>
      <c r="H132" s="16" t="s">
        <v>231</v>
      </c>
      <c r="I132" s="9" t="b">
        <f t="shared" ref="I132:I195" si="4">ISNUMBER(SEARCH($I$2,H132))</f>
        <v>1</v>
      </c>
      <c r="J132" s="1" t="s">
        <v>408</v>
      </c>
      <c r="K132" s="1" t="s">
        <v>287</v>
      </c>
      <c r="L132" s="1" t="s">
        <v>287</v>
      </c>
      <c r="M132" s="9"/>
      <c r="N132" s="35"/>
      <c r="O132" s="24">
        <v>33</v>
      </c>
      <c r="P132" s="2" cm="1">
        <f t="array" ref="P132">_xlfn.XLOOKUP(TRIM(B132),TRIM('[1]wc-product-export-16-3-2026-177'!$A:$A),'[1]wc-product-export-16-3-2026-177'!$D:$D,0,0)</f>
        <v>0</v>
      </c>
      <c r="Q132" s="2" cm="1">
        <f t="array" ref="Q132">IF(TRIM($D132)="SET",IF($K132="Steak Set1",ROUNDDOWN(IFERROR(MIN(_xlfn._xlws.FILTER(O$3:O$650,ISNUMBER(MATCH(TRIM($B$3:$B$650),TRIM(_xlfn.TEXTSPLIT($N132,",")),0)))),0)/4,0)+P132,IF(IFERROR(MIN(_xlfn._xlws.FILTER(O$3:O$650,ISNUMBER(MATCH(TRIM($B$3:$B$650),TRIM(_xlfn.TEXTSPLIT($N132,",")),0)))),0)&gt;=$E$1,IFERROR(MIN(_xlfn._xlws.FILTER(O$3:O$650,ISNUMBER(MATCH(TRIM($B$3:$B$650),TRIM(_xlfn.TEXTSPLIT($N132,",")),0)))),0)+P132,P132)),IF(TRIM($D132)="EA",IF(TRIM($E132)="M",ROUNDUP(O132*0.85,0),IF(TRIM($E132)="P",O132,P132)),P132))</f>
        <v>29</v>
      </c>
      <c r="T132" t="str" cm="1">
        <f t="array" ref="T132">IFERROR(IF(D132="SET",_xlfn.TEXTJOIN(", ",TRUE,_xlfn._xlws.FILTER(TRANSPOSE(TRIM(_xlfn.TEXTSPLIT(N132,","))),COUNTIFS(B$3:B$650,TRANSPOSE(TRIM(_xlfn.TEXTSPLIT(N132,","))),O$3:O$650,"&lt;="&amp;$T$1))),""),"")</f>
        <v/>
      </c>
    </row>
    <row r="133" spans="1:20" ht="14.4" x14ac:dyDescent="0.3">
      <c r="B133" s="55">
        <v>33783</v>
      </c>
      <c r="C133" s="1" t="s">
        <v>1259</v>
      </c>
      <c r="D133" s="1" t="s">
        <v>624</v>
      </c>
      <c r="E133" s="2" t="s">
        <v>686</v>
      </c>
      <c r="H133" s="49" t="s">
        <v>1701</v>
      </c>
      <c r="I133" s="9" t="b">
        <f t="shared" si="4"/>
        <v>1</v>
      </c>
      <c r="J133" s="1" t="s">
        <v>408</v>
      </c>
      <c r="K133" s="1" t="s">
        <v>287</v>
      </c>
      <c r="L133" s="1" t="s">
        <v>287</v>
      </c>
      <c r="O133" s="24">
        <v>0</v>
      </c>
      <c r="P133" s="2" cm="1">
        <f t="array" ref="P133">_xlfn.XLOOKUP(TRIM(B133),TRIM('[1]wc-product-export-16-3-2026-177'!$A:$A),'[1]wc-product-export-16-3-2026-177'!$D:$D,0,0)</f>
        <v>0</v>
      </c>
      <c r="Q133" s="2" cm="1">
        <f t="array" ref="Q133">IF(TRIM($D133)="SET",IF($K133="Steak Set1",ROUNDDOWN(IFERROR(MIN(_xlfn._xlws.FILTER(O$3:O$650,ISNUMBER(MATCH(TRIM($B$3:$B$650),TRIM(_xlfn.TEXTSPLIT($N133,",")),0)))),0)/4,0)+P133,IF(IFERROR(MIN(_xlfn._xlws.FILTER(O$3:O$650,ISNUMBER(MATCH(TRIM($B$3:$B$650),TRIM(_xlfn.TEXTSPLIT($N133,",")),0)))),0)&gt;=$E$1,IFERROR(MIN(_xlfn._xlws.FILTER(O$3:O$650,ISNUMBER(MATCH(TRIM($B$3:$B$650),TRIM(_xlfn.TEXTSPLIT($N133,",")),0)))),0)+P133,P133)),IF(TRIM($D133)="EA",IF(TRIM($E133)="M",ROUNDUP(O133*0.85,0),IF(TRIM($E133)="P",O133,P133)),P133))</f>
        <v>0</v>
      </c>
      <c r="T133" t="str" cm="1">
        <f t="array" ref="T133">IFERROR(IF(D133="SET",_xlfn.TEXTJOIN(", ",TRUE,_xlfn._xlws.FILTER(TRANSPOSE(TRIM(_xlfn.TEXTSPLIT(N133,","))),COUNTIFS(B$3:B$650,TRANSPOSE(TRIM(_xlfn.TEXTSPLIT(N133,","))),O$3:O$650,"&lt;="&amp;$T$1))),""),"")</f>
        <v/>
      </c>
    </row>
    <row r="134" spans="1:20" ht="14.4" x14ac:dyDescent="0.3">
      <c r="A134" s="1">
        <v>33807</v>
      </c>
      <c r="B134" s="55" t="s">
        <v>718</v>
      </c>
      <c r="C134" s="2" t="s">
        <v>1263</v>
      </c>
      <c r="D134" s="1" t="s">
        <v>624</v>
      </c>
      <c r="E134" s="1" t="s">
        <v>686</v>
      </c>
      <c r="F134" s="9" t="s">
        <v>1688</v>
      </c>
      <c r="G134" s="9"/>
      <c r="H134" s="16" t="s">
        <v>232</v>
      </c>
      <c r="I134" s="9" t="b">
        <f t="shared" si="4"/>
        <v>1</v>
      </c>
      <c r="J134" s="1" t="s">
        <v>408</v>
      </c>
      <c r="K134" s="1" t="s">
        <v>287</v>
      </c>
      <c r="L134" s="1" t="s">
        <v>287</v>
      </c>
      <c r="M134" s="9"/>
      <c r="N134" s="35"/>
      <c r="O134" s="24">
        <v>0</v>
      </c>
      <c r="P134" s="2" cm="1">
        <f t="array" ref="P134">_xlfn.XLOOKUP(TRIM(B134),TRIM('[1]wc-product-export-16-3-2026-177'!$A:$A),'[1]wc-product-export-16-3-2026-177'!$D:$D,0,0)</f>
        <v>0</v>
      </c>
      <c r="Q134" s="2" cm="1">
        <f t="array" ref="Q134">IF(TRIM($D134)="SET",IF($K134="Steak Set1",ROUNDDOWN(IFERROR(MIN(_xlfn._xlws.FILTER(O$3:O$650,ISNUMBER(MATCH(TRIM($B$3:$B$650),TRIM(_xlfn.TEXTSPLIT($N134,",")),0)))),0)/4,0)+P134,IF(IFERROR(MIN(_xlfn._xlws.FILTER(O$3:O$650,ISNUMBER(MATCH(TRIM($B$3:$B$650),TRIM(_xlfn.TEXTSPLIT($N134,",")),0)))),0)&gt;=$E$1,IFERROR(MIN(_xlfn._xlws.FILTER(O$3:O$650,ISNUMBER(MATCH(TRIM($B$3:$B$650),TRIM(_xlfn.TEXTSPLIT($N134,",")),0)))),0)+P134,P134)),IF(TRIM($D134)="EA",IF(TRIM($E134)="M",ROUNDUP(O134*0.85,0),IF(TRIM($E134)="P",O134,P134)),P134))</f>
        <v>0</v>
      </c>
      <c r="T134" t="str" cm="1">
        <f t="array" ref="T134">IFERROR(IF(D134="SET",_xlfn.TEXTJOIN(", ",TRUE,_xlfn._xlws.FILTER(TRANSPOSE(TRIM(_xlfn.TEXTSPLIT(N134,","))),COUNTIFS(B$3:B$650,TRANSPOSE(TRIM(_xlfn.TEXTSPLIT(N134,","))),O$3:O$650,"&lt;="&amp;$T$1))),""),"")</f>
        <v/>
      </c>
    </row>
    <row r="135" spans="1:20" ht="14.4" hidden="1" x14ac:dyDescent="0.3">
      <c r="A135" s="1">
        <v>33820</v>
      </c>
      <c r="B135" s="1" t="s">
        <v>719</v>
      </c>
      <c r="C135" s="2" t="s">
        <v>1263</v>
      </c>
      <c r="D135" s="1" t="s">
        <v>624</v>
      </c>
      <c r="E135" s="1" t="s">
        <v>686</v>
      </c>
      <c r="F135" s="9"/>
      <c r="G135" s="9"/>
      <c r="H135" s="53" t="s">
        <v>195</v>
      </c>
      <c r="I135" s="9" t="b">
        <f t="shared" si="4"/>
        <v>1</v>
      </c>
      <c r="J135" s="1" t="s">
        <v>408</v>
      </c>
      <c r="K135" s="1" t="s">
        <v>287</v>
      </c>
      <c r="L135" s="1" t="s">
        <v>287</v>
      </c>
      <c r="M135" s="9"/>
      <c r="N135" s="35"/>
      <c r="O135" s="2" t="s">
        <v>458</v>
      </c>
      <c r="P135" s="2" cm="1">
        <f t="array" ref="P135">_xlfn.XLOOKUP(TRIM(B135),TRIM('[1]wc-product-export-16-3-2026-177'!$A:$A),'[1]wc-product-export-16-3-2026-177'!$D:$D,0,0)</f>
        <v>0</v>
      </c>
      <c r="Q135" s="2" t="e" cm="1">
        <f t="array" ref="Q135">IF(TRIM($D135)="SET",IF($K135="Steak Set1",ROUNDDOWN(IFERROR(MIN(_xlfn._xlws.FILTER(O$3:O$650,ISNUMBER(MATCH(TRIM($B$3:$B$650),TRIM(_xlfn.TEXTSPLIT($N135,",")),0)))),0)/4,0)+P135,IF(IFERROR(MIN(_xlfn._xlws.FILTER(O$3:O$650,ISNUMBER(MATCH(TRIM($B$3:$B$650),TRIM(_xlfn.TEXTSPLIT($N135,",")),0)))),0)&gt;=$E$1,IFERROR(MIN(_xlfn._xlws.FILTER(O$3:O$650,ISNUMBER(MATCH(TRIM($B$3:$B$650),TRIM(_xlfn.TEXTSPLIT($N135,",")),0)))),0)+P135,P135)),IF(TRIM($D135)="EA",IF(TRIM($E135)="M",ROUNDUP(O135*0.85,0),IF(TRIM($E135)="P",O135,P135)),P135))</f>
        <v>#VALUE!</v>
      </c>
      <c r="T135" t="str" cm="1">
        <f t="array" ref="T135">IFERROR(IF(D135="SET",_xlfn.TEXTJOIN(", ",TRUE,_xlfn._xlws.FILTER(TRANSPOSE(TRIM(_xlfn.TEXTSPLIT(N135,","))),COUNTIFS(B$3:B$650,TRANSPOSE(TRIM(_xlfn.TEXTSPLIT(N135,","))),O$3:O$650,"&lt;="&amp;$T$1))),""),"")</f>
        <v/>
      </c>
    </row>
    <row r="136" spans="1:20" ht="14.4" x14ac:dyDescent="0.3">
      <c r="A136" s="1">
        <v>7309</v>
      </c>
      <c r="B136" s="1" t="s">
        <v>666</v>
      </c>
      <c r="C136" s="1" t="s">
        <v>1259</v>
      </c>
      <c r="D136" s="1" t="s">
        <v>624</v>
      </c>
      <c r="E136" s="1" t="s">
        <v>623</v>
      </c>
      <c r="F136" s="9"/>
      <c r="G136" s="9"/>
      <c r="H136" s="16" t="s">
        <v>214</v>
      </c>
      <c r="I136" s="9" t="b">
        <f t="shared" si="4"/>
        <v>0</v>
      </c>
      <c r="J136" s="1" t="s">
        <v>394</v>
      </c>
      <c r="K136" s="1" t="s">
        <v>356</v>
      </c>
      <c r="L136" s="1" t="s">
        <v>356</v>
      </c>
      <c r="M136" s="9"/>
      <c r="N136" s="35"/>
      <c r="O136" s="2">
        <v>284</v>
      </c>
      <c r="P136" s="2" cm="1">
        <f t="array" ref="P136">_xlfn.XLOOKUP(TRIM(B136),TRIM('[1]wc-product-export-16-3-2026-177'!$A:$A),'[1]wc-product-export-16-3-2026-177'!$D:$D,0,0)</f>
        <v>0</v>
      </c>
      <c r="Q136" s="2" cm="1">
        <f t="array" ref="Q136">IF(TRIM($D136)="SET",IF($K136="Steak Set1",ROUNDDOWN(IFERROR(MIN(_xlfn._xlws.FILTER(O$3:O$650,ISNUMBER(MATCH(TRIM($B$3:$B$650),TRIM(_xlfn.TEXTSPLIT($N136,",")),0)))),0)/4,0)+P136,IF(IFERROR(MIN(_xlfn._xlws.FILTER(O$3:O$650,ISNUMBER(MATCH(TRIM($B$3:$B$650),TRIM(_xlfn.TEXTSPLIT($N136,",")),0)))),0)&gt;=$E$1,IFERROR(MIN(_xlfn._xlws.FILTER(O$3:O$650,ISNUMBER(MATCH(TRIM($B$3:$B$650),TRIM(_xlfn.TEXTSPLIT($N136,",")),0)))),0)+P136,P136)),IF(TRIM($D136)="EA",IF(TRIM($E136)="M",ROUNDUP(O136*0.85,0),IF(TRIM($E136)="P",O136,P136)),P136))</f>
        <v>284</v>
      </c>
      <c r="T136" t="str" cm="1">
        <f t="array" ref="T136">IFERROR(IF(D136="SET",_xlfn.TEXTJOIN(", ",TRUE,_xlfn._xlws.FILTER(TRANSPOSE(TRIM(_xlfn.TEXTSPLIT(N136,","))),COUNTIFS(B$3:B$650,TRANSPOSE(TRIM(_xlfn.TEXTSPLIT(N136,","))),O$3:O$650,"&lt;="&amp;$T$1))),""),"")</f>
        <v/>
      </c>
    </row>
    <row r="137" spans="1:20" ht="14.4" x14ac:dyDescent="0.3">
      <c r="A137" s="1">
        <v>33835</v>
      </c>
      <c r="B137" s="55" t="s">
        <v>720</v>
      </c>
      <c r="C137" s="2" t="s">
        <v>1263</v>
      </c>
      <c r="D137" s="1" t="s">
        <v>624</v>
      </c>
      <c r="E137" s="1" t="s">
        <v>686</v>
      </c>
      <c r="F137" s="9" t="s">
        <v>1690</v>
      </c>
      <c r="G137" s="9"/>
      <c r="H137" s="16" t="s">
        <v>196</v>
      </c>
      <c r="I137" s="9" t="b">
        <f t="shared" si="4"/>
        <v>1</v>
      </c>
      <c r="J137" s="1" t="s">
        <v>408</v>
      </c>
      <c r="K137" s="1" t="s">
        <v>287</v>
      </c>
      <c r="L137" s="1" t="s">
        <v>287</v>
      </c>
      <c r="M137" s="9"/>
      <c r="N137" s="35"/>
      <c r="O137" s="24">
        <v>129</v>
      </c>
      <c r="P137" s="2" cm="1">
        <f t="array" ref="P137">_xlfn.XLOOKUP(TRIM(B137),TRIM('[1]wc-product-export-16-3-2026-177'!$A:$A),'[1]wc-product-export-16-3-2026-177'!$D:$D,0,0)</f>
        <v>0</v>
      </c>
      <c r="Q137" s="2" cm="1">
        <f t="array" ref="Q137">IF(TRIM($D137)="SET",IF($K137="Steak Set1",ROUNDDOWN(IFERROR(MIN(_xlfn._xlws.FILTER(O$3:O$650,ISNUMBER(MATCH(TRIM($B$3:$B$650),TRIM(_xlfn.TEXTSPLIT($N137,",")),0)))),0)/4,0)+P137,IF(IFERROR(MIN(_xlfn._xlws.FILTER(O$3:O$650,ISNUMBER(MATCH(TRIM($B$3:$B$650),TRIM(_xlfn.TEXTSPLIT($N137,",")),0)))),0)&gt;=$E$1,IFERROR(MIN(_xlfn._xlws.FILTER(O$3:O$650,ISNUMBER(MATCH(TRIM($B$3:$B$650),TRIM(_xlfn.TEXTSPLIT($N137,",")),0)))),0)+P137,P137)),IF(TRIM($D137)="EA",IF(TRIM($E137)="M",ROUNDUP(O137*0.85,0),IF(TRIM($E137)="P",O137,P137)),P137))</f>
        <v>110</v>
      </c>
      <c r="T137" t="str" cm="1">
        <f t="array" ref="T137">IFERROR(IF(D137="SET",_xlfn.TEXTJOIN(", ",TRUE,_xlfn._xlws.FILTER(TRANSPOSE(TRIM(_xlfn.TEXTSPLIT(N137,","))),COUNTIFS(B$3:B$650,TRANSPOSE(TRIM(_xlfn.TEXTSPLIT(N137,","))),O$3:O$650,"&lt;="&amp;$T$1))),""),"")</f>
        <v/>
      </c>
    </row>
    <row r="138" spans="1:20" ht="14.4" x14ac:dyDescent="0.3">
      <c r="A138" s="2">
        <v>33910</v>
      </c>
      <c r="B138" s="55">
        <v>33910</v>
      </c>
      <c r="C138" s="2" t="s">
        <v>1263</v>
      </c>
      <c r="D138" s="1" t="s">
        <v>628</v>
      </c>
      <c r="E138" s="1" t="s">
        <v>686</v>
      </c>
      <c r="F138" s="9" t="s">
        <v>1608</v>
      </c>
      <c r="H138" s="16" t="s">
        <v>1671</v>
      </c>
      <c r="I138" s="9" t="b">
        <f t="shared" si="4"/>
        <v>1</v>
      </c>
      <c r="J138" s="1" t="s">
        <v>408</v>
      </c>
      <c r="K138" s="1" t="s">
        <v>287</v>
      </c>
      <c r="L138" s="1" t="s">
        <v>287</v>
      </c>
      <c r="N138" s="40" t="s">
        <v>1680</v>
      </c>
      <c r="O138" s="24">
        <v>28</v>
      </c>
      <c r="P138" s="2" cm="1">
        <f t="array" ref="P138">_xlfn.XLOOKUP(TRIM(B138),TRIM('[1]wc-product-export-16-3-2026-177'!$A:$A),'[1]wc-product-export-16-3-2026-177'!$D:$D,0,0)</f>
        <v>0</v>
      </c>
      <c r="Q138" s="2" cm="1">
        <f t="array" ref="Q138">IF(TRIM($D138)="SET",IF($K138="Steak Set1",ROUNDDOWN(IFERROR(MIN(_xlfn._xlws.FILTER(O$3:O$650,ISNUMBER(MATCH(TRIM($B$3:$B$650),TRIM(_xlfn.TEXTSPLIT($N138,",")),0)))),0)/4,0)+P138,IF(IFERROR(MIN(_xlfn._xlws.FILTER(O$3:O$650,ISNUMBER(MATCH(TRIM($B$3:$B$650),TRIM(_xlfn.TEXTSPLIT($N138,",")),0)))),0)&gt;=$E$1,IFERROR(MIN(_xlfn._xlws.FILTER(O$3:O$650,ISNUMBER(MATCH(TRIM($B$3:$B$650),TRIM(_xlfn.TEXTSPLIT($N138,",")),0)))),0)+P138,P138)),IF(TRIM($D138)="EA",IF(TRIM($E138)="M",ROUNDUP(O138*0.85,0),IF(TRIM($E138)="P",O138,P138)),P138))</f>
        <v>28</v>
      </c>
      <c r="T138" t="str" cm="1">
        <f t="array" ref="T138">IFERROR(IF(D138="SET",_xlfn.TEXTJOIN(", ",TRUE,_xlfn._xlws.FILTER(TRANSPOSE(TRIM(_xlfn.TEXTSPLIT(N138,","))),COUNTIFS(B$3:B$650,TRANSPOSE(TRIM(_xlfn.TEXTSPLIT(N138,","))),O$3:O$650,"&lt;="&amp;$T$1))),""),"")</f>
        <v/>
      </c>
    </row>
    <row r="139" spans="1:20" ht="14.4" x14ac:dyDescent="0.3">
      <c r="A139" s="2">
        <v>33911</v>
      </c>
      <c r="B139" s="55">
        <v>33911</v>
      </c>
      <c r="C139" s="2" t="s">
        <v>1263</v>
      </c>
      <c r="D139" s="1" t="s">
        <v>628</v>
      </c>
      <c r="E139" s="1" t="s">
        <v>686</v>
      </c>
      <c r="F139" s="9" t="s">
        <v>1608</v>
      </c>
      <c r="H139" s="16" t="s">
        <v>1672</v>
      </c>
      <c r="I139" s="9" t="b">
        <f t="shared" si="4"/>
        <v>1</v>
      </c>
      <c r="J139" s="1" t="s">
        <v>408</v>
      </c>
      <c r="K139" s="1" t="s">
        <v>287</v>
      </c>
      <c r="L139" s="1" t="s">
        <v>287</v>
      </c>
      <c r="N139" s="40" t="s">
        <v>1681</v>
      </c>
      <c r="O139" s="24">
        <v>38</v>
      </c>
      <c r="P139" s="2" cm="1">
        <f t="array" ref="P139">_xlfn.XLOOKUP(TRIM(B139),TRIM('[1]wc-product-export-16-3-2026-177'!$A:$A),'[1]wc-product-export-16-3-2026-177'!$D:$D,0,0)</f>
        <v>4</v>
      </c>
      <c r="Q139" s="2" cm="1">
        <f t="array" ref="Q139">IF(TRIM($D139)="SET",IF($K139="Steak Set1",ROUNDDOWN(IFERROR(MIN(_xlfn._xlws.FILTER(O$3:O$650,ISNUMBER(MATCH(TRIM($B$3:$B$650),TRIM(_xlfn.TEXTSPLIT($N139,",")),0)))),0)/4,0)+P139,IF(IFERROR(MIN(_xlfn._xlws.FILTER(O$3:O$650,ISNUMBER(MATCH(TRIM($B$3:$B$650),TRIM(_xlfn.TEXTSPLIT($N139,",")),0)))),0)&gt;=$E$1,IFERROR(MIN(_xlfn._xlws.FILTER(O$3:O$650,ISNUMBER(MATCH(TRIM($B$3:$B$650),TRIM(_xlfn.TEXTSPLIT($N139,",")),0)))),0)+P139,P139)),IF(TRIM($D139)="EA",IF(TRIM($E139)="M",ROUNDUP(O139*0.85,0),IF(TRIM($E139)="P",O139,P139)),P139))</f>
        <v>32</v>
      </c>
      <c r="T139" t="str" cm="1">
        <f t="array" ref="T139">IFERROR(IF(D139="SET",_xlfn.TEXTJOIN(", ",TRUE,_xlfn._xlws.FILTER(TRANSPOSE(TRIM(_xlfn.TEXTSPLIT(N139,","))),COUNTIFS(B$3:B$650,TRANSPOSE(TRIM(_xlfn.TEXTSPLIT(N139,","))),O$3:O$650,"&lt;="&amp;$T$1))),""),"")</f>
        <v/>
      </c>
    </row>
    <row r="140" spans="1:20" ht="14.4" x14ac:dyDescent="0.3">
      <c r="B140" s="55">
        <v>33930</v>
      </c>
      <c r="C140" s="2" t="s">
        <v>1263</v>
      </c>
      <c r="D140" s="14" t="s">
        <v>628</v>
      </c>
      <c r="E140" s="2" t="s">
        <v>686</v>
      </c>
      <c r="F140" s="9"/>
      <c r="H140" s="16" t="s">
        <v>1692</v>
      </c>
      <c r="I140" s="9" t="b">
        <f t="shared" si="4"/>
        <v>1</v>
      </c>
      <c r="J140" s="1" t="s">
        <v>408</v>
      </c>
      <c r="K140" s="1" t="s">
        <v>287</v>
      </c>
      <c r="L140" s="1" t="s">
        <v>287</v>
      </c>
      <c r="N140" s="40" t="s">
        <v>1693</v>
      </c>
      <c r="O140" s="24">
        <v>39</v>
      </c>
      <c r="P140" s="2" cm="1">
        <f t="array" ref="P140">_xlfn.XLOOKUP(TRIM(B140),TRIM('[1]wc-product-export-16-3-2026-177'!$A:$A),'[1]wc-product-export-16-3-2026-177'!$D:$D,0,0)</f>
        <v>5</v>
      </c>
      <c r="Q140" s="2" cm="1">
        <f t="array" ref="Q140">IF(TRIM($D140)="SET",IF($K140="Steak Set1",ROUNDDOWN(IFERROR(MIN(_xlfn._xlws.FILTER(O$3:O$650,ISNUMBER(MATCH(TRIM($B$3:$B$650),TRIM(_xlfn.TEXTSPLIT($N140,",")),0)))),0)/4,0)+P140,IF(IFERROR(MIN(_xlfn._xlws.FILTER(O$3:O$650,ISNUMBER(MATCH(TRIM($B$3:$B$650),TRIM(_xlfn.TEXTSPLIT($N140,",")),0)))),0)&gt;=$E$1,IFERROR(MIN(_xlfn._xlws.FILTER(O$3:O$650,ISNUMBER(MATCH(TRIM($B$3:$B$650),TRIM(_xlfn.TEXTSPLIT($N140,",")),0)))),0)+P140,P140)),IF(TRIM($D140)="EA",IF(TRIM($E140)="M",ROUNDUP(O140*0.85,0),IF(TRIM($E140)="P",O140,P140)),P140))</f>
        <v>33</v>
      </c>
      <c r="T140" t="str" cm="1">
        <f t="array" ref="T140">IFERROR(IF(D140="SET",_xlfn.TEXTJOIN(", ",TRUE,_xlfn._xlws.FILTER(TRANSPOSE(TRIM(_xlfn.TEXTSPLIT(N140,","))),COUNTIFS(B$3:B$650,TRANSPOSE(TRIM(_xlfn.TEXTSPLIT(N140,","))),O$3:O$650,"&lt;="&amp;$T$1))),""),"")</f>
        <v/>
      </c>
    </row>
    <row r="141" spans="1:20" ht="14.4" x14ac:dyDescent="0.3">
      <c r="B141" s="24">
        <v>33940</v>
      </c>
      <c r="C141" s="1" t="s">
        <v>1259</v>
      </c>
      <c r="D141" s="1" t="s">
        <v>624</v>
      </c>
      <c r="E141" s="2" t="s">
        <v>686</v>
      </c>
      <c r="H141" s="49" t="s">
        <v>1700</v>
      </c>
      <c r="I141" s="9" t="b">
        <f t="shared" si="4"/>
        <v>1</v>
      </c>
      <c r="J141" s="1" t="s">
        <v>408</v>
      </c>
      <c r="K141" s="1" t="s">
        <v>287</v>
      </c>
      <c r="L141" s="1" t="s">
        <v>287</v>
      </c>
      <c r="O141" s="24">
        <v>25</v>
      </c>
      <c r="P141" s="2" cm="1">
        <f t="array" ref="P141">_xlfn.XLOOKUP(TRIM(B141),TRIM('[1]wc-product-export-16-3-2026-177'!$A:$A),'[1]wc-product-export-16-3-2026-177'!$D:$D,0,0)</f>
        <v>0</v>
      </c>
      <c r="Q141" s="2" cm="1">
        <f t="array" ref="Q141">IF(TRIM($D141)="SET",IF($K141="Steak Set1",ROUNDDOWN(IFERROR(MIN(_xlfn._xlws.FILTER(O$3:O$650,ISNUMBER(MATCH(TRIM($B$3:$B$650),TRIM(_xlfn.TEXTSPLIT($N141,",")),0)))),0)/4,0)+P141,IF(IFERROR(MIN(_xlfn._xlws.FILTER(O$3:O$650,ISNUMBER(MATCH(TRIM($B$3:$B$650),TRIM(_xlfn.TEXTSPLIT($N141,",")),0)))),0)&gt;=$E$1,IFERROR(MIN(_xlfn._xlws.FILTER(O$3:O$650,ISNUMBER(MATCH(TRIM($B$3:$B$650),TRIM(_xlfn.TEXTSPLIT($N141,",")),0)))),0)+P141,P141)),IF(TRIM($D141)="EA",IF(TRIM($E141)="M",ROUNDUP(O141*0.85,0),IF(TRIM($E141)="P",O141,P141)),P141))</f>
        <v>22</v>
      </c>
      <c r="T141" t="str" cm="1">
        <f t="array" ref="T141">IFERROR(IF(D141="SET",_xlfn.TEXTJOIN(", ",TRUE,_xlfn._xlws.FILTER(TRANSPOSE(TRIM(_xlfn.TEXTSPLIT(N141,","))),COUNTIFS(B$3:B$650,TRANSPOSE(TRIM(_xlfn.TEXTSPLIT(N141,","))),O$3:O$650,"&lt;="&amp;$T$1))),""),"")</f>
        <v/>
      </c>
    </row>
    <row r="142" spans="1:20" ht="14.4" x14ac:dyDescent="0.3">
      <c r="A142" s="2">
        <v>33966</v>
      </c>
      <c r="B142" s="24">
        <v>33966</v>
      </c>
      <c r="C142" s="2" t="s">
        <v>1263</v>
      </c>
      <c r="D142" s="1" t="s">
        <v>624</v>
      </c>
      <c r="E142" s="1" t="s">
        <v>686</v>
      </c>
      <c r="F142" s="9" t="s">
        <v>1608</v>
      </c>
      <c r="H142" s="16" t="s">
        <v>1673</v>
      </c>
      <c r="I142" s="9" t="b">
        <f t="shared" si="4"/>
        <v>0</v>
      </c>
      <c r="J142" s="1" t="s">
        <v>408</v>
      </c>
      <c r="K142" s="1" t="s">
        <v>286</v>
      </c>
      <c r="L142" s="1" t="s">
        <v>286</v>
      </c>
      <c r="O142" s="24">
        <v>26</v>
      </c>
      <c r="P142" s="2" cm="1">
        <f t="array" ref="P142">_xlfn.XLOOKUP(TRIM(B142),TRIM('[1]wc-product-export-16-3-2026-177'!$A:$A),'[1]wc-product-export-16-3-2026-177'!$D:$D,0,0)</f>
        <v>0</v>
      </c>
      <c r="Q142" s="2" cm="1">
        <f t="array" ref="Q142">IF(TRIM($D142)="SET",IF($K142="Steak Set1",ROUNDDOWN(IFERROR(MIN(_xlfn._xlws.FILTER(O$3:O$650,ISNUMBER(MATCH(TRIM($B$3:$B$650),TRIM(_xlfn.TEXTSPLIT($N142,",")),0)))),0)/4,0)+P142,IF(IFERROR(MIN(_xlfn._xlws.FILTER(O$3:O$650,ISNUMBER(MATCH(TRIM($B$3:$B$650),TRIM(_xlfn.TEXTSPLIT($N142,",")),0)))),0)&gt;=$E$1,IFERROR(MIN(_xlfn._xlws.FILTER(O$3:O$650,ISNUMBER(MATCH(TRIM($B$3:$B$650),TRIM(_xlfn.TEXTSPLIT($N142,",")),0)))),0)+P142,P142)),IF(TRIM($D142)="EA",IF(TRIM($E142)="M",ROUNDUP(O142*0.85,0),IF(TRIM($E142)="P",O142,P142)),P142))</f>
        <v>23</v>
      </c>
      <c r="T142" t="str" cm="1">
        <f t="array" ref="T142">IFERROR(IF(D142="SET",_xlfn.TEXTJOIN(", ",TRUE,_xlfn._xlws.FILTER(TRANSPOSE(TRIM(_xlfn.TEXTSPLIT(N142,","))),COUNTIFS(B$3:B$650,TRANSPOSE(TRIM(_xlfn.TEXTSPLIT(N142,","))),O$3:O$650,"&lt;="&amp;$T$1))),""),"")</f>
        <v/>
      </c>
    </row>
    <row r="143" spans="1:20" ht="14.4" x14ac:dyDescent="0.3">
      <c r="B143" s="24">
        <v>33970</v>
      </c>
      <c r="C143" s="1" t="s">
        <v>1259</v>
      </c>
      <c r="D143" s="1" t="s">
        <v>624</v>
      </c>
      <c r="E143" s="2" t="s">
        <v>686</v>
      </c>
      <c r="H143" s="49" t="s">
        <v>1702</v>
      </c>
      <c r="I143" s="9" t="b">
        <f t="shared" si="4"/>
        <v>0</v>
      </c>
      <c r="J143" s="1" t="s">
        <v>408</v>
      </c>
      <c r="K143" s="1" t="s">
        <v>1717</v>
      </c>
      <c r="L143" s="1" t="s">
        <v>285</v>
      </c>
      <c r="O143" s="24">
        <v>104</v>
      </c>
      <c r="P143" s="2" cm="1">
        <f t="array" ref="P143">_xlfn.XLOOKUP(TRIM(B143),TRIM('[1]wc-product-export-16-3-2026-177'!$A:$A),'[1]wc-product-export-16-3-2026-177'!$D:$D,0,0)</f>
        <v>0</v>
      </c>
      <c r="Q143" s="2" cm="1">
        <f t="array" ref="Q143">IF(TRIM($D143)="SET",IF($K143="Steak Set1",ROUNDDOWN(IFERROR(MIN(_xlfn._xlws.FILTER(O$3:O$650,ISNUMBER(MATCH(TRIM($B$3:$B$650),TRIM(_xlfn.TEXTSPLIT($N143,",")),0)))),0)/4,0)+P143,IF(IFERROR(MIN(_xlfn._xlws.FILTER(O$3:O$650,ISNUMBER(MATCH(TRIM($B$3:$B$650),TRIM(_xlfn.TEXTSPLIT($N143,",")),0)))),0)&gt;=$E$1,IFERROR(MIN(_xlfn._xlws.FILTER(O$3:O$650,ISNUMBER(MATCH(TRIM($B$3:$B$650),TRIM(_xlfn.TEXTSPLIT($N143,",")),0)))),0)+P143,P143)),IF(TRIM($D143)="EA",IF(TRIM($E143)="M",ROUNDUP(O143*0.85,0),IF(TRIM($E143)="P",O143,P143)),P143))</f>
        <v>89</v>
      </c>
      <c r="T143" t="str" cm="1">
        <f t="array" ref="T143">IFERROR(IF(D143="SET",_xlfn.TEXTJOIN(", ",TRUE,_xlfn._xlws.FILTER(TRANSPOSE(TRIM(_xlfn.TEXTSPLIT(N143,","))),COUNTIFS(B$3:B$650,TRANSPOSE(TRIM(_xlfn.TEXTSPLIT(N143,","))),O$3:O$650,"&lt;="&amp;$T$1))),""),"")</f>
        <v/>
      </c>
    </row>
    <row r="144" spans="1:20" ht="14.4" x14ac:dyDescent="0.3">
      <c r="A144" s="2">
        <v>33971</v>
      </c>
      <c r="B144" s="24">
        <v>33971</v>
      </c>
      <c r="C144" s="2" t="s">
        <v>1263</v>
      </c>
      <c r="D144" s="1" t="s">
        <v>624</v>
      </c>
      <c r="E144" s="1" t="s">
        <v>686</v>
      </c>
      <c r="F144" s="9" t="s">
        <v>1608</v>
      </c>
      <c r="H144" s="16" t="s">
        <v>1674</v>
      </c>
      <c r="I144" s="9" t="b">
        <f t="shared" si="4"/>
        <v>1</v>
      </c>
      <c r="J144" s="1" t="s">
        <v>408</v>
      </c>
      <c r="K144" s="1" t="s">
        <v>287</v>
      </c>
      <c r="L144" s="1" t="s">
        <v>287</v>
      </c>
      <c r="O144" s="24">
        <v>150</v>
      </c>
      <c r="P144" s="2" cm="1">
        <f t="array" ref="P144">_xlfn.XLOOKUP(TRIM(B144),TRIM('[1]wc-product-export-16-3-2026-177'!$A:$A),'[1]wc-product-export-16-3-2026-177'!$D:$D,0,0)</f>
        <v>0</v>
      </c>
      <c r="Q144" s="2" cm="1">
        <f t="array" ref="Q144">IF(TRIM($D144)="SET",IF($K144="Steak Set1",ROUNDDOWN(IFERROR(MIN(_xlfn._xlws.FILTER(O$3:O$650,ISNUMBER(MATCH(TRIM($B$3:$B$650),TRIM(_xlfn.TEXTSPLIT($N144,",")),0)))),0)/4,0)+P144,IF(IFERROR(MIN(_xlfn._xlws.FILTER(O$3:O$650,ISNUMBER(MATCH(TRIM($B$3:$B$650),TRIM(_xlfn.TEXTSPLIT($N144,",")),0)))),0)&gt;=$E$1,IFERROR(MIN(_xlfn._xlws.FILTER(O$3:O$650,ISNUMBER(MATCH(TRIM($B$3:$B$650),TRIM(_xlfn.TEXTSPLIT($N144,",")),0)))),0)+P144,P144)),IF(TRIM($D144)="EA",IF(TRIM($E144)="M",ROUNDUP(O144*0.85,0),IF(TRIM($E144)="P",O144,P144)),P144))</f>
        <v>128</v>
      </c>
      <c r="T144" t="str" cm="1">
        <f t="array" ref="T144">IFERROR(IF(D144="SET",_xlfn.TEXTJOIN(", ",TRUE,_xlfn._xlws.FILTER(TRANSPOSE(TRIM(_xlfn.TEXTSPLIT(N144,","))),COUNTIFS(B$3:B$650,TRANSPOSE(TRIM(_xlfn.TEXTSPLIT(N144,","))),O$3:O$650,"&lt;="&amp;$T$1))),""),"")</f>
        <v/>
      </c>
    </row>
    <row r="145" spans="1:20" ht="14.4" x14ac:dyDescent="0.3">
      <c r="A145" s="2">
        <v>33972</v>
      </c>
      <c r="B145" s="24">
        <v>33972</v>
      </c>
      <c r="C145" s="2" t="s">
        <v>1263</v>
      </c>
      <c r="D145" s="14" t="s">
        <v>624</v>
      </c>
      <c r="E145" s="2" t="s">
        <v>686</v>
      </c>
      <c r="F145" s="9" t="s">
        <v>1608</v>
      </c>
      <c r="H145" s="16" t="s">
        <v>1615</v>
      </c>
      <c r="I145" s="9" t="b">
        <f t="shared" si="4"/>
        <v>1</v>
      </c>
      <c r="J145" s="1" t="s">
        <v>408</v>
      </c>
      <c r="K145" s="1" t="s">
        <v>287</v>
      </c>
      <c r="L145" s="1" t="s">
        <v>287</v>
      </c>
      <c r="O145" s="24">
        <v>204</v>
      </c>
      <c r="P145" s="2" cm="1">
        <f t="array" ref="P145">_xlfn.XLOOKUP(TRIM(B145),TRIM('[1]wc-product-export-16-3-2026-177'!$A:$A),'[1]wc-product-export-16-3-2026-177'!$D:$D,0,0)</f>
        <v>0</v>
      </c>
      <c r="Q145" s="2" cm="1">
        <f t="array" ref="Q145">IF(TRIM($D145)="SET",IF($K145="Steak Set1",ROUNDDOWN(IFERROR(MIN(_xlfn._xlws.FILTER(O$3:O$650,ISNUMBER(MATCH(TRIM($B$3:$B$650),TRIM(_xlfn.TEXTSPLIT($N145,",")),0)))),0)/4,0)+P145,IF(IFERROR(MIN(_xlfn._xlws.FILTER(O$3:O$650,ISNUMBER(MATCH(TRIM($B$3:$B$650),TRIM(_xlfn.TEXTSPLIT($N145,",")),0)))),0)&gt;=$E$1,IFERROR(MIN(_xlfn._xlws.FILTER(O$3:O$650,ISNUMBER(MATCH(TRIM($B$3:$B$650),TRIM(_xlfn.TEXTSPLIT($N145,",")),0)))),0)+P145,P145)),IF(TRIM($D145)="EA",IF(TRIM($E145)="M",ROUNDUP(O145*0.85,0),IF(TRIM($E145)="P",O145,P145)),P145))</f>
        <v>174</v>
      </c>
      <c r="T145" t="str" cm="1">
        <f t="array" ref="T145">IFERROR(IF(D145="SET",_xlfn.TEXTJOIN(", ",TRUE,_xlfn._xlws.FILTER(TRANSPOSE(TRIM(_xlfn.TEXTSPLIT(N145,","))),COUNTIFS(B$3:B$650,TRANSPOSE(TRIM(_xlfn.TEXTSPLIT(N145,","))),O$3:O$650,"&lt;="&amp;$T$1))),""),"")</f>
        <v/>
      </c>
    </row>
    <row r="146" spans="1:20" ht="14.4" x14ac:dyDescent="0.3">
      <c r="A146" s="2">
        <v>33973</v>
      </c>
      <c r="B146" s="24">
        <v>33973</v>
      </c>
      <c r="C146" s="2" t="s">
        <v>1263</v>
      </c>
      <c r="D146" s="1" t="s">
        <v>624</v>
      </c>
      <c r="E146" s="1" t="s">
        <v>686</v>
      </c>
      <c r="F146" s="9" t="s">
        <v>1608</v>
      </c>
      <c r="H146" s="16" t="s">
        <v>1675</v>
      </c>
      <c r="I146" s="9" t="b">
        <f t="shared" si="4"/>
        <v>1</v>
      </c>
      <c r="J146" s="1" t="s">
        <v>408</v>
      </c>
      <c r="K146" s="1" t="s">
        <v>287</v>
      </c>
      <c r="L146" s="1" t="s">
        <v>287</v>
      </c>
      <c r="O146" s="24">
        <v>425</v>
      </c>
      <c r="P146" s="2" cm="1">
        <f t="array" ref="P146">_xlfn.XLOOKUP(TRIM(B146),TRIM('[1]wc-product-export-16-3-2026-177'!$A:$A),'[1]wc-product-export-16-3-2026-177'!$D:$D,0,0)</f>
        <v>0</v>
      </c>
      <c r="Q146" s="2" cm="1">
        <f t="array" ref="Q146">IF(TRIM($D146)="SET",IF($K146="Steak Set1",ROUNDDOWN(IFERROR(MIN(_xlfn._xlws.FILTER(O$3:O$650,ISNUMBER(MATCH(TRIM($B$3:$B$650),TRIM(_xlfn.TEXTSPLIT($N146,",")),0)))),0)/4,0)+P146,IF(IFERROR(MIN(_xlfn._xlws.FILTER(O$3:O$650,ISNUMBER(MATCH(TRIM($B$3:$B$650),TRIM(_xlfn.TEXTSPLIT($N146,",")),0)))),0)&gt;=$E$1,IFERROR(MIN(_xlfn._xlws.FILTER(O$3:O$650,ISNUMBER(MATCH(TRIM($B$3:$B$650),TRIM(_xlfn.TEXTSPLIT($N146,",")),0)))),0)+P146,P146)),IF(TRIM($D146)="EA",IF(TRIM($E146)="M",ROUNDUP(O146*0.85,0),IF(TRIM($E146)="P",O146,P146)),P146))</f>
        <v>362</v>
      </c>
      <c r="T146" t="str" cm="1">
        <f t="array" ref="T146">IFERROR(IF(D146="SET",_xlfn.TEXTJOIN(", ",TRUE,_xlfn._xlws.FILTER(TRANSPOSE(TRIM(_xlfn.TEXTSPLIT(N146,","))),COUNTIFS(B$3:B$650,TRANSPOSE(TRIM(_xlfn.TEXTSPLIT(N146,","))),O$3:O$650,"&lt;="&amp;$T$1))),""),"")</f>
        <v/>
      </c>
    </row>
    <row r="147" spans="1:20" ht="14.4" x14ac:dyDescent="0.3">
      <c r="A147" s="2">
        <v>33974</v>
      </c>
      <c r="B147" s="24">
        <v>33974</v>
      </c>
      <c r="C147" s="2" t="s">
        <v>1263</v>
      </c>
      <c r="D147" s="14" t="s">
        <v>624</v>
      </c>
      <c r="E147" s="2" t="s">
        <v>686</v>
      </c>
      <c r="F147" s="9" t="s">
        <v>1608</v>
      </c>
      <c r="H147" s="16" t="s">
        <v>1679</v>
      </c>
      <c r="I147" s="9" t="b">
        <f t="shared" si="4"/>
        <v>1</v>
      </c>
      <c r="J147" s="1" t="s">
        <v>408</v>
      </c>
      <c r="K147" s="1" t="s">
        <v>287</v>
      </c>
      <c r="L147" s="1" t="s">
        <v>287</v>
      </c>
      <c r="O147" s="24">
        <v>28</v>
      </c>
      <c r="P147" s="2" cm="1">
        <f t="array" ref="P147">_xlfn.XLOOKUP(TRIM(B147),TRIM('[1]wc-product-export-16-3-2026-177'!$A:$A),'[1]wc-product-export-16-3-2026-177'!$D:$D,0,0)</f>
        <v>0</v>
      </c>
      <c r="Q147" s="2" cm="1">
        <f t="array" ref="Q147">IF(TRIM($D147)="SET",IF($K147="Steak Set1",ROUNDDOWN(IFERROR(MIN(_xlfn._xlws.FILTER(O$3:O$650,ISNUMBER(MATCH(TRIM($B$3:$B$650),TRIM(_xlfn.TEXTSPLIT($N147,",")),0)))),0)/4,0)+P147,IF(IFERROR(MIN(_xlfn._xlws.FILTER(O$3:O$650,ISNUMBER(MATCH(TRIM($B$3:$B$650),TRIM(_xlfn.TEXTSPLIT($N147,",")),0)))),0)&gt;=$E$1,IFERROR(MIN(_xlfn._xlws.FILTER(O$3:O$650,ISNUMBER(MATCH(TRIM($B$3:$B$650),TRIM(_xlfn.TEXTSPLIT($N147,",")),0)))),0)+P147,P147)),IF(TRIM($D147)="EA",IF(TRIM($E147)="M",ROUNDUP(O147*0.85,0),IF(TRIM($E147)="P",O147,P147)),P147))</f>
        <v>24</v>
      </c>
      <c r="T147" t="str" cm="1">
        <f t="array" ref="T147">IFERROR(IF(D147="SET",_xlfn.TEXTJOIN(", ",TRUE,_xlfn._xlws.FILTER(TRANSPOSE(TRIM(_xlfn.TEXTSPLIT(N147,","))),COUNTIFS(B$3:B$650,TRANSPOSE(TRIM(_xlfn.TEXTSPLIT(N147,","))),O$3:O$650,"&lt;="&amp;$T$1))),""),"")</f>
        <v/>
      </c>
    </row>
    <row r="148" spans="1:20" ht="14.4" hidden="1" x14ac:dyDescent="0.3">
      <c r="A148" s="2">
        <v>33980</v>
      </c>
      <c r="B148" s="2">
        <v>33980</v>
      </c>
      <c r="C148" s="2" t="s">
        <v>1263</v>
      </c>
      <c r="D148" s="14" t="s">
        <v>624</v>
      </c>
      <c r="E148" s="2" t="s">
        <v>686</v>
      </c>
      <c r="F148" s="9" t="s">
        <v>1690</v>
      </c>
      <c r="H148" s="53" t="s">
        <v>1682</v>
      </c>
      <c r="I148" s="11" t="b">
        <f t="shared" si="4"/>
        <v>1</v>
      </c>
      <c r="J148" s="1" t="s">
        <v>408</v>
      </c>
      <c r="K148" s="1" t="s">
        <v>287</v>
      </c>
      <c r="L148" s="1" t="s">
        <v>287</v>
      </c>
      <c r="O148" s="2" t="s">
        <v>458</v>
      </c>
      <c r="P148" s="2" cm="1">
        <f t="array" ref="P148">_xlfn.XLOOKUP(TRIM(B148),TRIM('[1]wc-product-export-16-3-2026-177'!$A:$A),'[1]wc-product-export-16-3-2026-177'!$D:$D,0,0)</f>
        <v>0</v>
      </c>
      <c r="Q148" s="2" t="e" cm="1">
        <f t="array" ref="Q148">IF(TRIM($D148)="SET",IF($K148="Steak Set1",ROUNDDOWN(IFERROR(MIN(_xlfn._xlws.FILTER(O$3:O$650,ISNUMBER(MATCH(TRIM($B$3:$B$650),TRIM(_xlfn.TEXTSPLIT($N148,",")),0)))),0)/4,0)+P148,IF(IFERROR(MIN(_xlfn._xlws.FILTER(O$3:O$650,ISNUMBER(MATCH(TRIM($B$3:$B$650),TRIM(_xlfn.TEXTSPLIT($N148,",")),0)))),0)&gt;=$E$1,IFERROR(MIN(_xlfn._xlws.FILTER(O$3:O$650,ISNUMBER(MATCH(TRIM($B$3:$B$650),TRIM(_xlfn.TEXTSPLIT($N148,",")),0)))),0)+P148,P148)),IF(TRIM($D148)="EA",IF(TRIM($E148)="M",ROUNDUP(O148*0.85,0),IF(TRIM($E148)="P",O148,P148)),P148))</f>
        <v>#VALUE!</v>
      </c>
      <c r="T148" t="str" cm="1">
        <f t="array" ref="T148">IFERROR(IF(D148="SET",_xlfn.TEXTJOIN(", ",TRUE,_xlfn._xlws.FILTER(TRANSPOSE(TRIM(_xlfn.TEXTSPLIT(N148,","))),COUNTIFS(B$3:B$650,TRANSPOSE(TRIM(_xlfn.TEXTSPLIT(N148,","))),O$3:O$650,"&lt;="&amp;$T$1))),""),"")</f>
        <v/>
      </c>
    </row>
    <row r="149" spans="1:20" ht="14.4" x14ac:dyDescent="0.3">
      <c r="A149" s="1">
        <v>34000</v>
      </c>
      <c r="B149" s="56" t="s">
        <v>722</v>
      </c>
      <c r="C149" s="2" t="s">
        <v>1263</v>
      </c>
      <c r="D149" s="1" t="s">
        <v>624</v>
      </c>
      <c r="E149" s="1" t="s">
        <v>686</v>
      </c>
      <c r="F149" s="9" t="s">
        <v>1690</v>
      </c>
      <c r="G149" s="9"/>
      <c r="H149" s="16" t="s">
        <v>117</v>
      </c>
      <c r="I149" s="9" t="b">
        <f t="shared" si="4"/>
        <v>0</v>
      </c>
      <c r="J149" s="1" t="s">
        <v>408</v>
      </c>
      <c r="K149" s="1" t="s">
        <v>15</v>
      </c>
      <c r="L149" s="1" t="s">
        <v>285</v>
      </c>
      <c r="M149" s="9"/>
      <c r="N149" s="35"/>
      <c r="O149" s="24">
        <v>72</v>
      </c>
      <c r="P149" s="2" cm="1">
        <f t="array" ref="P149">_xlfn.XLOOKUP(TRIM(B149),TRIM('[1]wc-product-export-16-3-2026-177'!$A:$A),'[1]wc-product-export-16-3-2026-177'!$D:$D,0,0)</f>
        <v>0</v>
      </c>
      <c r="Q149" s="2" cm="1">
        <f t="array" ref="Q149">IF(TRIM($D149)="SET",IF($K149="Steak Set1",ROUNDDOWN(IFERROR(MIN(_xlfn._xlws.FILTER(O$3:O$650,ISNUMBER(MATCH(TRIM($B$3:$B$650),TRIM(_xlfn.TEXTSPLIT($N149,",")),0)))),0)/4,0)+P149,IF(IFERROR(MIN(_xlfn._xlws.FILTER(O$3:O$650,ISNUMBER(MATCH(TRIM($B$3:$B$650),TRIM(_xlfn.TEXTSPLIT($N149,",")),0)))),0)&gt;=$E$1,IFERROR(MIN(_xlfn._xlws.FILTER(O$3:O$650,ISNUMBER(MATCH(TRIM($B$3:$B$650),TRIM(_xlfn.TEXTSPLIT($N149,",")),0)))),0)+P149,P149)),IF(TRIM($D149)="EA",IF(TRIM($E149)="M",ROUNDUP(O149*0.85,0),IF(TRIM($E149)="P",O149,P149)),P149))</f>
        <v>62</v>
      </c>
      <c r="T149" t="str" cm="1">
        <f t="array" ref="T149">IFERROR(IF(D149="SET",_xlfn.TEXTJOIN(", ",TRUE,_xlfn._xlws.FILTER(TRANSPOSE(TRIM(_xlfn.TEXTSPLIT(N149,","))),COUNTIFS(B$3:B$650,TRANSPOSE(TRIM(_xlfn.TEXTSPLIT(N149,","))),O$3:O$650,"&lt;="&amp;$T$1))),""),"")</f>
        <v/>
      </c>
    </row>
    <row r="150" spans="1:20" ht="14.4" x14ac:dyDescent="0.3">
      <c r="A150" s="1">
        <v>34120</v>
      </c>
      <c r="B150" s="1" t="s">
        <v>723</v>
      </c>
      <c r="C150" s="2" t="s">
        <v>1263</v>
      </c>
      <c r="D150" s="1" t="s">
        <v>624</v>
      </c>
      <c r="E150" s="1" t="s">
        <v>686</v>
      </c>
      <c r="F150" s="9" t="s">
        <v>1690</v>
      </c>
      <c r="G150" s="9"/>
      <c r="H150" s="53" t="s">
        <v>237</v>
      </c>
      <c r="I150" s="9" t="b">
        <f t="shared" si="4"/>
        <v>0</v>
      </c>
      <c r="J150" s="1" t="s">
        <v>408</v>
      </c>
      <c r="K150" s="1" t="s">
        <v>15</v>
      </c>
      <c r="L150" s="1" t="s">
        <v>1725</v>
      </c>
      <c r="M150" s="9"/>
      <c r="N150" s="35"/>
      <c r="O150" s="2">
        <v>218</v>
      </c>
      <c r="P150" s="2" cm="1">
        <f t="array" ref="P150">_xlfn.XLOOKUP(TRIM(B150),TRIM('[1]wc-product-export-16-3-2026-177'!$A:$A),'[1]wc-product-export-16-3-2026-177'!$D:$D,0,0)</f>
        <v>0</v>
      </c>
      <c r="Q150" s="2" cm="1">
        <f t="array" ref="Q150">IF(TRIM($D150)="SET",IF($K150="Steak Set1",ROUNDDOWN(IFERROR(MIN(_xlfn._xlws.FILTER(O$3:O$650,ISNUMBER(MATCH(TRIM($B$3:$B$650),TRIM(_xlfn.TEXTSPLIT($N150,",")),0)))),0)/4,0)+P150,IF(IFERROR(MIN(_xlfn._xlws.FILTER(O$3:O$650,ISNUMBER(MATCH(TRIM($B$3:$B$650),TRIM(_xlfn.TEXTSPLIT($N150,",")),0)))),0)&gt;=$E$1,IFERROR(MIN(_xlfn._xlws.FILTER(O$3:O$650,ISNUMBER(MATCH(TRIM($B$3:$B$650),TRIM(_xlfn.TEXTSPLIT($N150,",")),0)))),0)+P150,P150)),IF(TRIM($D150)="EA",IF(TRIM($E150)="M",ROUNDUP(O150*0.85,0),IF(TRIM($E150)="P",O150,P150)),P150))</f>
        <v>186</v>
      </c>
      <c r="T150" t="str" cm="1">
        <f t="array" ref="T150">IFERROR(IF(D150="SET",_xlfn.TEXTJOIN(", ",TRUE,_xlfn._xlws.FILTER(TRANSPOSE(TRIM(_xlfn.TEXTSPLIT(N150,","))),COUNTIFS(B$3:B$650,TRANSPOSE(TRIM(_xlfn.TEXTSPLIT(N150,","))),O$3:O$650,"&lt;="&amp;$T$1))),""),"")</f>
        <v/>
      </c>
    </row>
    <row r="151" spans="1:20" ht="14.4" x14ac:dyDescent="0.3">
      <c r="A151" s="1">
        <v>34220</v>
      </c>
      <c r="B151" s="56" t="s">
        <v>724</v>
      </c>
      <c r="C151" s="2" t="s">
        <v>1263</v>
      </c>
      <c r="D151" s="1" t="s">
        <v>624</v>
      </c>
      <c r="E151" s="1" t="s">
        <v>686</v>
      </c>
      <c r="F151" s="9"/>
      <c r="G151" s="9"/>
      <c r="H151" s="16" t="s">
        <v>12</v>
      </c>
      <c r="I151" s="9" t="b">
        <f t="shared" si="4"/>
        <v>0</v>
      </c>
      <c r="J151" s="1" t="s">
        <v>408</v>
      </c>
      <c r="K151" s="1" t="s">
        <v>289</v>
      </c>
      <c r="L151" s="1" t="s">
        <v>289</v>
      </c>
      <c r="M151" s="9"/>
      <c r="N151" s="35"/>
      <c r="O151" s="24">
        <v>893</v>
      </c>
      <c r="P151" s="2" cm="1">
        <f t="array" ref="P151">_xlfn.XLOOKUP(TRIM(B151),TRIM('[1]wc-product-export-16-3-2026-177'!$A:$A),'[1]wc-product-export-16-3-2026-177'!$D:$D,0,0)</f>
        <v>0</v>
      </c>
      <c r="Q151" s="2" cm="1">
        <f t="array" ref="Q151">IF(TRIM($D151)="SET",IF($K151="Steak Set1",ROUNDDOWN(IFERROR(MIN(_xlfn._xlws.FILTER(O$3:O$650,ISNUMBER(MATCH(TRIM($B$3:$B$650),TRIM(_xlfn.TEXTSPLIT($N151,",")),0)))),0)/4,0)+P151,IF(IFERROR(MIN(_xlfn._xlws.FILTER(O$3:O$650,ISNUMBER(MATCH(TRIM($B$3:$B$650),TRIM(_xlfn.TEXTSPLIT($N151,",")),0)))),0)&gt;=$E$1,IFERROR(MIN(_xlfn._xlws.FILTER(O$3:O$650,ISNUMBER(MATCH(TRIM($B$3:$B$650),TRIM(_xlfn.TEXTSPLIT($N151,",")),0)))),0)+P151,P151)),IF(TRIM($D151)="EA",IF(TRIM($E151)="M",ROUNDUP(O151*0.85,0),IF(TRIM($E151)="P",O151,P151)),P151))</f>
        <v>760</v>
      </c>
      <c r="T151" t="str" cm="1">
        <f t="array" ref="T151">IFERROR(IF(D151="SET",_xlfn.TEXTJOIN(", ",TRUE,_xlfn._xlws.FILTER(TRANSPOSE(TRIM(_xlfn.TEXTSPLIT(N151,","))),COUNTIFS(B$3:B$650,TRANSPOSE(TRIM(_xlfn.TEXTSPLIT(N151,","))),O$3:O$650,"&lt;="&amp;$T$1))),""),"")</f>
        <v/>
      </c>
    </row>
    <row r="152" spans="1:20" ht="14.4" x14ac:dyDescent="0.3">
      <c r="A152" s="1">
        <v>34222</v>
      </c>
      <c r="B152" s="56" t="s">
        <v>725</v>
      </c>
      <c r="C152" s="2" t="s">
        <v>1263</v>
      </c>
      <c r="D152" s="1" t="s">
        <v>624</v>
      </c>
      <c r="E152" s="1" t="s">
        <v>686</v>
      </c>
      <c r="F152" s="9"/>
      <c r="G152" s="9"/>
      <c r="H152" s="16" t="s">
        <v>74</v>
      </c>
      <c r="I152" s="9" t="b">
        <f t="shared" si="4"/>
        <v>0</v>
      </c>
      <c r="J152" s="1" t="s">
        <v>408</v>
      </c>
      <c r="K152" s="1" t="s">
        <v>289</v>
      </c>
      <c r="L152" s="1" t="s">
        <v>289</v>
      </c>
      <c r="M152" s="9"/>
      <c r="N152" s="35"/>
      <c r="O152" s="24">
        <v>98</v>
      </c>
      <c r="P152" s="2" cm="1">
        <f t="array" ref="P152">_xlfn.XLOOKUP(TRIM(B152),TRIM('[1]wc-product-export-16-3-2026-177'!$A:$A),'[1]wc-product-export-16-3-2026-177'!$D:$D,0,0)</f>
        <v>0</v>
      </c>
      <c r="Q152" s="2" cm="1">
        <f t="array" ref="Q152">IF(TRIM($D152)="SET",IF($K152="Steak Set1",ROUNDDOWN(IFERROR(MIN(_xlfn._xlws.FILTER(O$3:O$650,ISNUMBER(MATCH(TRIM($B$3:$B$650),TRIM(_xlfn.TEXTSPLIT($N152,",")),0)))),0)/4,0)+P152,IF(IFERROR(MIN(_xlfn._xlws.FILTER(O$3:O$650,ISNUMBER(MATCH(TRIM($B$3:$B$650),TRIM(_xlfn.TEXTSPLIT($N152,",")),0)))),0)&gt;=$E$1,IFERROR(MIN(_xlfn._xlws.FILTER(O$3:O$650,ISNUMBER(MATCH(TRIM($B$3:$B$650),TRIM(_xlfn.TEXTSPLIT($N152,",")),0)))),0)+P152,P152)),IF(TRIM($D152)="EA",IF(TRIM($E152)="M",ROUNDUP(O152*0.85,0),IF(TRIM($E152)="P",O152,P152)),P152))</f>
        <v>84</v>
      </c>
      <c r="T152" t="str" cm="1">
        <f t="array" ref="T152">IFERROR(IF(D152="SET",_xlfn.TEXTJOIN(", ",TRUE,_xlfn._xlws.FILTER(TRANSPOSE(TRIM(_xlfn.TEXTSPLIT(N152,","))),COUNTIFS(B$3:B$650,TRANSPOSE(TRIM(_xlfn.TEXTSPLIT(N152,","))),O$3:O$650,"&lt;="&amp;$T$1))),""),"")</f>
        <v/>
      </c>
    </row>
    <row r="153" spans="1:20" ht="14.4" x14ac:dyDescent="0.3">
      <c r="A153" s="1">
        <v>34240</v>
      </c>
      <c r="B153" s="56" t="s">
        <v>726</v>
      </c>
      <c r="C153" s="2" t="s">
        <v>1263</v>
      </c>
      <c r="D153" s="1" t="s">
        <v>624</v>
      </c>
      <c r="E153" s="1" t="s">
        <v>686</v>
      </c>
      <c r="F153" s="9" t="s">
        <v>1608</v>
      </c>
      <c r="G153" s="9"/>
      <c r="H153" s="16" t="s">
        <v>431</v>
      </c>
      <c r="I153" s="9" t="b">
        <f t="shared" si="4"/>
        <v>0</v>
      </c>
      <c r="J153" s="1" t="s">
        <v>409</v>
      </c>
      <c r="K153" s="1" t="s">
        <v>289</v>
      </c>
      <c r="L153" s="1" t="s">
        <v>289</v>
      </c>
      <c r="M153" s="9"/>
      <c r="N153" s="35"/>
      <c r="O153" s="24">
        <v>26</v>
      </c>
      <c r="P153" s="2" cm="1">
        <f t="array" ref="P153">_xlfn.XLOOKUP(TRIM(B153),TRIM('[1]wc-product-export-16-3-2026-177'!$A:$A),'[1]wc-product-export-16-3-2026-177'!$D:$D,0,0)</f>
        <v>0</v>
      </c>
      <c r="Q153" s="2" cm="1">
        <f t="array" ref="Q153">IF(TRIM($D153)="SET",IF($K153="Steak Set1",ROUNDDOWN(IFERROR(MIN(_xlfn._xlws.FILTER(O$3:O$650,ISNUMBER(MATCH(TRIM($B$3:$B$650),TRIM(_xlfn.TEXTSPLIT($N153,",")),0)))),0)/4,0)+P153,IF(IFERROR(MIN(_xlfn._xlws.FILTER(O$3:O$650,ISNUMBER(MATCH(TRIM($B$3:$B$650),TRIM(_xlfn.TEXTSPLIT($N153,",")),0)))),0)&gt;=$E$1,IFERROR(MIN(_xlfn._xlws.FILTER(O$3:O$650,ISNUMBER(MATCH(TRIM($B$3:$B$650),TRIM(_xlfn.TEXTSPLIT($N153,",")),0)))),0)+P153,P153)),IF(TRIM($D153)="EA",IF(TRIM($E153)="M",ROUNDUP(O153*0.85,0),IF(TRIM($E153)="P",O153,P153)),P153))</f>
        <v>23</v>
      </c>
      <c r="T153" t="str" cm="1">
        <f t="array" ref="T153">IFERROR(IF(D153="SET",_xlfn.TEXTJOIN(", ",TRUE,_xlfn._xlws.FILTER(TRANSPOSE(TRIM(_xlfn.TEXTSPLIT(N153,","))),COUNTIFS(B$3:B$650,TRANSPOSE(TRIM(_xlfn.TEXTSPLIT(N153,","))),O$3:O$650,"&lt;="&amp;$T$1))),""),"")</f>
        <v/>
      </c>
    </row>
    <row r="154" spans="1:20" ht="14.4" x14ac:dyDescent="0.3">
      <c r="A154" s="1">
        <v>34245</v>
      </c>
      <c r="B154" s="56" t="s">
        <v>727</v>
      </c>
      <c r="C154" s="2" t="s">
        <v>1263</v>
      </c>
      <c r="D154" s="1" t="s">
        <v>624</v>
      </c>
      <c r="E154" s="1" t="s">
        <v>686</v>
      </c>
      <c r="F154" s="9" t="s">
        <v>1608</v>
      </c>
      <c r="G154" s="9"/>
      <c r="H154" s="16" t="s">
        <v>432</v>
      </c>
      <c r="I154" s="9" t="b">
        <f t="shared" si="4"/>
        <v>0</v>
      </c>
      <c r="J154" s="1" t="s">
        <v>409</v>
      </c>
      <c r="K154" s="1" t="s">
        <v>289</v>
      </c>
      <c r="L154" s="1" t="s">
        <v>289</v>
      </c>
      <c r="M154" s="9"/>
      <c r="N154" s="35"/>
      <c r="O154" s="24">
        <v>77</v>
      </c>
      <c r="P154" s="2" cm="1">
        <f t="array" ref="P154">_xlfn.XLOOKUP(TRIM(B154),TRIM('[1]wc-product-export-16-3-2026-177'!$A:$A),'[1]wc-product-export-16-3-2026-177'!$D:$D,0,0)</f>
        <v>0</v>
      </c>
      <c r="Q154" s="2" cm="1">
        <f t="array" ref="Q154">IF(TRIM($D154)="SET",IF($K154="Steak Set1",ROUNDDOWN(IFERROR(MIN(_xlfn._xlws.FILTER(O$3:O$650,ISNUMBER(MATCH(TRIM($B$3:$B$650),TRIM(_xlfn.TEXTSPLIT($N154,",")),0)))),0)/4,0)+P154,IF(IFERROR(MIN(_xlfn._xlws.FILTER(O$3:O$650,ISNUMBER(MATCH(TRIM($B$3:$B$650),TRIM(_xlfn.TEXTSPLIT($N154,",")),0)))),0)&gt;=$E$1,IFERROR(MIN(_xlfn._xlws.FILTER(O$3:O$650,ISNUMBER(MATCH(TRIM($B$3:$B$650),TRIM(_xlfn.TEXTSPLIT($N154,",")),0)))),0)+P154,P154)),IF(TRIM($D154)="EA",IF(TRIM($E154)="M",ROUNDUP(O154*0.85,0),IF(TRIM($E154)="P",O154,P154)),P154))</f>
        <v>66</v>
      </c>
      <c r="T154" t="str" cm="1">
        <f t="array" ref="T154">IFERROR(IF(D154="SET",_xlfn.TEXTJOIN(", ",TRUE,_xlfn._xlws.FILTER(TRANSPOSE(TRIM(_xlfn.TEXTSPLIT(N154,","))),COUNTIFS(B$3:B$650,TRANSPOSE(TRIM(_xlfn.TEXTSPLIT(N154,","))),O$3:O$650,"&lt;="&amp;$T$1))),""),"")</f>
        <v/>
      </c>
    </row>
    <row r="155" spans="1:20" ht="14.4" hidden="1" x14ac:dyDescent="0.3">
      <c r="A155" s="1">
        <v>34250</v>
      </c>
      <c r="B155" s="1" t="s">
        <v>728</v>
      </c>
      <c r="C155" s="2" t="s">
        <v>1263</v>
      </c>
      <c r="D155" s="1" t="s">
        <v>624</v>
      </c>
      <c r="E155" s="1" t="s">
        <v>686</v>
      </c>
      <c r="F155" s="9" t="s">
        <v>1688</v>
      </c>
      <c r="G155" s="9"/>
      <c r="H155" s="53" t="s">
        <v>453</v>
      </c>
      <c r="I155" s="9" t="b">
        <f t="shared" si="4"/>
        <v>0</v>
      </c>
      <c r="J155" s="1" t="s">
        <v>408</v>
      </c>
      <c r="K155" s="1" t="s">
        <v>16</v>
      </c>
      <c r="L155" s="1" t="s">
        <v>16</v>
      </c>
      <c r="M155" s="9"/>
      <c r="N155" s="35"/>
      <c r="O155" s="2" t="s">
        <v>458</v>
      </c>
      <c r="P155" s="2" cm="1">
        <f t="array" ref="P155">_xlfn.XLOOKUP(TRIM(B155),TRIM('[1]wc-product-export-16-3-2026-177'!$A:$A),'[1]wc-product-export-16-3-2026-177'!$D:$D,0,0)</f>
        <v>0</v>
      </c>
      <c r="Q155" s="2" t="e" cm="1">
        <f t="array" ref="Q155">IF(TRIM($D155)="SET",IF($K155="Steak Set1",ROUNDDOWN(IFERROR(MIN(_xlfn._xlws.FILTER(O$3:O$650,ISNUMBER(MATCH(TRIM($B$3:$B$650),TRIM(_xlfn.TEXTSPLIT($N155,",")),0)))),0)/4,0)+P155,IF(IFERROR(MIN(_xlfn._xlws.FILTER(O$3:O$650,ISNUMBER(MATCH(TRIM($B$3:$B$650),TRIM(_xlfn.TEXTSPLIT($N155,",")),0)))),0)&gt;=$E$1,IFERROR(MIN(_xlfn._xlws.FILTER(O$3:O$650,ISNUMBER(MATCH(TRIM($B$3:$B$650),TRIM(_xlfn.TEXTSPLIT($N155,",")),0)))),0)+P155,P155)),IF(TRIM($D155)="EA",IF(TRIM($E155)="M",ROUNDUP(O155*0.85,0),IF(TRIM($E155)="P",O155,P155)),P155))</f>
        <v>#VALUE!</v>
      </c>
      <c r="T155" t="str" cm="1">
        <f t="array" ref="T155">IFERROR(IF(D155="SET",_xlfn.TEXTJOIN(", ",TRUE,_xlfn._xlws.FILTER(TRANSPOSE(TRIM(_xlfn.TEXTSPLIT(N155,","))),COUNTIFS(B$3:B$650,TRANSPOSE(TRIM(_xlfn.TEXTSPLIT(N155,","))),O$3:O$650,"&lt;="&amp;$T$1))),""),"")</f>
        <v/>
      </c>
    </row>
    <row r="156" spans="1:20" ht="14.4" x14ac:dyDescent="0.3">
      <c r="A156" s="1">
        <v>34255</v>
      </c>
      <c r="B156" s="56" t="s">
        <v>729</v>
      </c>
      <c r="C156" s="2" t="s">
        <v>1263</v>
      </c>
      <c r="D156" s="1" t="s">
        <v>624</v>
      </c>
      <c r="E156" s="1" t="s">
        <v>686</v>
      </c>
      <c r="F156" s="9"/>
      <c r="G156" s="9"/>
      <c r="H156" s="16" t="s">
        <v>454</v>
      </c>
      <c r="I156" s="9" t="b">
        <f t="shared" si="4"/>
        <v>0</v>
      </c>
      <c r="J156" s="1" t="s">
        <v>408</v>
      </c>
      <c r="K156" s="1" t="s">
        <v>16</v>
      </c>
      <c r="L156" s="1" t="s">
        <v>16</v>
      </c>
      <c r="M156" s="9"/>
      <c r="N156" s="35"/>
      <c r="O156" s="24">
        <v>32</v>
      </c>
      <c r="P156" s="2" cm="1">
        <f t="array" ref="P156">_xlfn.XLOOKUP(TRIM(B156),TRIM('[1]wc-product-export-16-3-2026-177'!$A:$A),'[1]wc-product-export-16-3-2026-177'!$D:$D,0,0)</f>
        <v>0</v>
      </c>
      <c r="Q156" s="2" cm="1">
        <f t="array" ref="Q156">IF(TRIM($D156)="SET",IF($K156="Steak Set1",ROUNDDOWN(IFERROR(MIN(_xlfn._xlws.FILTER(O$3:O$650,ISNUMBER(MATCH(TRIM($B$3:$B$650),TRIM(_xlfn.TEXTSPLIT($N156,",")),0)))),0)/4,0)+P156,IF(IFERROR(MIN(_xlfn._xlws.FILTER(O$3:O$650,ISNUMBER(MATCH(TRIM($B$3:$B$650),TRIM(_xlfn.TEXTSPLIT($N156,",")),0)))),0)&gt;=$E$1,IFERROR(MIN(_xlfn._xlws.FILTER(O$3:O$650,ISNUMBER(MATCH(TRIM($B$3:$B$650),TRIM(_xlfn.TEXTSPLIT($N156,",")),0)))),0)+P156,P156)),IF(TRIM($D156)="EA",IF(TRIM($E156)="M",ROUNDUP(O156*0.85,0),IF(TRIM($E156)="P",O156,P156)),P156))</f>
        <v>28</v>
      </c>
      <c r="T156" t="str" cm="1">
        <f t="array" ref="T156">IFERROR(IF(D156="SET",_xlfn.TEXTJOIN(", ",TRUE,_xlfn._xlws.FILTER(TRANSPOSE(TRIM(_xlfn.TEXTSPLIT(N156,","))),COUNTIFS(B$3:B$650,TRANSPOSE(TRIM(_xlfn.TEXTSPLIT(N156,","))),O$3:O$650,"&lt;="&amp;$T$1))),""),"")</f>
        <v/>
      </c>
    </row>
    <row r="157" spans="1:20" ht="14.4" x14ac:dyDescent="0.3">
      <c r="A157" s="1">
        <v>7394</v>
      </c>
      <c r="B157" s="1" t="s">
        <v>675</v>
      </c>
      <c r="C157" s="1" t="s">
        <v>1259</v>
      </c>
      <c r="D157" s="1" t="s">
        <v>624</v>
      </c>
      <c r="E157" s="1" t="s">
        <v>623</v>
      </c>
      <c r="F157" s="9" t="s">
        <v>1688</v>
      </c>
      <c r="G157" s="9"/>
      <c r="H157" s="53" t="s">
        <v>220</v>
      </c>
      <c r="I157" s="9" t="b">
        <f t="shared" si="4"/>
        <v>0</v>
      </c>
      <c r="J157" s="1" t="s">
        <v>394</v>
      </c>
      <c r="K157" s="1" t="s">
        <v>295</v>
      </c>
      <c r="L157" s="1" t="s">
        <v>295</v>
      </c>
      <c r="M157" s="9"/>
      <c r="N157" s="35"/>
      <c r="O157" s="2">
        <v>74</v>
      </c>
      <c r="P157" s="2" cm="1">
        <f t="array" ref="P157">_xlfn.XLOOKUP(TRIM(B157),TRIM('[1]wc-product-export-16-3-2026-177'!$A:$A),'[1]wc-product-export-16-3-2026-177'!$D:$D,0,0)</f>
        <v>0</v>
      </c>
      <c r="Q157" s="2" cm="1">
        <f t="array" ref="Q157">IF(TRIM($D157)="SET",IF($K157="Steak Set1",ROUNDDOWN(IFERROR(MIN(_xlfn._xlws.FILTER(O$3:O$650,ISNUMBER(MATCH(TRIM($B$3:$B$650),TRIM(_xlfn.TEXTSPLIT($N157,",")),0)))),0)/4,0)+P157,IF(IFERROR(MIN(_xlfn._xlws.FILTER(O$3:O$650,ISNUMBER(MATCH(TRIM($B$3:$B$650),TRIM(_xlfn.TEXTSPLIT($N157,",")),0)))),0)&gt;=$E$1,IFERROR(MIN(_xlfn._xlws.FILTER(O$3:O$650,ISNUMBER(MATCH(TRIM($B$3:$B$650),TRIM(_xlfn.TEXTSPLIT($N157,",")),0)))),0)+P157,P157)),IF(TRIM($D157)="EA",IF(TRIM($E157)="M",ROUNDUP(O157*0.85,0),IF(TRIM($E157)="P",O157,P157)),P157))</f>
        <v>74</v>
      </c>
      <c r="T157" t="str" cm="1">
        <f t="array" ref="T157">IFERROR(IF(D157="SET",_xlfn.TEXTJOIN(", ",TRUE,_xlfn._xlws.FILTER(TRANSPOSE(TRIM(_xlfn.TEXTSPLIT(N157,","))),COUNTIFS(B$3:B$650,TRANSPOSE(TRIM(_xlfn.TEXTSPLIT(N157,","))),O$3:O$650,"&lt;="&amp;$T$1))),""),"")</f>
        <v/>
      </c>
    </row>
    <row r="158" spans="1:20" ht="14.4" x14ac:dyDescent="0.3">
      <c r="A158" s="1">
        <v>7395</v>
      </c>
      <c r="B158" s="1" t="s">
        <v>676</v>
      </c>
      <c r="C158" s="1" t="s">
        <v>1259</v>
      </c>
      <c r="D158" s="1" t="s">
        <v>624</v>
      </c>
      <c r="E158" s="1" t="s">
        <v>623</v>
      </c>
      <c r="F158" s="9" t="s">
        <v>1688</v>
      </c>
      <c r="G158" s="9"/>
      <c r="H158" s="16" t="s">
        <v>224</v>
      </c>
      <c r="I158" s="9" t="b">
        <f t="shared" si="4"/>
        <v>0</v>
      </c>
      <c r="J158" s="1" t="s">
        <v>394</v>
      </c>
      <c r="K158" s="1" t="s">
        <v>295</v>
      </c>
      <c r="L158" s="1" t="s">
        <v>295</v>
      </c>
      <c r="M158" s="9"/>
      <c r="N158" s="35"/>
      <c r="O158" s="2">
        <v>619</v>
      </c>
      <c r="P158" s="2" cm="1">
        <f t="array" ref="P158">_xlfn.XLOOKUP(TRIM(B158),TRIM('[1]wc-product-export-16-3-2026-177'!$A:$A),'[1]wc-product-export-16-3-2026-177'!$D:$D,0,0)</f>
        <v>0</v>
      </c>
      <c r="Q158" s="2" cm="1">
        <f t="array" ref="Q158">IF(TRIM($D158)="SET",IF($K158="Steak Set1",ROUNDDOWN(IFERROR(MIN(_xlfn._xlws.FILTER(O$3:O$650,ISNUMBER(MATCH(TRIM($B$3:$B$650),TRIM(_xlfn.TEXTSPLIT($N158,",")),0)))),0)/4,0)+P158,IF(IFERROR(MIN(_xlfn._xlws.FILTER(O$3:O$650,ISNUMBER(MATCH(TRIM($B$3:$B$650),TRIM(_xlfn.TEXTSPLIT($N158,",")),0)))),0)&gt;=$E$1,IFERROR(MIN(_xlfn._xlws.FILTER(O$3:O$650,ISNUMBER(MATCH(TRIM($B$3:$B$650),TRIM(_xlfn.TEXTSPLIT($N158,",")),0)))),0)+P158,P158)),IF(TRIM($D158)="EA",IF(TRIM($E158)="M",ROUNDUP(O158*0.85,0),IF(TRIM($E158)="P",O158,P158)),P158))</f>
        <v>619</v>
      </c>
      <c r="T158" t="str" cm="1">
        <f t="array" ref="T158">IFERROR(IF(D158="SET",_xlfn.TEXTJOIN(", ",TRUE,_xlfn._xlws.FILTER(TRANSPOSE(TRIM(_xlfn.TEXTSPLIT(N158,","))),COUNTIFS(B$3:B$650,TRANSPOSE(TRIM(_xlfn.TEXTSPLIT(N158,","))),O$3:O$650,"&lt;="&amp;$T$1))),""),"")</f>
        <v/>
      </c>
    </row>
    <row r="159" spans="1:20" ht="14.4" x14ac:dyDescent="0.3">
      <c r="A159" s="1">
        <v>7426</v>
      </c>
      <c r="B159" s="1" t="s">
        <v>677</v>
      </c>
      <c r="C159" s="1" t="s">
        <v>1259</v>
      </c>
      <c r="D159" s="1" t="s">
        <v>624</v>
      </c>
      <c r="E159" s="1" t="s">
        <v>623</v>
      </c>
      <c r="F159" s="9" t="s">
        <v>1688</v>
      </c>
      <c r="G159" s="9"/>
      <c r="H159" s="16" t="s">
        <v>218</v>
      </c>
      <c r="I159" s="9" t="b">
        <f t="shared" si="4"/>
        <v>0</v>
      </c>
      <c r="J159" s="1" t="s">
        <v>394</v>
      </c>
      <c r="K159" s="1" t="s">
        <v>295</v>
      </c>
      <c r="L159" s="1" t="s">
        <v>295</v>
      </c>
      <c r="M159" s="9"/>
      <c r="N159" s="35"/>
      <c r="O159" s="2">
        <v>174</v>
      </c>
      <c r="P159" s="2" cm="1">
        <f t="array" ref="P159">_xlfn.XLOOKUP(TRIM(B159),TRIM('[1]wc-product-export-16-3-2026-177'!$A:$A),'[1]wc-product-export-16-3-2026-177'!$D:$D,0,0)</f>
        <v>0</v>
      </c>
      <c r="Q159" s="2" cm="1">
        <f t="array" ref="Q159">IF(TRIM($D159)="SET",IF($K159="Steak Set1",ROUNDDOWN(IFERROR(MIN(_xlfn._xlws.FILTER(O$3:O$650,ISNUMBER(MATCH(TRIM($B$3:$B$650),TRIM(_xlfn.TEXTSPLIT($N159,",")),0)))),0)/4,0)+P159,IF(IFERROR(MIN(_xlfn._xlws.FILTER(O$3:O$650,ISNUMBER(MATCH(TRIM($B$3:$B$650),TRIM(_xlfn.TEXTSPLIT($N159,",")),0)))),0)&gt;=$E$1,IFERROR(MIN(_xlfn._xlws.FILTER(O$3:O$650,ISNUMBER(MATCH(TRIM($B$3:$B$650),TRIM(_xlfn.TEXTSPLIT($N159,",")),0)))),0)+P159,P159)),IF(TRIM($D159)="EA",IF(TRIM($E159)="M",ROUNDUP(O159*0.85,0),IF(TRIM($E159)="P",O159,P159)),P159))</f>
        <v>174</v>
      </c>
      <c r="T159" t="str" cm="1">
        <f t="array" ref="T159">IFERROR(IF(D159="SET",_xlfn.TEXTJOIN(", ",TRUE,_xlfn._xlws.FILTER(TRANSPOSE(TRIM(_xlfn.TEXTSPLIT(N159,","))),COUNTIFS(B$3:B$650,TRANSPOSE(TRIM(_xlfn.TEXTSPLIT(N159,","))),O$3:O$650,"&lt;="&amp;$T$1))),""),"")</f>
        <v/>
      </c>
    </row>
    <row r="160" spans="1:20" ht="14.4" x14ac:dyDescent="0.3">
      <c r="A160" s="1">
        <v>7427</v>
      </c>
      <c r="B160" s="1" t="s">
        <v>678</v>
      </c>
      <c r="C160" s="1" t="s">
        <v>1259</v>
      </c>
      <c r="D160" s="1" t="s">
        <v>624</v>
      </c>
      <c r="E160" s="1" t="s">
        <v>623</v>
      </c>
      <c r="F160" s="9" t="s">
        <v>1688</v>
      </c>
      <c r="G160" s="9"/>
      <c r="H160" s="16" t="s">
        <v>222</v>
      </c>
      <c r="I160" s="9" t="b">
        <f t="shared" si="4"/>
        <v>0</v>
      </c>
      <c r="J160" s="1" t="s">
        <v>394</v>
      </c>
      <c r="K160" s="1" t="s">
        <v>295</v>
      </c>
      <c r="L160" s="1" t="s">
        <v>295</v>
      </c>
      <c r="M160" s="9"/>
      <c r="N160" s="35"/>
      <c r="O160" s="2">
        <v>459</v>
      </c>
      <c r="P160" s="2" cm="1">
        <f t="array" ref="P160">_xlfn.XLOOKUP(TRIM(B160),TRIM('[1]wc-product-export-16-3-2026-177'!$A:$A),'[1]wc-product-export-16-3-2026-177'!$D:$D,0,0)</f>
        <v>0</v>
      </c>
      <c r="Q160" s="2" cm="1">
        <f t="array" ref="Q160">IF(TRIM($D160)="SET",IF($K160="Steak Set1",ROUNDDOWN(IFERROR(MIN(_xlfn._xlws.FILTER(O$3:O$650,ISNUMBER(MATCH(TRIM($B$3:$B$650),TRIM(_xlfn.TEXTSPLIT($N160,",")),0)))),0)/4,0)+P160,IF(IFERROR(MIN(_xlfn._xlws.FILTER(O$3:O$650,ISNUMBER(MATCH(TRIM($B$3:$B$650),TRIM(_xlfn.TEXTSPLIT($N160,",")),0)))),0)&gt;=$E$1,IFERROR(MIN(_xlfn._xlws.FILTER(O$3:O$650,ISNUMBER(MATCH(TRIM($B$3:$B$650),TRIM(_xlfn.TEXTSPLIT($N160,",")),0)))),0)+P160,P160)),IF(TRIM($D160)="EA",IF(TRIM($E160)="M",ROUNDUP(O160*0.85,0),IF(TRIM($E160)="P",O160,P160)),P160))</f>
        <v>459</v>
      </c>
      <c r="T160" t="str" cm="1">
        <f t="array" ref="T160">IFERROR(IF(D160="SET",_xlfn.TEXTJOIN(", ",TRUE,_xlfn._xlws.FILTER(TRANSPOSE(TRIM(_xlfn.TEXTSPLIT(N160,","))),COUNTIFS(B$3:B$650,TRANSPOSE(TRIM(_xlfn.TEXTSPLIT(N160,","))),O$3:O$650,"&lt;="&amp;$T$1))),""),"")</f>
        <v/>
      </c>
    </row>
    <row r="161" spans="1:20" ht="14.4" x14ac:dyDescent="0.3">
      <c r="A161" s="1">
        <v>7446</v>
      </c>
      <c r="B161" s="1" t="s">
        <v>679</v>
      </c>
      <c r="C161" s="1" t="s">
        <v>1259</v>
      </c>
      <c r="D161" s="1" t="s">
        <v>624</v>
      </c>
      <c r="E161" s="1" t="s">
        <v>623</v>
      </c>
      <c r="F161" s="9"/>
      <c r="G161" s="9"/>
      <c r="H161" s="16" t="s">
        <v>225</v>
      </c>
      <c r="I161" s="9" t="b">
        <f t="shared" si="4"/>
        <v>0</v>
      </c>
      <c r="J161" s="1" t="s">
        <v>394</v>
      </c>
      <c r="K161" s="1" t="s">
        <v>295</v>
      </c>
      <c r="L161" s="1" t="s">
        <v>295</v>
      </c>
      <c r="M161" s="9"/>
      <c r="N161" s="35"/>
      <c r="O161" s="2">
        <v>176</v>
      </c>
      <c r="P161" s="2" cm="1">
        <f t="array" ref="P161">_xlfn.XLOOKUP(TRIM(B161),TRIM('[1]wc-product-export-16-3-2026-177'!$A:$A),'[1]wc-product-export-16-3-2026-177'!$D:$D,0,0)</f>
        <v>0</v>
      </c>
      <c r="Q161" s="2" cm="1">
        <f t="array" ref="Q161">IF(TRIM($D161)="SET",IF($K161="Steak Set1",ROUNDDOWN(IFERROR(MIN(_xlfn._xlws.FILTER(O$3:O$650,ISNUMBER(MATCH(TRIM($B$3:$B$650),TRIM(_xlfn.TEXTSPLIT($N161,",")),0)))),0)/4,0)+P161,IF(IFERROR(MIN(_xlfn._xlws.FILTER(O$3:O$650,ISNUMBER(MATCH(TRIM($B$3:$B$650),TRIM(_xlfn.TEXTSPLIT($N161,",")),0)))),0)&gt;=$E$1,IFERROR(MIN(_xlfn._xlws.FILTER(O$3:O$650,ISNUMBER(MATCH(TRIM($B$3:$B$650),TRIM(_xlfn.TEXTSPLIT($N161,",")),0)))),0)+P161,P161)),IF(TRIM($D161)="EA",IF(TRIM($E161)="M",ROUNDUP(O161*0.85,0),IF(TRIM($E161)="P",O161,P161)),P161))</f>
        <v>176</v>
      </c>
      <c r="T161" t="str" cm="1">
        <f t="array" ref="T161">IFERROR(IF(D161="SET",_xlfn.TEXTJOIN(", ",TRUE,_xlfn._xlws.FILTER(TRANSPOSE(TRIM(_xlfn.TEXTSPLIT(N161,","))),COUNTIFS(B$3:B$650,TRANSPOSE(TRIM(_xlfn.TEXTSPLIT(N161,","))),O$3:O$650,"&lt;="&amp;$T$1))),""),"")</f>
        <v/>
      </c>
    </row>
    <row r="162" spans="1:20" ht="14.4" x14ac:dyDescent="0.3">
      <c r="A162" s="1">
        <v>7447</v>
      </c>
      <c r="B162" s="1" t="s">
        <v>667</v>
      </c>
      <c r="C162" s="1" t="s">
        <v>1259</v>
      </c>
      <c r="D162" s="1" t="s">
        <v>624</v>
      </c>
      <c r="E162" s="1" t="s">
        <v>623</v>
      </c>
      <c r="F162" s="9" t="s">
        <v>1688</v>
      </c>
      <c r="G162" s="9"/>
      <c r="H162" s="16" t="s">
        <v>215</v>
      </c>
      <c r="I162" s="9" t="b">
        <f t="shared" si="4"/>
        <v>0</v>
      </c>
      <c r="J162" s="1" t="s">
        <v>394</v>
      </c>
      <c r="K162" s="1" t="s">
        <v>356</v>
      </c>
      <c r="L162" s="1" t="s">
        <v>356</v>
      </c>
      <c r="M162" s="9"/>
      <c r="N162" s="35"/>
      <c r="O162" s="2">
        <v>88</v>
      </c>
      <c r="P162" s="2" cm="1">
        <f t="array" ref="P162">_xlfn.XLOOKUP(TRIM(B162),TRIM('[1]wc-product-export-16-3-2026-177'!$A:$A),'[1]wc-product-export-16-3-2026-177'!$D:$D,0,0)</f>
        <v>0</v>
      </c>
      <c r="Q162" s="2" cm="1">
        <f t="array" ref="Q162">IF(TRIM($D162)="SET",IF($K162="Steak Set1",ROUNDDOWN(IFERROR(MIN(_xlfn._xlws.FILTER(O$3:O$650,ISNUMBER(MATCH(TRIM($B$3:$B$650),TRIM(_xlfn.TEXTSPLIT($N162,",")),0)))),0)/4,0)+P162,IF(IFERROR(MIN(_xlfn._xlws.FILTER(O$3:O$650,ISNUMBER(MATCH(TRIM($B$3:$B$650),TRIM(_xlfn.TEXTSPLIT($N162,",")),0)))),0)&gt;=$E$1,IFERROR(MIN(_xlfn._xlws.FILTER(O$3:O$650,ISNUMBER(MATCH(TRIM($B$3:$B$650),TRIM(_xlfn.TEXTSPLIT($N162,",")),0)))),0)+P162,P162)),IF(TRIM($D162)="EA",IF(TRIM($E162)="M",ROUNDUP(O162*0.85,0),IF(TRIM($E162)="P",O162,P162)),P162))</f>
        <v>88</v>
      </c>
      <c r="T162" t="str" cm="1">
        <f t="array" ref="T162">IFERROR(IF(D162="SET",_xlfn.TEXTJOIN(", ",TRUE,_xlfn._xlws.FILTER(TRANSPOSE(TRIM(_xlfn.TEXTSPLIT(N162,","))),COUNTIFS(B$3:B$650,TRANSPOSE(TRIM(_xlfn.TEXTSPLIT(N162,","))),O$3:O$650,"&lt;="&amp;$T$1))),""),"")</f>
        <v/>
      </c>
    </row>
    <row r="163" spans="1:20" ht="14.4" x14ac:dyDescent="0.3">
      <c r="A163" s="1">
        <v>7450</v>
      </c>
      <c r="B163" s="1" t="s">
        <v>655</v>
      </c>
      <c r="C163" s="1" t="s">
        <v>1259</v>
      </c>
      <c r="D163" s="1" t="s">
        <v>624</v>
      </c>
      <c r="E163" s="1" t="s">
        <v>623</v>
      </c>
      <c r="F163" s="9" t="s">
        <v>1688</v>
      </c>
      <c r="G163" s="9"/>
      <c r="H163" s="16" t="s">
        <v>423</v>
      </c>
      <c r="I163" s="9" t="b">
        <f t="shared" si="4"/>
        <v>0</v>
      </c>
      <c r="J163" s="1" t="s">
        <v>394</v>
      </c>
      <c r="K163" s="1" t="s">
        <v>293</v>
      </c>
      <c r="L163" s="1" t="s">
        <v>293</v>
      </c>
      <c r="M163" s="9"/>
      <c r="N163" s="35"/>
      <c r="O163" s="2">
        <v>94</v>
      </c>
      <c r="P163" s="2" cm="1">
        <f t="array" ref="P163">_xlfn.XLOOKUP(TRIM(B163),TRIM('[1]wc-product-export-16-3-2026-177'!$A:$A),'[1]wc-product-export-16-3-2026-177'!$D:$D,0,0)</f>
        <v>0</v>
      </c>
      <c r="Q163" s="2" cm="1">
        <f t="array" ref="Q163">IF(TRIM($D163)="SET",IF($K163="Steak Set1",ROUNDDOWN(IFERROR(MIN(_xlfn._xlws.FILTER(O$3:O$650,ISNUMBER(MATCH(TRIM($B$3:$B$650),TRIM(_xlfn.TEXTSPLIT($N163,",")),0)))),0)/4,0)+P163,IF(IFERROR(MIN(_xlfn._xlws.FILTER(O$3:O$650,ISNUMBER(MATCH(TRIM($B$3:$B$650),TRIM(_xlfn.TEXTSPLIT($N163,",")),0)))),0)&gt;=$E$1,IFERROR(MIN(_xlfn._xlws.FILTER(O$3:O$650,ISNUMBER(MATCH(TRIM($B$3:$B$650),TRIM(_xlfn.TEXTSPLIT($N163,",")),0)))),0)+P163,P163)),IF(TRIM($D163)="EA",IF(TRIM($E163)="M",ROUNDUP(O163*0.85,0),IF(TRIM($E163)="P",O163,P163)),P163))</f>
        <v>94</v>
      </c>
      <c r="T163" t="str" cm="1">
        <f t="array" ref="T163">IFERROR(IF(D163="SET",_xlfn.TEXTJOIN(", ",TRUE,_xlfn._xlws.FILTER(TRANSPOSE(TRIM(_xlfn.TEXTSPLIT(N163,","))),COUNTIFS(B$3:B$650,TRANSPOSE(TRIM(_xlfn.TEXTSPLIT(N163,","))),O$3:O$650,"&lt;="&amp;$T$1))),""),"")</f>
        <v/>
      </c>
    </row>
    <row r="164" spans="1:20" ht="14.4" x14ac:dyDescent="0.3">
      <c r="A164" s="1">
        <v>7454</v>
      </c>
      <c r="B164" s="1" t="s">
        <v>656</v>
      </c>
      <c r="C164" s="1" t="s">
        <v>1259</v>
      </c>
      <c r="D164" s="1" t="s">
        <v>624</v>
      </c>
      <c r="E164" s="1" t="s">
        <v>623</v>
      </c>
      <c r="F164" s="9" t="s">
        <v>1688</v>
      </c>
      <c r="G164" s="9"/>
      <c r="H164" s="16" t="s">
        <v>424</v>
      </c>
      <c r="I164" s="9" t="b">
        <f t="shared" si="4"/>
        <v>0</v>
      </c>
      <c r="J164" s="1" t="s">
        <v>394</v>
      </c>
      <c r="K164" s="1" t="s">
        <v>293</v>
      </c>
      <c r="L164" s="1" t="s">
        <v>293</v>
      </c>
      <c r="M164" s="9"/>
      <c r="N164" s="35"/>
      <c r="O164" s="2">
        <v>1793</v>
      </c>
      <c r="P164" s="2" cm="1">
        <f t="array" ref="P164">_xlfn.XLOOKUP(TRIM(B164),TRIM('[1]wc-product-export-16-3-2026-177'!$A:$A),'[1]wc-product-export-16-3-2026-177'!$D:$D,0,0)</f>
        <v>0</v>
      </c>
      <c r="Q164" s="2" cm="1">
        <f t="array" ref="Q164">IF(TRIM($D164)="SET",IF($K164="Steak Set1",ROUNDDOWN(IFERROR(MIN(_xlfn._xlws.FILTER(O$3:O$650,ISNUMBER(MATCH(TRIM($B$3:$B$650),TRIM(_xlfn.TEXTSPLIT($N164,",")),0)))),0)/4,0)+P164,IF(IFERROR(MIN(_xlfn._xlws.FILTER(O$3:O$650,ISNUMBER(MATCH(TRIM($B$3:$B$650),TRIM(_xlfn.TEXTSPLIT($N164,",")),0)))),0)&gt;=$E$1,IFERROR(MIN(_xlfn._xlws.FILTER(O$3:O$650,ISNUMBER(MATCH(TRIM($B$3:$B$650),TRIM(_xlfn.TEXTSPLIT($N164,",")),0)))),0)+P164,P164)),IF(TRIM($D164)="EA",IF(TRIM($E164)="M",ROUNDUP(O164*0.85,0),IF(TRIM($E164)="P",O164,P164)),P164))</f>
        <v>1793</v>
      </c>
      <c r="T164" t="str" cm="1">
        <f t="array" ref="T164">IFERROR(IF(D164="SET",_xlfn.TEXTJOIN(", ",TRUE,_xlfn._xlws.FILTER(TRANSPOSE(TRIM(_xlfn.TEXTSPLIT(N164,","))),COUNTIFS(B$3:B$650,TRANSPOSE(TRIM(_xlfn.TEXTSPLIT(N164,","))),O$3:O$650,"&lt;="&amp;$T$1))),""),"")</f>
        <v/>
      </c>
    </row>
    <row r="165" spans="1:20" ht="14.4" x14ac:dyDescent="0.3">
      <c r="A165" s="1">
        <v>7455</v>
      </c>
      <c r="B165" s="1" t="s">
        <v>657</v>
      </c>
      <c r="C165" s="1" t="s">
        <v>1259</v>
      </c>
      <c r="D165" s="1" t="s">
        <v>624</v>
      </c>
      <c r="E165" s="1" t="s">
        <v>623</v>
      </c>
      <c r="F165" s="9"/>
      <c r="G165" s="9"/>
      <c r="H165" s="16" t="s">
        <v>425</v>
      </c>
      <c r="I165" s="9" t="b">
        <f t="shared" si="4"/>
        <v>0</v>
      </c>
      <c r="J165" s="1" t="s">
        <v>394</v>
      </c>
      <c r="K165" s="1" t="s">
        <v>293</v>
      </c>
      <c r="L165" s="1" t="s">
        <v>293</v>
      </c>
      <c r="M165" s="9"/>
      <c r="N165" s="35"/>
      <c r="O165" s="2">
        <v>355</v>
      </c>
      <c r="P165" s="2" cm="1">
        <f t="array" ref="P165">_xlfn.XLOOKUP(TRIM(B165),TRIM('[1]wc-product-export-16-3-2026-177'!$A:$A),'[1]wc-product-export-16-3-2026-177'!$D:$D,0,0)</f>
        <v>0</v>
      </c>
      <c r="Q165" s="2" cm="1">
        <f t="array" ref="Q165">IF(TRIM($D165)="SET",IF($K165="Steak Set1",ROUNDDOWN(IFERROR(MIN(_xlfn._xlws.FILTER(O$3:O$650,ISNUMBER(MATCH(TRIM($B$3:$B$650),TRIM(_xlfn.TEXTSPLIT($N165,",")),0)))),0)/4,0)+P165,IF(IFERROR(MIN(_xlfn._xlws.FILTER(O$3:O$650,ISNUMBER(MATCH(TRIM($B$3:$B$650),TRIM(_xlfn.TEXTSPLIT($N165,",")),0)))),0)&gt;=$E$1,IFERROR(MIN(_xlfn._xlws.FILTER(O$3:O$650,ISNUMBER(MATCH(TRIM($B$3:$B$650),TRIM(_xlfn.TEXTSPLIT($N165,",")),0)))),0)+P165,P165)),IF(TRIM($D165)="EA",IF(TRIM($E165)="M",ROUNDUP(O165*0.85,0),IF(TRIM($E165)="P",O165,P165)),P165))</f>
        <v>355</v>
      </c>
      <c r="T165" t="str" cm="1">
        <f t="array" ref="T165">IFERROR(IF(D165="SET",_xlfn.TEXTJOIN(", ",TRUE,_xlfn._xlws.FILTER(TRANSPOSE(TRIM(_xlfn.TEXTSPLIT(N165,","))),COUNTIFS(B$3:B$650,TRANSPOSE(TRIM(_xlfn.TEXTSPLIT(N165,","))),O$3:O$650,"&lt;="&amp;$T$1))),""),"")</f>
        <v/>
      </c>
    </row>
    <row r="166" spans="1:20" ht="14.4" x14ac:dyDescent="0.3">
      <c r="A166" s="1">
        <v>7456</v>
      </c>
      <c r="B166" s="1" t="s">
        <v>658</v>
      </c>
      <c r="C166" s="1" t="s">
        <v>1259</v>
      </c>
      <c r="D166" s="1" t="s">
        <v>624</v>
      </c>
      <c r="E166" s="1" t="s">
        <v>623</v>
      </c>
      <c r="F166" s="9"/>
      <c r="G166" s="9"/>
      <c r="H166" s="16" t="s">
        <v>430</v>
      </c>
      <c r="I166" s="9" t="b">
        <f t="shared" si="4"/>
        <v>0</v>
      </c>
      <c r="J166" s="1" t="s">
        <v>394</v>
      </c>
      <c r="K166" s="1" t="s">
        <v>293</v>
      </c>
      <c r="L166" s="1" t="s">
        <v>293</v>
      </c>
      <c r="M166" s="9"/>
      <c r="N166" s="35"/>
      <c r="O166" s="2">
        <v>95</v>
      </c>
      <c r="P166" s="2" cm="1">
        <f t="array" ref="P166">_xlfn.XLOOKUP(TRIM(B166),TRIM('[1]wc-product-export-16-3-2026-177'!$A:$A),'[1]wc-product-export-16-3-2026-177'!$D:$D,0,0)</f>
        <v>0</v>
      </c>
      <c r="Q166" s="2" cm="1">
        <f t="array" ref="Q166">IF(TRIM($D166)="SET",IF($K166="Steak Set1",ROUNDDOWN(IFERROR(MIN(_xlfn._xlws.FILTER(O$3:O$650,ISNUMBER(MATCH(TRIM($B$3:$B$650),TRIM(_xlfn.TEXTSPLIT($N166,",")),0)))),0)/4,0)+P166,IF(IFERROR(MIN(_xlfn._xlws.FILTER(O$3:O$650,ISNUMBER(MATCH(TRIM($B$3:$B$650),TRIM(_xlfn.TEXTSPLIT($N166,",")),0)))),0)&gt;=$E$1,IFERROR(MIN(_xlfn._xlws.FILTER(O$3:O$650,ISNUMBER(MATCH(TRIM($B$3:$B$650),TRIM(_xlfn.TEXTSPLIT($N166,",")),0)))),0)+P166,P166)),IF(TRIM($D166)="EA",IF(TRIM($E166)="M",ROUNDUP(O166*0.85,0),IF(TRIM($E166)="P",O166,P166)),P166))</f>
        <v>95</v>
      </c>
      <c r="T166" t="str" cm="1">
        <f t="array" ref="T166">IFERROR(IF(D166="SET",_xlfn.TEXTJOIN(", ",TRUE,_xlfn._xlws.FILTER(TRANSPOSE(TRIM(_xlfn.TEXTSPLIT(N166,","))),COUNTIFS(B$3:B$650,TRANSPOSE(TRIM(_xlfn.TEXTSPLIT(N166,","))),O$3:O$650,"&lt;="&amp;$T$1))),""),"")</f>
        <v/>
      </c>
    </row>
    <row r="167" spans="1:20" ht="14.4" x14ac:dyDescent="0.3">
      <c r="A167" s="1">
        <v>7457</v>
      </c>
      <c r="B167" s="1" t="s">
        <v>659</v>
      </c>
      <c r="C167" s="1" t="s">
        <v>1259</v>
      </c>
      <c r="D167" s="1" t="s">
        <v>624</v>
      </c>
      <c r="E167" s="1" t="s">
        <v>623</v>
      </c>
      <c r="F167" s="9"/>
      <c r="G167" s="9"/>
      <c r="H167" s="16" t="s">
        <v>426</v>
      </c>
      <c r="I167" s="9" t="b">
        <f t="shared" si="4"/>
        <v>0</v>
      </c>
      <c r="J167" s="1" t="s">
        <v>394</v>
      </c>
      <c r="K167" s="1" t="s">
        <v>293</v>
      </c>
      <c r="L167" s="1" t="s">
        <v>293</v>
      </c>
      <c r="M167" s="9"/>
      <c r="N167" s="35"/>
      <c r="O167" s="2">
        <v>166</v>
      </c>
      <c r="P167" s="2" cm="1">
        <f t="array" ref="P167">_xlfn.XLOOKUP(TRIM(B167),TRIM('[1]wc-product-export-16-3-2026-177'!$A:$A),'[1]wc-product-export-16-3-2026-177'!$D:$D,0,0)</f>
        <v>0</v>
      </c>
      <c r="Q167" s="2" cm="1">
        <f t="array" ref="Q167">IF(TRIM($D167)="SET",IF($K167="Steak Set1",ROUNDDOWN(IFERROR(MIN(_xlfn._xlws.FILTER(O$3:O$650,ISNUMBER(MATCH(TRIM($B$3:$B$650),TRIM(_xlfn.TEXTSPLIT($N167,",")),0)))),0)/4,0)+P167,IF(IFERROR(MIN(_xlfn._xlws.FILTER(O$3:O$650,ISNUMBER(MATCH(TRIM($B$3:$B$650),TRIM(_xlfn.TEXTSPLIT($N167,",")),0)))),0)&gt;=$E$1,IFERROR(MIN(_xlfn._xlws.FILTER(O$3:O$650,ISNUMBER(MATCH(TRIM($B$3:$B$650),TRIM(_xlfn.TEXTSPLIT($N167,",")),0)))),0)+P167,P167)),IF(TRIM($D167)="EA",IF(TRIM($E167)="M",ROUNDUP(O167*0.85,0),IF(TRIM($E167)="P",O167,P167)),P167))</f>
        <v>166</v>
      </c>
      <c r="T167" t="str" cm="1">
        <f t="array" ref="T167">IFERROR(IF(D167="SET",_xlfn.TEXTJOIN(", ",TRUE,_xlfn._xlws.FILTER(TRANSPOSE(TRIM(_xlfn.TEXTSPLIT(N167,","))),COUNTIFS(B$3:B$650,TRANSPOSE(TRIM(_xlfn.TEXTSPLIT(N167,","))),O$3:O$650,"&lt;="&amp;$T$1))),""),"")</f>
        <v/>
      </c>
    </row>
    <row r="168" spans="1:20" ht="14.4" x14ac:dyDescent="0.3">
      <c r="A168" s="1">
        <v>7458</v>
      </c>
      <c r="B168" s="1" t="s">
        <v>660</v>
      </c>
      <c r="C168" s="1" t="s">
        <v>1259</v>
      </c>
      <c r="D168" s="1" t="s">
        <v>624</v>
      </c>
      <c r="E168" s="1" t="s">
        <v>623</v>
      </c>
      <c r="F168" s="9"/>
      <c r="G168" s="9"/>
      <c r="H168" s="16" t="s">
        <v>427</v>
      </c>
      <c r="I168" s="9" t="b">
        <f t="shared" si="4"/>
        <v>0</v>
      </c>
      <c r="J168" s="1" t="s">
        <v>394</v>
      </c>
      <c r="K168" s="1" t="s">
        <v>293</v>
      </c>
      <c r="L168" s="1" t="s">
        <v>293</v>
      </c>
      <c r="M168" s="9"/>
      <c r="N168" s="35"/>
      <c r="O168" s="2">
        <v>61</v>
      </c>
      <c r="P168" s="2" cm="1">
        <f t="array" ref="P168">_xlfn.XLOOKUP(TRIM(B168),TRIM('[1]wc-product-export-16-3-2026-177'!$A:$A),'[1]wc-product-export-16-3-2026-177'!$D:$D,0,0)</f>
        <v>0</v>
      </c>
      <c r="Q168" s="2" cm="1">
        <f t="array" ref="Q168">IF(TRIM($D168)="SET",IF($K168="Steak Set1",ROUNDDOWN(IFERROR(MIN(_xlfn._xlws.FILTER(O$3:O$650,ISNUMBER(MATCH(TRIM($B$3:$B$650),TRIM(_xlfn.TEXTSPLIT($N168,",")),0)))),0)/4,0)+P168,IF(IFERROR(MIN(_xlfn._xlws.FILTER(O$3:O$650,ISNUMBER(MATCH(TRIM($B$3:$B$650),TRIM(_xlfn.TEXTSPLIT($N168,",")),0)))),0)&gt;=$E$1,IFERROR(MIN(_xlfn._xlws.FILTER(O$3:O$650,ISNUMBER(MATCH(TRIM($B$3:$B$650),TRIM(_xlfn.TEXTSPLIT($N168,",")),0)))),0)+P168,P168)),IF(TRIM($D168)="EA",IF(TRIM($E168)="M",ROUNDUP(O168*0.85,0),IF(TRIM($E168)="P",O168,P168)),P168))</f>
        <v>61</v>
      </c>
      <c r="T168" t="str" cm="1">
        <f t="array" ref="T168">IFERROR(IF(D168="SET",_xlfn.TEXTJOIN(", ",TRUE,_xlfn._xlws.FILTER(TRANSPOSE(TRIM(_xlfn.TEXTSPLIT(N168,","))),COUNTIFS(B$3:B$650,TRANSPOSE(TRIM(_xlfn.TEXTSPLIT(N168,","))),O$3:O$650,"&lt;="&amp;$T$1))),""),"")</f>
        <v/>
      </c>
    </row>
    <row r="169" spans="1:20" ht="14.4" hidden="1" x14ac:dyDescent="0.3">
      <c r="A169" s="1">
        <v>7459</v>
      </c>
      <c r="B169" s="1" t="s">
        <v>661</v>
      </c>
      <c r="C169" s="1" t="s">
        <v>1259</v>
      </c>
      <c r="D169" s="1" t="s">
        <v>624</v>
      </c>
      <c r="E169" s="1" t="s">
        <v>623</v>
      </c>
      <c r="F169" s="9" t="s">
        <v>1688</v>
      </c>
      <c r="G169" s="9"/>
      <c r="H169" s="16" t="s">
        <v>428</v>
      </c>
      <c r="I169" s="9" t="b">
        <f t="shared" si="4"/>
        <v>0</v>
      </c>
      <c r="J169" s="1" t="s">
        <v>394</v>
      </c>
      <c r="K169" s="1" t="s">
        <v>293</v>
      </c>
      <c r="L169" s="1" t="s">
        <v>293</v>
      </c>
      <c r="M169" s="9"/>
      <c r="N169" s="35"/>
      <c r="O169" s="2" t="s">
        <v>458</v>
      </c>
      <c r="P169" s="2" cm="1">
        <f t="array" ref="P169">_xlfn.XLOOKUP(TRIM(B169),TRIM('[1]wc-product-export-16-3-2026-177'!$A:$A),'[1]wc-product-export-16-3-2026-177'!$D:$D,0,0)</f>
        <v>0</v>
      </c>
      <c r="Q169" s="2" t="str" cm="1">
        <f t="array" ref="Q169">IF(TRIM($D169)="SET",IF($K169="Steak Set1",ROUNDDOWN(IFERROR(MIN(_xlfn._xlws.FILTER(O$3:O$650,ISNUMBER(MATCH(TRIM($B$3:$B$650),TRIM(_xlfn.TEXTSPLIT($N169,",")),0)))),0)/4,0)+P169,IF(IFERROR(MIN(_xlfn._xlws.FILTER(O$3:O$650,ISNUMBER(MATCH(TRIM($B$3:$B$650),TRIM(_xlfn.TEXTSPLIT($N169,",")),0)))),0)&gt;=$E$1,IFERROR(MIN(_xlfn._xlws.FILTER(O$3:O$650,ISNUMBER(MATCH(TRIM($B$3:$B$650),TRIM(_xlfn.TEXTSPLIT($N169,",")),0)))),0)+P169,P169)),IF(TRIM($D169)="EA",IF(TRIM($E169)="M",ROUNDUP(O169*0.85,0),IF(TRIM($E169)="P",O169,P169)),P169))</f>
        <v>N/A</v>
      </c>
      <c r="T169" t="str" cm="1">
        <f t="array" ref="T169">IFERROR(IF(D169="SET",_xlfn.TEXTJOIN(", ",TRUE,_xlfn._xlws.FILTER(TRANSPOSE(TRIM(_xlfn.TEXTSPLIT(N169,","))),COUNTIFS(B$3:B$650,TRANSPOSE(TRIM(_xlfn.TEXTSPLIT(N169,","))),O$3:O$650,"&lt;="&amp;$T$1))),""),"")</f>
        <v/>
      </c>
    </row>
    <row r="170" spans="1:20" ht="14.4" x14ac:dyDescent="0.3">
      <c r="A170" s="1">
        <v>34270</v>
      </c>
      <c r="B170" s="55" t="s">
        <v>730</v>
      </c>
      <c r="C170" s="2" t="s">
        <v>1263</v>
      </c>
      <c r="D170" s="1" t="s">
        <v>624</v>
      </c>
      <c r="E170" s="1" t="s">
        <v>686</v>
      </c>
      <c r="F170" s="9"/>
      <c r="G170" s="9"/>
      <c r="H170" s="16" t="s">
        <v>455</v>
      </c>
      <c r="I170" s="9" t="b">
        <f t="shared" si="4"/>
        <v>0</v>
      </c>
      <c r="J170" s="1" t="s">
        <v>408</v>
      </c>
      <c r="K170" s="1" t="s">
        <v>290</v>
      </c>
      <c r="L170" s="1" t="s">
        <v>290</v>
      </c>
      <c r="M170" s="9"/>
      <c r="N170" s="35"/>
      <c r="O170" s="24">
        <v>0</v>
      </c>
      <c r="P170" s="2" cm="1">
        <f t="array" ref="P170">_xlfn.XLOOKUP(TRIM(B170),TRIM('[1]wc-product-export-16-3-2026-177'!$A:$A),'[1]wc-product-export-16-3-2026-177'!$D:$D,0,0)</f>
        <v>0</v>
      </c>
      <c r="Q170" s="2" cm="1">
        <f t="array" ref="Q170">IF(TRIM($D170)="SET",IF($K170="Steak Set1",ROUNDDOWN(IFERROR(MIN(_xlfn._xlws.FILTER(O$3:O$650,ISNUMBER(MATCH(TRIM($B$3:$B$650),TRIM(_xlfn.TEXTSPLIT($N170,",")),0)))),0)/4,0)+P170,IF(IFERROR(MIN(_xlfn._xlws.FILTER(O$3:O$650,ISNUMBER(MATCH(TRIM($B$3:$B$650),TRIM(_xlfn.TEXTSPLIT($N170,",")),0)))),0)&gt;=$E$1,IFERROR(MIN(_xlfn._xlws.FILTER(O$3:O$650,ISNUMBER(MATCH(TRIM($B$3:$B$650),TRIM(_xlfn.TEXTSPLIT($N170,",")),0)))),0)+P170,P170)),IF(TRIM($D170)="EA",IF(TRIM($E170)="M",ROUNDUP(O170*0.85,0),IF(TRIM($E170)="P",O170,P170)),P170))</f>
        <v>0</v>
      </c>
      <c r="T170" t="str" cm="1">
        <f t="array" ref="T170">IFERROR(IF(D170="SET",_xlfn.TEXTJOIN(", ",TRUE,_xlfn._xlws.FILTER(TRANSPOSE(TRIM(_xlfn.TEXTSPLIT(N170,","))),COUNTIFS(B$3:B$650,TRANSPOSE(TRIM(_xlfn.TEXTSPLIT(N170,","))),O$3:O$650,"&lt;="&amp;$T$1))),""),"")</f>
        <v/>
      </c>
    </row>
    <row r="171" spans="1:20" ht="14.4" x14ac:dyDescent="0.3">
      <c r="A171" s="1">
        <v>7469</v>
      </c>
      <c r="B171" s="1" t="s">
        <v>662</v>
      </c>
      <c r="C171" s="1" t="s">
        <v>1259</v>
      </c>
      <c r="D171" s="1" t="s">
        <v>624</v>
      </c>
      <c r="E171" s="1" t="s">
        <v>623</v>
      </c>
      <c r="F171" s="9"/>
      <c r="G171" s="9"/>
      <c r="H171" s="53" t="s">
        <v>429</v>
      </c>
      <c r="I171" s="9" t="b">
        <f t="shared" si="4"/>
        <v>0</v>
      </c>
      <c r="J171" s="1" t="s">
        <v>394</v>
      </c>
      <c r="K171" s="1" t="s">
        <v>293</v>
      </c>
      <c r="L171" s="1" t="s">
        <v>293</v>
      </c>
      <c r="M171" s="9"/>
      <c r="N171" s="35"/>
      <c r="O171" s="2">
        <v>656</v>
      </c>
      <c r="P171" s="2" cm="1">
        <f t="array" ref="P171">_xlfn.XLOOKUP(TRIM(B171),TRIM('[1]wc-product-export-16-3-2026-177'!$A:$A),'[1]wc-product-export-16-3-2026-177'!$D:$D,0,0)</f>
        <v>0</v>
      </c>
      <c r="Q171" s="2" cm="1">
        <f t="array" ref="Q171">IF(TRIM($D171)="SET",IF($K171="Steak Set1",ROUNDDOWN(IFERROR(MIN(_xlfn._xlws.FILTER(O$3:O$650,ISNUMBER(MATCH(TRIM($B$3:$B$650),TRIM(_xlfn.TEXTSPLIT($N171,",")),0)))),0)/4,0)+P171,IF(IFERROR(MIN(_xlfn._xlws.FILTER(O$3:O$650,ISNUMBER(MATCH(TRIM($B$3:$B$650),TRIM(_xlfn.TEXTSPLIT($N171,",")),0)))),0)&gt;=$E$1,IFERROR(MIN(_xlfn._xlws.FILTER(O$3:O$650,ISNUMBER(MATCH(TRIM($B$3:$B$650),TRIM(_xlfn.TEXTSPLIT($N171,",")),0)))),0)+P171,P171)),IF(TRIM($D171)="EA",IF(TRIM($E171)="M",ROUNDUP(O171*0.85,0),IF(TRIM($E171)="P",O171,P171)),P171))</f>
        <v>656</v>
      </c>
      <c r="T171" t="str" cm="1">
        <f t="array" ref="T171">IFERROR(IF(D171="SET",_xlfn.TEXTJOIN(", ",TRUE,_xlfn._xlws.FILTER(TRANSPOSE(TRIM(_xlfn.TEXTSPLIT(N171,","))),COUNTIFS(B$3:B$650,TRANSPOSE(TRIM(_xlfn.TEXTSPLIT(N171,","))),O$3:O$650,"&lt;="&amp;$T$1))),""),"")</f>
        <v/>
      </c>
    </row>
    <row r="172" spans="1:20" ht="14.4" x14ac:dyDescent="0.3">
      <c r="A172" s="1">
        <v>7510</v>
      </c>
      <c r="B172" s="1" t="s">
        <v>650</v>
      </c>
      <c r="C172" s="1" t="s">
        <v>1259</v>
      </c>
      <c r="D172" s="1" t="s">
        <v>624</v>
      </c>
      <c r="E172" s="1" t="s">
        <v>623</v>
      </c>
      <c r="F172" s="9" t="s">
        <v>1688</v>
      </c>
      <c r="G172" s="9"/>
      <c r="H172" s="16" t="s">
        <v>211</v>
      </c>
      <c r="I172" s="9" t="b">
        <f t="shared" si="4"/>
        <v>0</v>
      </c>
      <c r="J172" s="1" t="s">
        <v>394</v>
      </c>
      <c r="K172" s="1" t="s">
        <v>294</v>
      </c>
      <c r="L172" s="1" t="s">
        <v>1726</v>
      </c>
      <c r="M172" s="9"/>
      <c r="N172" s="35"/>
      <c r="O172" s="2">
        <v>116</v>
      </c>
      <c r="P172" s="2" cm="1">
        <f t="array" ref="P172">_xlfn.XLOOKUP(TRIM(B172),TRIM('[1]wc-product-export-16-3-2026-177'!$A:$A),'[1]wc-product-export-16-3-2026-177'!$D:$D,0,0)</f>
        <v>0</v>
      </c>
      <c r="Q172" s="2" cm="1">
        <f t="array" ref="Q172">IF(TRIM($D172)="SET",IF($K172="Steak Set1",ROUNDDOWN(IFERROR(MIN(_xlfn._xlws.FILTER(O$3:O$650,ISNUMBER(MATCH(TRIM($B$3:$B$650),TRIM(_xlfn.TEXTSPLIT($N172,",")),0)))),0)/4,0)+P172,IF(IFERROR(MIN(_xlfn._xlws.FILTER(O$3:O$650,ISNUMBER(MATCH(TRIM($B$3:$B$650),TRIM(_xlfn.TEXTSPLIT($N172,",")),0)))),0)&gt;=$E$1,IFERROR(MIN(_xlfn._xlws.FILTER(O$3:O$650,ISNUMBER(MATCH(TRIM($B$3:$B$650),TRIM(_xlfn.TEXTSPLIT($N172,",")),0)))),0)+P172,P172)),IF(TRIM($D172)="EA",IF(TRIM($E172)="M",ROUNDUP(O172*0.85,0),IF(TRIM($E172)="P",O172,P172)),P172))</f>
        <v>116</v>
      </c>
      <c r="T172" t="str" cm="1">
        <f t="array" ref="T172">IFERROR(IF(D172="SET",_xlfn.TEXTJOIN(", ",TRUE,_xlfn._xlws.FILTER(TRANSPOSE(TRIM(_xlfn.TEXTSPLIT(N172,","))),COUNTIFS(B$3:B$650,TRANSPOSE(TRIM(_xlfn.TEXTSPLIT(N172,","))),O$3:O$650,"&lt;="&amp;$T$1))),""),"")</f>
        <v/>
      </c>
    </row>
    <row r="173" spans="1:20" ht="14.4" x14ac:dyDescent="0.3">
      <c r="A173" s="1">
        <v>7511</v>
      </c>
      <c r="B173" s="1" t="s">
        <v>651</v>
      </c>
      <c r="C173" s="1" t="s">
        <v>1259</v>
      </c>
      <c r="D173" s="1" t="s">
        <v>624</v>
      </c>
      <c r="E173" s="1" t="s">
        <v>623</v>
      </c>
      <c r="F173" s="9"/>
      <c r="G173" s="9"/>
      <c r="H173" s="16" t="s">
        <v>213</v>
      </c>
      <c r="I173" s="9" t="b">
        <f t="shared" si="4"/>
        <v>0</v>
      </c>
      <c r="J173" s="1" t="s">
        <v>394</v>
      </c>
      <c r="K173" s="1" t="s">
        <v>294</v>
      </c>
      <c r="L173" s="1" t="s">
        <v>1726</v>
      </c>
      <c r="M173" s="9"/>
      <c r="N173" s="35"/>
      <c r="O173" s="2">
        <v>126</v>
      </c>
      <c r="P173" s="2" cm="1">
        <f t="array" ref="P173">_xlfn.XLOOKUP(TRIM(B173),TRIM('[1]wc-product-export-16-3-2026-177'!$A:$A),'[1]wc-product-export-16-3-2026-177'!$D:$D,0,0)</f>
        <v>0</v>
      </c>
      <c r="Q173" s="2" cm="1">
        <f t="array" ref="Q173">IF(TRIM($D173)="SET",IF($K173="Steak Set1",ROUNDDOWN(IFERROR(MIN(_xlfn._xlws.FILTER(O$3:O$650,ISNUMBER(MATCH(TRIM($B$3:$B$650),TRIM(_xlfn.TEXTSPLIT($N173,",")),0)))),0)/4,0)+P173,IF(IFERROR(MIN(_xlfn._xlws.FILTER(O$3:O$650,ISNUMBER(MATCH(TRIM($B$3:$B$650),TRIM(_xlfn.TEXTSPLIT($N173,",")),0)))),0)&gt;=$E$1,IFERROR(MIN(_xlfn._xlws.FILTER(O$3:O$650,ISNUMBER(MATCH(TRIM($B$3:$B$650),TRIM(_xlfn.TEXTSPLIT($N173,",")),0)))),0)+P173,P173)),IF(TRIM($D173)="EA",IF(TRIM($E173)="M",ROUNDUP(O173*0.85,0),IF(TRIM($E173)="P",O173,P173)),P173))</f>
        <v>126</v>
      </c>
      <c r="T173" t="str" cm="1">
        <f t="array" ref="T173">IFERROR(IF(D173="SET",_xlfn.TEXTJOIN(", ",TRUE,_xlfn._xlws.FILTER(TRANSPOSE(TRIM(_xlfn.TEXTSPLIT(N173,","))),COUNTIFS(B$3:B$650,TRANSPOSE(TRIM(_xlfn.TEXTSPLIT(N173,","))),O$3:O$650,"&lt;="&amp;$T$1))),""),"")</f>
        <v/>
      </c>
    </row>
    <row r="174" spans="1:20" ht="14.4" x14ac:dyDescent="0.3">
      <c r="A174" s="1">
        <v>34271</v>
      </c>
      <c r="B174" s="56" t="s">
        <v>731</v>
      </c>
      <c r="C174" s="2" t="s">
        <v>1263</v>
      </c>
      <c r="D174" s="1" t="s">
        <v>624</v>
      </c>
      <c r="E174" s="1" t="s">
        <v>686</v>
      </c>
      <c r="F174" s="9" t="s">
        <v>1688</v>
      </c>
      <c r="G174" s="9"/>
      <c r="H174" s="16" t="s">
        <v>456</v>
      </c>
      <c r="I174" s="9" t="b">
        <f t="shared" si="4"/>
        <v>0</v>
      </c>
      <c r="J174" s="1" t="s">
        <v>408</v>
      </c>
      <c r="K174" s="1" t="s">
        <v>290</v>
      </c>
      <c r="L174" s="1" t="s">
        <v>290</v>
      </c>
      <c r="M174" s="9"/>
      <c r="N174" s="35"/>
      <c r="O174" s="24">
        <v>94</v>
      </c>
      <c r="P174" s="2" cm="1">
        <f t="array" ref="P174">_xlfn.XLOOKUP(TRIM(B174),TRIM('[1]wc-product-export-16-3-2026-177'!$A:$A),'[1]wc-product-export-16-3-2026-177'!$D:$D,0,0)</f>
        <v>0</v>
      </c>
      <c r="Q174" s="2" cm="1">
        <f t="array" ref="Q174">IF(TRIM($D174)="SET",IF($K174="Steak Set1",ROUNDDOWN(IFERROR(MIN(_xlfn._xlws.FILTER(O$3:O$650,ISNUMBER(MATCH(TRIM($B$3:$B$650),TRIM(_xlfn.TEXTSPLIT($N174,",")),0)))),0)/4,0)+P174,IF(IFERROR(MIN(_xlfn._xlws.FILTER(O$3:O$650,ISNUMBER(MATCH(TRIM($B$3:$B$650),TRIM(_xlfn.TEXTSPLIT($N174,",")),0)))),0)&gt;=$E$1,IFERROR(MIN(_xlfn._xlws.FILTER(O$3:O$650,ISNUMBER(MATCH(TRIM($B$3:$B$650),TRIM(_xlfn.TEXTSPLIT($N174,",")),0)))),0)+P174,P174)),IF(TRIM($D174)="EA",IF(TRIM($E174)="M",ROUNDUP(O174*0.85,0),IF(TRIM($E174)="P",O174,P174)),P174))</f>
        <v>80</v>
      </c>
      <c r="T174" t="str" cm="1">
        <f t="array" ref="T174">IFERROR(IF(D174="SET",_xlfn.TEXTJOIN(", ",TRUE,_xlfn._xlws.FILTER(TRANSPOSE(TRIM(_xlfn.TEXTSPLIT(N174,","))),COUNTIFS(B$3:B$650,TRANSPOSE(TRIM(_xlfn.TEXTSPLIT(N174,","))),O$3:O$650,"&lt;="&amp;$T$1))),""),"")</f>
        <v/>
      </c>
    </row>
    <row r="175" spans="1:20" ht="14.4" x14ac:dyDescent="0.3">
      <c r="A175" s="1">
        <v>7512</v>
      </c>
      <c r="B175" s="1" t="s">
        <v>652</v>
      </c>
      <c r="C175" s="1" t="s">
        <v>1259</v>
      </c>
      <c r="D175" s="1" t="s">
        <v>624</v>
      </c>
      <c r="E175" s="1" t="s">
        <v>623</v>
      </c>
      <c r="F175" s="9" t="s">
        <v>1688</v>
      </c>
      <c r="G175" s="9"/>
      <c r="H175" s="53" t="s">
        <v>212</v>
      </c>
      <c r="I175" s="9" t="b">
        <f t="shared" si="4"/>
        <v>0</v>
      </c>
      <c r="J175" s="1" t="s">
        <v>394</v>
      </c>
      <c r="K175" s="1" t="s">
        <v>294</v>
      </c>
      <c r="L175" s="1" t="s">
        <v>1726</v>
      </c>
      <c r="M175" s="9"/>
      <c r="N175" s="35"/>
      <c r="O175" s="2">
        <v>507</v>
      </c>
      <c r="P175" s="2" cm="1">
        <f t="array" ref="P175">_xlfn.XLOOKUP(TRIM(B175),TRIM('[1]wc-product-export-16-3-2026-177'!$A:$A),'[1]wc-product-export-16-3-2026-177'!$D:$D,0,0)</f>
        <v>0</v>
      </c>
      <c r="Q175" s="2" cm="1">
        <f t="array" ref="Q175">IF(TRIM($D175)="SET",IF($K175="Steak Set1",ROUNDDOWN(IFERROR(MIN(_xlfn._xlws.FILTER(O$3:O$650,ISNUMBER(MATCH(TRIM($B$3:$B$650),TRIM(_xlfn.TEXTSPLIT($N175,",")),0)))),0)/4,0)+P175,IF(IFERROR(MIN(_xlfn._xlws.FILTER(O$3:O$650,ISNUMBER(MATCH(TRIM($B$3:$B$650),TRIM(_xlfn.TEXTSPLIT($N175,",")),0)))),0)&gt;=$E$1,IFERROR(MIN(_xlfn._xlws.FILTER(O$3:O$650,ISNUMBER(MATCH(TRIM($B$3:$B$650),TRIM(_xlfn.TEXTSPLIT($N175,",")),0)))),0)+P175,P175)),IF(TRIM($D175)="EA",IF(TRIM($E175)="M",ROUNDUP(O175*0.85,0),IF(TRIM($E175)="P",O175,P175)),P175))</f>
        <v>507</v>
      </c>
      <c r="T175" t="str" cm="1">
        <f t="array" ref="T175">IFERROR(IF(D175="SET",_xlfn.TEXTJOIN(", ",TRUE,_xlfn._xlws.FILTER(TRANSPOSE(TRIM(_xlfn.TEXTSPLIT(N175,","))),COUNTIFS(B$3:B$650,TRANSPOSE(TRIM(_xlfn.TEXTSPLIT(N175,","))),O$3:O$650,"&lt;="&amp;$T$1))),""),"")</f>
        <v/>
      </c>
    </row>
    <row r="176" spans="1:20" ht="14.4" x14ac:dyDescent="0.3">
      <c r="A176" s="1">
        <v>34410</v>
      </c>
      <c r="B176" s="55" t="s">
        <v>732</v>
      </c>
      <c r="C176" s="2" t="s">
        <v>1263</v>
      </c>
      <c r="D176" s="1" t="s">
        <v>628</v>
      </c>
      <c r="E176" s="1" t="s">
        <v>686</v>
      </c>
      <c r="F176" s="9"/>
      <c r="G176" s="9"/>
      <c r="H176" s="16" t="s">
        <v>144</v>
      </c>
      <c r="I176" s="9" t="b">
        <f t="shared" si="4"/>
        <v>0</v>
      </c>
      <c r="J176" s="1" t="s">
        <v>409</v>
      </c>
      <c r="K176" s="1" t="s">
        <v>288</v>
      </c>
      <c r="L176" s="1" t="s">
        <v>288</v>
      </c>
      <c r="M176" s="9"/>
      <c r="N176" s="35" t="s">
        <v>1342</v>
      </c>
      <c r="O176" s="24">
        <v>3</v>
      </c>
      <c r="P176" s="2" cm="1">
        <f t="array" ref="P176">_xlfn.XLOOKUP(TRIM(B176),TRIM('[1]wc-product-export-16-3-2026-177'!$A:$A),'[1]wc-product-export-16-3-2026-177'!$D:$D,0,0)</f>
        <v>0</v>
      </c>
      <c r="Q176" s="2" cm="1">
        <f t="array" ref="Q176">IF(TRIM($D176)="SET",IF($K176="Steak Set1",ROUNDDOWN(IFERROR(MIN(_xlfn._xlws.FILTER(O$3:O$650,ISNUMBER(MATCH(TRIM($B$3:$B$650),TRIM(_xlfn.TEXTSPLIT($N176,",")),0)))),0)/4,0)+P176,IF(IFERROR(MIN(_xlfn._xlws.FILTER(O$3:O$650,ISNUMBER(MATCH(TRIM($B$3:$B$650),TRIM(_xlfn.TEXTSPLIT($N176,",")),0)))),0)&gt;=$E$1,IFERROR(MIN(_xlfn._xlws.FILTER(O$3:O$650,ISNUMBER(MATCH(TRIM($B$3:$B$650),TRIM(_xlfn.TEXTSPLIT($N176,",")),0)))),0)+P176,P176)),IF(TRIM($D176)="EA",IF(TRIM($E176)="M",ROUNDUP(O176*0.85,0),IF(TRIM($E176)="P",O176,P176)),P176))</f>
        <v>18</v>
      </c>
      <c r="T176" t="str" cm="1">
        <f t="array" ref="T176">IFERROR(IF(D176="SET",_xlfn.TEXTJOIN(", ",TRUE,_xlfn._xlws.FILTER(TRANSPOSE(TRIM(_xlfn.TEXTSPLIT(N176,","))),COUNTIFS(B$3:B$650,TRANSPOSE(TRIM(_xlfn.TEXTSPLIT(N176,","))),O$3:O$650,"&lt;="&amp;$T$1))),""),"")</f>
        <v/>
      </c>
    </row>
    <row r="177" spans="1:20" ht="14.4" x14ac:dyDescent="0.3">
      <c r="A177" s="1">
        <v>7513</v>
      </c>
      <c r="B177" s="1" t="s">
        <v>653</v>
      </c>
      <c r="C177" s="1" t="s">
        <v>1259</v>
      </c>
      <c r="D177" s="1" t="s">
        <v>624</v>
      </c>
      <c r="E177" s="1" t="s">
        <v>623</v>
      </c>
      <c r="F177" s="9" t="s">
        <v>1688</v>
      </c>
      <c r="G177" s="9"/>
      <c r="H177" s="53" t="s">
        <v>209</v>
      </c>
      <c r="I177" s="9" t="b">
        <f t="shared" si="4"/>
        <v>0</v>
      </c>
      <c r="J177" s="1" t="s">
        <v>394</v>
      </c>
      <c r="K177" s="1" t="s">
        <v>294</v>
      </c>
      <c r="L177" s="1" t="s">
        <v>1726</v>
      </c>
      <c r="M177" s="9"/>
      <c r="N177" s="35"/>
      <c r="O177" s="2">
        <v>578</v>
      </c>
      <c r="P177" s="2" cm="1">
        <f t="array" ref="P177">_xlfn.XLOOKUP(TRIM(B177),TRIM('[1]wc-product-export-16-3-2026-177'!$A:$A),'[1]wc-product-export-16-3-2026-177'!$D:$D,0,0)</f>
        <v>0</v>
      </c>
      <c r="Q177" s="2" cm="1">
        <f t="array" ref="Q177">IF(TRIM($D177)="SET",IF($K177="Steak Set1",ROUNDDOWN(IFERROR(MIN(_xlfn._xlws.FILTER(O$3:O$650,ISNUMBER(MATCH(TRIM($B$3:$B$650),TRIM(_xlfn.TEXTSPLIT($N177,",")),0)))),0)/4,0)+P177,IF(IFERROR(MIN(_xlfn._xlws.FILTER(O$3:O$650,ISNUMBER(MATCH(TRIM($B$3:$B$650),TRIM(_xlfn.TEXTSPLIT($N177,",")),0)))),0)&gt;=$E$1,IFERROR(MIN(_xlfn._xlws.FILTER(O$3:O$650,ISNUMBER(MATCH(TRIM($B$3:$B$650),TRIM(_xlfn.TEXTSPLIT($N177,",")),0)))),0)+P177,P177)),IF(TRIM($D177)="EA",IF(TRIM($E177)="M",ROUNDUP(O177*0.85,0),IF(TRIM($E177)="P",O177,P177)),P177))</f>
        <v>578</v>
      </c>
      <c r="T177" t="str" cm="1">
        <f t="array" ref="T177">IFERROR(IF(D177="SET",_xlfn.TEXTJOIN(", ",TRUE,_xlfn._xlws.FILTER(TRANSPOSE(TRIM(_xlfn.TEXTSPLIT(N177,","))),COUNTIFS(B$3:B$650,TRANSPOSE(TRIM(_xlfn.TEXTSPLIT(N177,","))),O$3:O$650,"&lt;="&amp;$T$1))),""),"")</f>
        <v/>
      </c>
    </row>
    <row r="178" spans="1:20" ht="14.4" x14ac:dyDescent="0.3">
      <c r="A178" s="1">
        <v>7514</v>
      </c>
      <c r="B178" s="1" t="s">
        <v>654</v>
      </c>
      <c r="C178" s="1" t="s">
        <v>1259</v>
      </c>
      <c r="D178" s="1" t="s">
        <v>624</v>
      </c>
      <c r="E178" s="1" t="s">
        <v>623</v>
      </c>
      <c r="F178" s="9" t="s">
        <v>1688</v>
      </c>
      <c r="G178" s="9"/>
      <c r="H178" s="16" t="s">
        <v>210</v>
      </c>
      <c r="I178" s="9" t="b">
        <f t="shared" si="4"/>
        <v>0</v>
      </c>
      <c r="J178" s="1" t="s">
        <v>394</v>
      </c>
      <c r="K178" s="1" t="s">
        <v>294</v>
      </c>
      <c r="L178" s="1" t="s">
        <v>1726</v>
      </c>
      <c r="M178" s="9"/>
      <c r="N178" s="35"/>
      <c r="O178" s="2">
        <v>62</v>
      </c>
      <c r="P178" s="2" cm="1">
        <f t="array" ref="P178">_xlfn.XLOOKUP(TRIM(B178),TRIM('[1]wc-product-export-16-3-2026-177'!$A:$A),'[1]wc-product-export-16-3-2026-177'!$D:$D,0,0)</f>
        <v>0</v>
      </c>
      <c r="Q178" s="2" cm="1">
        <f t="array" ref="Q178">IF(TRIM($D178)="SET",IF($K178="Steak Set1",ROUNDDOWN(IFERROR(MIN(_xlfn._xlws.FILTER(O$3:O$650,ISNUMBER(MATCH(TRIM($B$3:$B$650),TRIM(_xlfn.TEXTSPLIT($N178,",")),0)))),0)/4,0)+P178,IF(IFERROR(MIN(_xlfn._xlws.FILTER(O$3:O$650,ISNUMBER(MATCH(TRIM($B$3:$B$650),TRIM(_xlfn.TEXTSPLIT($N178,",")),0)))),0)&gt;=$E$1,IFERROR(MIN(_xlfn._xlws.FILTER(O$3:O$650,ISNUMBER(MATCH(TRIM($B$3:$B$650),TRIM(_xlfn.TEXTSPLIT($N178,",")),0)))),0)+P178,P178)),IF(TRIM($D178)="EA",IF(TRIM($E178)="M",ROUNDUP(O178*0.85,0),IF(TRIM($E178)="P",O178,P178)),P178))</f>
        <v>62</v>
      </c>
      <c r="T178" t="str" cm="1">
        <f t="array" ref="T178">IFERROR(IF(D178="SET",_xlfn.TEXTJOIN(", ",TRUE,_xlfn._xlws.FILTER(TRANSPOSE(TRIM(_xlfn.TEXTSPLIT(N178,","))),COUNTIFS(B$3:B$650,TRANSPOSE(TRIM(_xlfn.TEXTSPLIT(N178,","))),O$3:O$650,"&lt;="&amp;$T$1))),""),"")</f>
        <v/>
      </c>
    </row>
    <row r="179" spans="1:20" ht="14.4" x14ac:dyDescent="0.3">
      <c r="A179" s="1">
        <v>10110</v>
      </c>
      <c r="B179" s="1" t="s">
        <v>680</v>
      </c>
      <c r="C179" s="1" t="s">
        <v>1259</v>
      </c>
      <c r="D179" s="1" t="s">
        <v>624</v>
      </c>
      <c r="E179" s="1" t="s">
        <v>623</v>
      </c>
      <c r="F179" s="9" t="s">
        <v>1688</v>
      </c>
      <c r="G179" s="9"/>
      <c r="H179" s="16" t="s">
        <v>108</v>
      </c>
      <c r="I179" s="9" t="b">
        <f t="shared" si="4"/>
        <v>0</v>
      </c>
      <c r="J179" s="1" t="s">
        <v>395</v>
      </c>
      <c r="K179" s="1" t="s">
        <v>353</v>
      </c>
      <c r="L179" s="1" t="s">
        <v>353</v>
      </c>
      <c r="M179" s="9"/>
      <c r="N179" s="35"/>
      <c r="O179" s="2">
        <v>465</v>
      </c>
      <c r="P179" s="2" cm="1">
        <f t="array" ref="P179">_xlfn.XLOOKUP(TRIM(B179),TRIM('[1]wc-product-export-16-3-2026-177'!$A:$A),'[1]wc-product-export-16-3-2026-177'!$D:$D,0,0)</f>
        <v>0</v>
      </c>
      <c r="Q179" s="2" cm="1">
        <f t="array" ref="Q179">IF(TRIM($D179)="SET",IF($K179="Steak Set1",ROUNDDOWN(IFERROR(MIN(_xlfn._xlws.FILTER(O$3:O$650,ISNUMBER(MATCH(TRIM($B$3:$B$650),TRIM(_xlfn.TEXTSPLIT($N179,",")),0)))),0)/4,0)+P179,IF(IFERROR(MIN(_xlfn._xlws.FILTER(O$3:O$650,ISNUMBER(MATCH(TRIM($B$3:$B$650),TRIM(_xlfn.TEXTSPLIT($N179,",")),0)))),0)&gt;=$E$1,IFERROR(MIN(_xlfn._xlws.FILTER(O$3:O$650,ISNUMBER(MATCH(TRIM($B$3:$B$650),TRIM(_xlfn.TEXTSPLIT($N179,",")),0)))),0)+P179,P179)),IF(TRIM($D179)="EA",IF(TRIM($E179)="M",ROUNDUP(O179*0.85,0),IF(TRIM($E179)="P",O179,P179)),P179))</f>
        <v>465</v>
      </c>
      <c r="T179" t="str" cm="1">
        <f t="array" ref="T179">IFERROR(IF(D179="SET",_xlfn.TEXTJOIN(", ",TRUE,_xlfn._xlws.FILTER(TRANSPOSE(TRIM(_xlfn.TEXTSPLIT(N179,","))),COUNTIFS(B$3:B$650,TRANSPOSE(TRIM(_xlfn.TEXTSPLIT(N179,","))),O$3:O$650,"&lt;="&amp;$T$1))),""),"")</f>
        <v/>
      </c>
    </row>
    <row r="180" spans="1:20" ht="14.4" x14ac:dyDescent="0.3">
      <c r="A180" s="1">
        <v>34412</v>
      </c>
      <c r="B180" s="1" t="s">
        <v>733</v>
      </c>
      <c r="C180" s="2" t="s">
        <v>1263</v>
      </c>
      <c r="D180" s="1" t="s">
        <v>628</v>
      </c>
      <c r="E180" s="1" t="s">
        <v>686</v>
      </c>
      <c r="F180" s="9" t="s">
        <v>1689</v>
      </c>
      <c r="G180" s="9"/>
      <c r="H180" s="16" t="s">
        <v>229</v>
      </c>
      <c r="I180" s="9" t="b">
        <f t="shared" si="4"/>
        <v>0</v>
      </c>
      <c r="J180" s="1" t="s">
        <v>408</v>
      </c>
      <c r="K180" s="1" t="s">
        <v>118</v>
      </c>
      <c r="L180" s="1" t="s">
        <v>118</v>
      </c>
      <c r="M180" s="9"/>
      <c r="N180" s="35" t="s">
        <v>1353</v>
      </c>
      <c r="O180" s="2" t="s">
        <v>458</v>
      </c>
      <c r="P180" s="2" cm="1">
        <f t="array" ref="P180">_xlfn.XLOOKUP(TRIM(B180),TRIM('[1]wc-product-export-16-3-2026-177'!$A:$A),'[1]wc-product-export-16-3-2026-177'!$D:$D,0,0)</f>
        <v>0</v>
      </c>
      <c r="Q180" s="2" cm="1">
        <f t="array" ref="Q180">IF(TRIM($D180)="SET",IF($K180="Steak Set1",ROUNDDOWN(IFERROR(MIN(_xlfn._xlws.FILTER(O$3:O$650,ISNUMBER(MATCH(TRIM($B$3:$B$650),TRIM(_xlfn.TEXTSPLIT($N180,",")),0)))),0)/4,0)+P180,IF(IFERROR(MIN(_xlfn._xlws.FILTER(O$3:O$650,ISNUMBER(MATCH(TRIM($B$3:$B$650),TRIM(_xlfn.TEXTSPLIT($N180,",")),0)))),0)&gt;=$E$1,IFERROR(MIN(_xlfn._xlws.FILTER(O$3:O$650,ISNUMBER(MATCH(TRIM($B$3:$B$650),TRIM(_xlfn.TEXTSPLIT($N180,",")),0)))),0)+P180,P180)),IF(TRIM($D180)="EA",IF(TRIM($E180)="M",ROUNDUP(O180*0.85,0),IF(TRIM($E180)="P",O180,P180)),P180))</f>
        <v>72</v>
      </c>
      <c r="T180" t="str" cm="1">
        <f t="array" ref="T180">IFERROR(IF(D180="SET",_xlfn.TEXTJOIN(", ",TRUE,_xlfn._xlws.FILTER(TRANSPOSE(TRIM(_xlfn.TEXTSPLIT(N180,","))),COUNTIFS(B$3:B$650,TRANSPOSE(TRIM(_xlfn.TEXTSPLIT(N180,","))),O$3:O$650,"&lt;="&amp;$T$1))),""),"")</f>
        <v/>
      </c>
    </row>
    <row r="181" spans="1:20" ht="14.4" x14ac:dyDescent="0.3">
      <c r="A181" s="1">
        <v>10112</v>
      </c>
      <c r="B181" s="1" t="s">
        <v>682</v>
      </c>
      <c r="C181" s="1" t="s">
        <v>1259</v>
      </c>
      <c r="D181" s="1" t="s">
        <v>624</v>
      </c>
      <c r="E181" s="1" t="s">
        <v>623</v>
      </c>
      <c r="F181" s="9" t="s">
        <v>1688</v>
      </c>
      <c r="G181" s="9"/>
      <c r="H181" s="16" t="s">
        <v>105</v>
      </c>
      <c r="I181" s="9" t="b">
        <f t="shared" si="4"/>
        <v>0</v>
      </c>
      <c r="J181" s="1" t="s">
        <v>395</v>
      </c>
      <c r="K181" s="1" t="s">
        <v>353</v>
      </c>
      <c r="L181" s="1" t="s">
        <v>353</v>
      </c>
      <c r="M181" s="9"/>
      <c r="N181" s="35"/>
      <c r="O181" s="2">
        <v>678</v>
      </c>
      <c r="P181" s="2" cm="1">
        <f t="array" ref="P181">_xlfn.XLOOKUP(TRIM(B181),TRIM('[1]wc-product-export-16-3-2026-177'!$A:$A),'[1]wc-product-export-16-3-2026-177'!$D:$D,0,0)</f>
        <v>0</v>
      </c>
      <c r="Q181" s="2" cm="1">
        <f t="array" ref="Q181">IF(TRIM($D181)="SET",IF($K181="Steak Set1",ROUNDDOWN(IFERROR(MIN(_xlfn._xlws.FILTER(O$3:O$650,ISNUMBER(MATCH(TRIM($B$3:$B$650),TRIM(_xlfn.TEXTSPLIT($N181,",")),0)))),0)/4,0)+P181,IF(IFERROR(MIN(_xlfn._xlws.FILTER(O$3:O$650,ISNUMBER(MATCH(TRIM($B$3:$B$650),TRIM(_xlfn.TEXTSPLIT($N181,",")),0)))),0)&gt;=$E$1,IFERROR(MIN(_xlfn._xlws.FILTER(O$3:O$650,ISNUMBER(MATCH(TRIM($B$3:$B$650),TRIM(_xlfn.TEXTSPLIT($N181,",")),0)))),0)+P181,P181)),IF(TRIM($D181)="EA",IF(TRIM($E181)="M",ROUNDUP(O181*0.85,0),IF(TRIM($E181)="P",O181,P181)),P181))</f>
        <v>678</v>
      </c>
      <c r="T181" t="str" cm="1">
        <f t="array" ref="T181">IFERROR(IF(D181="SET",_xlfn.TEXTJOIN(", ",TRUE,_xlfn._xlws.FILTER(TRANSPOSE(TRIM(_xlfn.TEXTSPLIT(N181,","))),COUNTIFS(B$3:B$650,TRANSPOSE(TRIM(_xlfn.TEXTSPLIT(N181,","))),O$3:O$650,"&lt;="&amp;$T$1))),""),"")</f>
        <v/>
      </c>
    </row>
    <row r="182" spans="1:20" ht="14.4" x14ac:dyDescent="0.3">
      <c r="A182" s="1">
        <v>34414</v>
      </c>
      <c r="B182" s="55" t="s">
        <v>734</v>
      </c>
      <c r="C182" s="2" t="s">
        <v>1263</v>
      </c>
      <c r="D182" s="1" t="s">
        <v>628</v>
      </c>
      <c r="E182" s="1" t="s">
        <v>686</v>
      </c>
      <c r="F182" s="9" t="s">
        <v>1688</v>
      </c>
      <c r="G182" s="9"/>
      <c r="H182" s="16" t="s">
        <v>1677</v>
      </c>
      <c r="I182" s="9" t="b">
        <f t="shared" si="4"/>
        <v>1</v>
      </c>
      <c r="J182" s="1" t="s">
        <v>409</v>
      </c>
      <c r="K182" s="1" t="s">
        <v>288</v>
      </c>
      <c r="L182" s="1" t="s">
        <v>288</v>
      </c>
      <c r="M182" s="9"/>
      <c r="N182" s="35" t="s">
        <v>1678</v>
      </c>
      <c r="O182" s="24">
        <v>9</v>
      </c>
      <c r="P182" s="2" cm="1">
        <f t="array" ref="P182">_xlfn.XLOOKUP(TRIM(B182),TRIM('[1]wc-product-export-16-3-2026-177'!$A:$A),'[1]wc-product-export-16-3-2026-177'!$D:$D,0,0)</f>
        <v>2</v>
      </c>
      <c r="Q182" s="2" cm="1">
        <f t="array" ref="Q182">IF(TRIM($D182)="SET",IF($K182="Steak Set1",ROUNDDOWN(IFERROR(MIN(_xlfn._xlws.FILTER(O$3:O$650,ISNUMBER(MATCH(TRIM($B$3:$B$650),TRIM(_xlfn.TEXTSPLIT($N182,",")),0)))),0)/4,0)+P182,IF(IFERROR(MIN(_xlfn._xlws.FILTER(O$3:O$650,ISNUMBER(MATCH(TRIM($B$3:$B$650),TRIM(_xlfn.TEXTSPLIT($N182,",")),0)))),0)&gt;=$E$1,IFERROR(MIN(_xlfn._xlws.FILTER(O$3:O$650,ISNUMBER(MATCH(TRIM($B$3:$B$650),TRIM(_xlfn.TEXTSPLIT($N182,",")),0)))),0)+P182,P182)),IF(TRIM($D182)="EA",IF(TRIM($E182)="M",ROUNDUP(O182*0.85,0),IF(TRIM($E182)="P",O182,P182)),P182))</f>
        <v>20</v>
      </c>
      <c r="T182" t="str" cm="1">
        <f t="array" ref="T182">IFERROR(IF(D182="SET",_xlfn.TEXTJOIN(", ",TRUE,_xlfn._xlws.FILTER(TRANSPOSE(TRIM(_xlfn.TEXTSPLIT(N182,","))),COUNTIFS(B$3:B$650,TRANSPOSE(TRIM(_xlfn.TEXTSPLIT(N182,","))),O$3:O$650,"&lt;="&amp;$T$1))),""),"")</f>
        <v/>
      </c>
    </row>
    <row r="183" spans="1:20" ht="14.4" x14ac:dyDescent="0.3">
      <c r="A183" s="1">
        <v>10113</v>
      </c>
      <c r="B183" s="1" t="s">
        <v>683</v>
      </c>
      <c r="C183" s="1" t="s">
        <v>1259</v>
      </c>
      <c r="D183" s="1" t="s">
        <v>624</v>
      </c>
      <c r="E183" s="1" t="s">
        <v>623</v>
      </c>
      <c r="F183" s="9" t="s">
        <v>1688</v>
      </c>
      <c r="G183" s="9"/>
      <c r="H183" s="53" t="s">
        <v>107</v>
      </c>
      <c r="I183" s="9" t="b">
        <f t="shared" si="4"/>
        <v>0</v>
      </c>
      <c r="J183" s="1" t="s">
        <v>395</v>
      </c>
      <c r="K183" s="1" t="s">
        <v>353</v>
      </c>
      <c r="L183" s="1" t="s">
        <v>353</v>
      </c>
      <c r="M183" s="9"/>
      <c r="N183" s="35"/>
      <c r="O183" s="2">
        <v>856</v>
      </c>
      <c r="P183" s="2" cm="1">
        <f t="array" ref="P183">_xlfn.XLOOKUP(TRIM(B183),TRIM('[1]wc-product-export-16-3-2026-177'!$A:$A),'[1]wc-product-export-16-3-2026-177'!$D:$D,0,0)</f>
        <v>0</v>
      </c>
      <c r="Q183" s="2" cm="1">
        <f t="array" ref="Q183">IF(TRIM($D183)="SET",IF($K183="Steak Set1",ROUNDDOWN(IFERROR(MIN(_xlfn._xlws.FILTER(O$3:O$650,ISNUMBER(MATCH(TRIM($B$3:$B$650),TRIM(_xlfn.TEXTSPLIT($N183,",")),0)))),0)/4,0)+P183,IF(IFERROR(MIN(_xlfn._xlws.FILTER(O$3:O$650,ISNUMBER(MATCH(TRIM($B$3:$B$650),TRIM(_xlfn.TEXTSPLIT($N183,",")),0)))),0)&gt;=$E$1,IFERROR(MIN(_xlfn._xlws.FILTER(O$3:O$650,ISNUMBER(MATCH(TRIM($B$3:$B$650),TRIM(_xlfn.TEXTSPLIT($N183,",")),0)))),0)+P183,P183)),IF(TRIM($D183)="EA",IF(TRIM($E183)="M",ROUNDUP(O183*0.85,0),IF(TRIM($E183)="P",O183,P183)),P183))</f>
        <v>856</v>
      </c>
      <c r="T183" t="str" cm="1">
        <f t="array" ref="T183">IFERROR(IF(D183="SET",_xlfn.TEXTJOIN(", ",TRUE,_xlfn._xlws.FILTER(TRANSPOSE(TRIM(_xlfn.TEXTSPLIT(N183,","))),COUNTIFS(B$3:B$650,TRANSPOSE(TRIM(_xlfn.TEXTSPLIT(N183,","))),O$3:O$650,"&lt;="&amp;$T$1))),""),"")</f>
        <v/>
      </c>
    </row>
    <row r="184" spans="1:20" ht="14.4" x14ac:dyDescent="0.3">
      <c r="A184" s="1">
        <v>20204</v>
      </c>
      <c r="B184" s="1" t="s">
        <v>684</v>
      </c>
      <c r="C184" s="1" t="s">
        <v>1259</v>
      </c>
      <c r="D184" s="1" t="s">
        <v>624</v>
      </c>
      <c r="E184" s="1" t="s">
        <v>623</v>
      </c>
      <c r="F184" s="9"/>
      <c r="G184" s="9"/>
      <c r="H184" s="16" t="s">
        <v>202</v>
      </c>
      <c r="I184" s="9" t="b">
        <f t="shared" si="4"/>
        <v>0</v>
      </c>
      <c r="J184" s="1" t="s">
        <v>119</v>
      </c>
      <c r="K184" s="1" t="s">
        <v>434</v>
      </c>
      <c r="L184" s="1" t="s">
        <v>434</v>
      </c>
      <c r="M184" s="9"/>
      <c r="N184" s="35"/>
      <c r="O184" s="2">
        <v>32</v>
      </c>
      <c r="P184" s="2" cm="1">
        <f t="array" ref="P184">_xlfn.XLOOKUP(TRIM(B184),TRIM('[1]wc-product-export-16-3-2026-177'!$A:$A),'[1]wc-product-export-16-3-2026-177'!$D:$D,0,0)</f>
        <v>0</v>
      </c>
      <c r="Q184" s="2" cm="1">
        <f t="array" ref="Q184">IF(TRIM($D184)="SET",IF($K184="Steak Set1",ROUNDDOWN(IFERROR(MIN(_xlfn._xlws.FILTER(O$3:O$650,ISNUMBER(MATCH(TRIM($B$3:$B$650),TRIM(_xlfn.TEXTSPLIT($N184,",")),0)))),0)/4,0)+P184,IF(IFERROR(MIN(_xlfn._xlws.FILTER(O$3:O$650,ISNUMBER(MATCH(TRIM($B$3:$B$650),TRIM(_xlfn.TEXTSPLIT($N184,",")),0)))),0)&gt;=$E$1,IFERROR(MIN(_xlfn._xlws.FILTER(O$3:O$650,ISNUMBER(MATCH(TRIM($B$3:$B$650),TRIM(_xlfn.TEXTSPLIT($N184,",")),0)))),0)+P184,P184)),IF(TRIM($D184)="EA",IF(TRIM($E184)="M",ROUNDUP(O184*0.85,0),IF(TRIM($E184)="P",O184,P184)),P184))</f>
        <v>32</v>
      </c>
      <c r="T184" t="str" cm="1">
        <f t="array" ref="T184">IFERROR(IF(D184="SET",_xlfn.TEXTJOIN(", ",TRUE,_xlfn._xlws.FILTER(TRANSPOSE(TRIM(_xlfn.TEXTSPLIT(N184,","))),COUNTIFS(B$3:B$650,TRANSPOSE(TRIM(_xlfn.TEXTSPLIT(N184,","))),O$3:O$650,"&lt;="&amp;$T$1))),""),"")</f>
        <v/>
      </c>
    </row>
    <row r="185" spans="1:20" ht="14.4" x14ac:dyDescent="0.3">
      <c r="A185" s="1">
        <v>39200</v>
      </c>
      <c r="B185" s="56" t="s">
        <v>735</v>
      </c>
      <c r="C185" s="1" t="s">
        <v>1262</v>
      </c>
      <c r="D185" s="1" t="s">
        <v>624</v>
      </c>
      <c r="E185" s="1" t="s">
        <v>623</v>
      </c>
      <c r="F185" s="9"/>
      <c r="G185" s="9"/>
      <c r="H185" s="16" t="s">
        <v>81</v>
      </c>
      <c r="I185" s="9" t="b">
        <f t="shared" si="4"/>
        <v>0</v>
      </c>
      <c r="J185" s="1" t="s">
        <v>398</v>
      </c>
      <c r="K185" s="1" t="s">
        <v>265</v>
      </c>
      <c r="L185" s="1" t="s">
        <v>265</v>
      </c>
      <c r="M185" s="9"/>
      <c r="N185" s="35"/>
      <c r="O185" s="24">
        <v>600</v>
      </c>
      <c r="P185" s="2" cm="1">
        <f t="array" ref="P185">_xlfn.XLOOKUP(TRIM(B185),TRIM('[1]wc-product-export-16-3-2026-177'!$A:$A),'[1]wc-product-export-16-3-2026-177'!$D:$D,0,0)</f>
        <v>0</v>
      </c>
      <c r="Q185" s="2" cm="1">
        <f t="array" ref="Q185">IF(TRIM($D185)="SET",IF($K185="Steak Set1",ROUNDDOWN(IFERROR(MIN(_xlfn._xlws.FILTER(O$3:O$650,ISNUMBER(MATCH(TRIM($B$3:$B$650),TRIM(_xlfn.TEXTSPLIT($N185,",")),0)))),0)/4,0)+P185,IF(IFERROR(MIN(_xlfn._xlws.FILTER(O$3:O$650,ISNUMBER(MATCH(TRIM($B$3:$B$650),TRIM(_xlfn.TEXTSPLIT($N185,",")),0)))),0)&gt;=$E$1,IFERROR(MIN(_xlfn._xlws.FILTER(O$3:O$650,ISNUMBER(MATCH(TRIM($B$3:$B$650),TRIM(_xlfn.TEXTSPLIT($N185,",")),0)))),0)+P185,P185)),IF(TRIM($D185)="EA",IF(TRIM($E185)="M",ROUNDUP(O185*0.85,0),IF(TRIM($E185)="P",O185,P185)),P185))</f>
        <v>600</v>
      </c>
      <c r="T185" t="str" cm="1">
        <f t="array" ref="T185">IFERROR(IF(D185="SET",_xlfn.TEXTJOIN(", ",TRUE,_xlfn._xlws.FILTER(TRANSPOSE(TRIM(_xlfn.TEXTSPLIT(N185,","))),COUNTIFS(B$3:B$650,TRANSPOSE(TRIM(_xlfn.TEXTSPLIT(N185,","))),O$3:O$650,"&lt;="&amp;$T$1))),""),"")</f>
        <v/>
      </c>
    </row>
    <row r="186" spans="1:20" ht="14.4" x14ac:dyDescent="0.3">
      <c r="A186" s="1">
        <v>39201</v>
      </c>
      <c r="B186" s="55" t="s">
        <v>736</v>
      </c>
      <c r="C186" s="1" t="s">
        <v>1262</v>
      </c>
      <c r="D186" s="1" t="s">
        <v>628</v>
      </c>
      <c r="E186" s="1" t="s">
        <v>686</v>
      </c>
      <c r="F186" s="9"/>
      <c r="G186" s="9"/>
      <c r="H186" s="16" t="s">
        <v>525</v>
      </c>
      <c r="I186" s="9" t="b">
        <f t="shared" si="4"/>
        <v>0</v>
      </c>
      <c r="J186" s="1" t="s">
        <v>398</v>
      </c>
      <c r="K186" s="1" t="s">
        <v>280</v>
      </c>
      <c r="L186" s="1" t="s">
        <v>1715</v>
      </c>
      <c r="M186" s="9"/>
      <c r="N186" s="35" t="s">
        <v>1583</v>
      </c>
      <c r="O186" s="24">
        <v>7</v>
      </c>
      <c r="P186" s="2" cm="1">
        <f t="array" ref="P186">_xlfn.XLOOKUP(TRIM(B186),TRIM('[1]wc-product-export-16-3-2026-177'!$A:$A),'[1]wc-product-export-16-3-2026-177'!$D:$D,0,0)</f>
        <v>0</v>
      </c>
      <c r="Q186" s="2" cm="1">
        <f t="array" ref="Q186">IF(TRIM($D186)="SET",IF($K186="Steak Set1",ROUNDDOWN(IFERROR(MIN(_xlfn._xlws.FILTER(O$3:O$650,ISNUMBER(MATCH(TRIM($B$3:$B$650),TRIM(_xlfn.TEXTSPLIT($N186,",")),0)))),0)/4,0)+P186,IF(IFERROR(MIN(_xlfn._xlws.FILTER(O$3:O$650,ISNUMBER(MATCH(TRIM($B$3:$B$650),TRIM(_xlfn.TEXTSPLIT($N186,",")),0)))),0)&gt;=$E$1,IFERROR(MIN(_xlfn._xlws.FILTER(O$3:O$650,ISNUMBER(MATCH(TRIM($B$3:$B$650),TRIM(_xlfn.TEXTSPLIT($N186,",")),0)))),0)+P186,P186)),IF(TRIM($D186)="EA",IF(TRIM($E186)="M",ROUNDUP(O186*0.85,0),IF(TRIM($E186)="P",O186,P186)),P186))</f>
        <v>7</v>
      </c>
      <c r="T186" t="str" cm="1">
        <f t="array" ref="T186">IFERROR(IF(D186="SET",_xlfn.TEXTJOIN(", ",TRUE,_xlfn._xlws.FILTER(TRANSPOSE(TRIM(_xlfn.TEXTSPLIT(N186,","))),COUNTIFS(B$3:B$650,TRANSPOSE(TRIM(_xlfn.TEXTSPLIT(N186,","))),O$3:O$650,"&lt;="&amp;$T$1))),""),"")</f>
        <v/>
      </c>
    </row>
    <row r="187" spans="1:20" ht="14.4" x14ac:dyDescent="0.3">
      <c r="A187" s="1">
        <v>39202</v>
      </c>
      <c r="B187" s="55" t="s">
        <v>737</v>
      </c>
      <c r="C187" s="1" t="s">
        <v>1262</v>
      </c>
      <c r="D187" s="1" t="s">
        <v>628</v>
      </c>
      <c r="E187" s="1" t="s">
        <v>686</v>
      </c>
      <c r="F187" s="9"/>
      <c r="G187" s="9"/>
      <c r="H187" s="16" t="s">
        <v>526</v>
      </c>
      <c r="I187" s="9" t="b">
        <f t="shared" si="4"/>
        <v>0</v>
      </c>
      <c r="J187" s="1" t="s">
        <v>398</v>
      </c>
      <c r="K187" s="1" t="s">
        <v>280</v>
      </c>
      <c r="L187" s="1" t="s">
        <v>1716</v>
      </c>
      <c r="M187" s="9"/>
      <c r="N187" s="35" t="s">
        <v>1573</v>
      </c>
      <c r="O187" s="24">
        <v>7</v>
      </c>
      <c r="P187" s="2" cm="1">
        <f t="array" ref="P187">_xlfn.XLOOKUP(TRIM(B187),TRIM('[1]wc-product-export-16-3-2026-177'!$A:$A),'[1]wc-product-export-16-3-2026-177'!$D:$D,0,0)</f>
        <v>0</v>
      </c>
      <c r="Q187" s="2" cm="1">
        <f t="array" ref="Q187">IF(TRIM($D187)="SET",IF($K187="Steak Set1",ROUNDDOWN(IFERROR(MIN(_xlfn._xlws.FILTER(O$3:O$650,ISNUMBER(MATCH(TRIM($B$3:$B$650),TRIM(_xlfn.TEXTSPLIT($N187,",")),0)))),0)/4,0)+P187,IF(IFERROR(MIN(_xlfn._xlws.FILTER(O$3:O$650,ISNUMBER(MATCH(TRIM($B$3:$B$650),TRIM(_xlfn.TEXTSPLIT($N187,",")),0)))),0)&gt;=$E$1,IFERROR(MIN(_xlfn._xlws.FILTER(O$3:O$650,ISNUMBER(MATCH(TRIM($B$3:$B$650),TRIM(_xlfn.TEXTSPLIT($N187,",")),0)))),0)+P187,P187)),IF(TRIM($D187)="EA",IF(TRIM($E187)="M",ROUNDUP(O187*0.85,0),IF(TRIM($E187)="P",O187,P187)),P187))</f>
        <v>7</v>
      </c>
      <c r="T187" t="str" cm="1">
        <f t="array" ref="T187">IFERROR(IF(D187="SET",_xlfn.TEXTJOIN(", ",TRUE,_xlfn._xlws.FILTER(TRANSPOSE(TRIM(_xlfn.TEXTSPLIT(N187,","))),COUNTIFS(B$3:B$650,TRANSPOSE(TRIM(_xlfn.TEXTSPLIT(N187,","))),O$3:O$650,"&lt;="&amp;$T$1))),""),"")</f>
        <v/>
      </c>
    </row>
    <row r="188" spans="1:20" ht="24" x14ac:dyDescent="0.3">
      <c r="A188" s="1">
        <v>39203</v>
      </c>
      <c r="B188" s="1" t="s">
        <v>738</v>
      </c>
      <c r="C188" s="1" t="s">
        <v>1262</v>
      </c>
      <c r="D188" s="1" t="s">
        <v>628</v>
      </c>
      <c r="E188" s="1" t="s">
        <v>686</v>
      </c>
      <c r="F188" s="9" t="s">
        <v>1608</v>
      </c>
      <c r="G188" s="9" t="s">
        <v>1534</v>
      </c>
      <c r="H188" s="53" t="s">
        <v>527</v>
      </c>
      <c r="I188" s="9" t="b">
        <f t="shared" si="4"/>
        <v>0</v>
      </c>
      <c r="J188" s="1" t="s">
        <v>398</v>
      </c>
      <c r="K188" s="1" t="s">
        <v>1714</v>
      </c>
      <c r="L188" s="1" t="s">
        <v>1720</v>
      </c>
      <c r="M188" s="9">
        <v>2</v>
      </c>
      <c r="N188" s="35" t="s">
        <v>1574</v>
      </c>
      <c r="O188" s="2" t="s">
        <v>458</v>
      </c>
      <c r="P188" s="2" cm="1">
        <f t="array" ref="P188">_xlfn.XLOOKUP(TRIM(B188),TRIM('[1]wc-product-export-16-3-2026-177'!$A:$A),'[1]wc-product-export-16-3-2026-177'!$D:$D,0,0)</f>
        <v>0</v>
      </c>
      <c r="Q188" s="66" cm="1">
        <f t="array" ref="Q188">_xlfn.LET(_xlpm.items,TRIM(_xlfn.TEXTSPLIT($N188,",")),_xlpm.codes,TRIM($B$3:$B$650),_xlpm.qty,O$3:O$650,_xlpm.setMask,ISNUMBER(MATCH(_xlpm.codes,_xlpm.items,0)),_xlpm.knifeType,IF(ISNUMBER(SEARCH("fine",$H188)),"15",IF(ISNUMBER(SEARCH("serr",$H188)),"20","")),_xlpm.knifeStock,IFERROR(MIN(IF(_xlpm.setMask*(RIGHT(_xlpm.codes,2)=_xlpm.knifeType),_xlpm.qty)),0),_xlpm.otherStock,IFERROR(MIN(IF(_xlpm.setMask*(RIGHT(_xlpm.codes,2)&lt;&gt;_xlpm.knifeType),_xlpm.qty)),0),IF(_xlpm.knifeStock&gt;=8,MIN(ROUNDDOWN(_xlpm.knifeStock/8,0),_xlpm.otherStock),0)+P188)</f>
        <v>0</v>
      </c>
      <c r="T188" t="str" cm="1">
        <f t="array" ref="T188">IFERROR(IF(D188="SET",_xlfn.TEXTJOIN(", ",TRUE,_xlfn._xlws.FILTER(TRANSPOSE(TRIM(_xlfn.TEXTSPLIT(N188,","))),COUNTIFS(B$3:B$650,TRANSPOSE(TRIM(_xlfn.TEXTSPLIT(N188,","))),O$3:O$650,"&lt;="&amp;$T$1))),""),"")</f>
        <v>39220</v>
      </c>
    </row>
    <row r="189" spans="1:20" ht="24" x14ac:dyDescent="0.3">
      <c r="A189" s="1">
        <v>39204</v>
      </c>
      <c r="B189" s="1" t="s">
        <v>739</v>
      </c>
      <c r="C189" s="1" t="s">
        <v>1262</v>
      </c>
      <c r="D189" s="1" t="s">
        <v>628</v>
      </c>
      <c r="E189" s="1" t="s">
        <v>686</v>
      </c>
      <c r="F189" s="9" t="s">
        <v>1608</v>
      </c>
      <c r="G189" s="9" t="s">
        <v>1534</v>
      </c>
      <c r="H189" s="16" t="s">
        <v>528</v>
      </c>
      <c r="I189" s="9" t="b">
        <f t="shared" si="4"/>
        <v>0</v>
      </c>
      <c r="J189" s="1" t="s">
        <v>398</v>
      </c>
      <c r="K189" s="1" t="s">
        <v>1714</v>
      </c>
      <c r="L189" s="1" t="s">
        <v>1720</v>
      </c>
      <c r="M189" s="9">
        <v>2</v>
      </c>
      <c r="N189" s="35" t="s">
        <v>1582</v>
      </c>
      <c r="O189" s="2" t="s">
        <v>458</v>
      </c>
      <c r="P189" s="2" cm="1">
        <f t="array" ref="P189">_xlfn.XLOOKUP(TRIM(B189),TRIM('[1]wc-product-export-16-3-2026-177'!$A:$A),'[1]wc-product-export-16-3-2026-177'!$D:$D,0,0)</f>
        <v>0</v>
      </c>
      <c r="Q189" s="66" cm="1">
        <f t="array" ref="Q189">_xlfn.LET(_xlpm.items,TRIM(_xlfn.TEXTSPLIT($N189,",")),_xlpm.codes,TRIM($B$3:$B$650),_xlpm.qty,$O$3:$O$650,_xlpm.setMask,ISNUMBER(MATCH(_xlpm.codes,_xlpm.items,0)),_xlpm.knifeType,IF(ISNUMBER(SEARCH("fine",$H189)),"15",IF(ISNUMBER(SEARCH("serr",$H189)),"20","")),_xlpm.knifeStock,IFERROR(MIN(IF(_xlpm.setMask*(RIGHT(_xlpm.codes,2)=_xlpm.knifeType),_xlpm.qty)),0),_xlpm.otherStock,IFERROR(MIN(IF(_xlpm.setMask*(RIGHT(_xlpm.codes,2)&lt;&gt;_xlpm.knifeType),_xlpm.qty)),0),IF(_xlpm.knifeStock&gt;=8,MIN(ROUNDDOWN(_xlpm.knifeStock/8,0),_xlpm.otherStock),0)+P189)</f>
        <v>0</v>
      </c>
      <c r="T189" t="str" cm="1">
        <f t="array" ref="T189">IFERROR(IF(D189="SET",_xlfn.TEXTJOIN(", ",TRUE,_xlfn._xlws.FILTER(TRANSPOSE(TRIM(_xlfn.TEXTSPLIT(N189,","))),COUNTIFS(B$3:B$650,TRANSPOSE(TRIM(_xlfn.TEXTSPLIT(N189,","))),O$3:O$650,"&lt;="&amp;$T$1))),""),"")</f>
        <v>39215</v>
      </c>
    </row>
    <row r="190" spans="1:20" ht="24" x14ac:dyDescent="0.3">
      <c r="A190" s="1">
        <v>39205</v>
      </c>
      <c r="B190" s="1" t="s">
        <v>740</v>
      </c>
      <c r="C190" s="1" t="s">
        <v>1262</v>
      </c>
      <c r="D190" s="1" t="s">
        <v>628</v>
      </c>
      <c r="E190" s="1" t="s">
        <v>686</v>
      </c>
      <c r="F190" s="9" t="s">
        <v>1608</v>
      </c>
      <c r="G190" s="9" t="s">
        <v>1534</v>
      </c>
      <c r="H190" s="16" t="s">
        <v>529</v>
      </c>
      <c r="I190" s="9" t="b">
        <f t="shared" si="4"/>
        <v>0</v>
      </c>
      <c r="J190" s="1" t="s">
        <v>398</v>
      </c>
      <c r="K190" s="1" t="s">
        <v>1714</v>
      </c>
      <c r="L190" s="1" t="s">
        <v>1719</v>
      </c>
      <c r="M190" s="9">
        <v>2</v>
      </c>
      <c r="N190" s="35" t="s">
        <v>1575</v>
      </c>
      <c r="O190" s="2" t="s">
        <v>458</v>
      </c>
      <c r="P190" s="2" cm="1">
        <f t="array" ref="P190">_xlfn.XLOOKUP(TRIM(B190),TRIM('[1]wc-product-export-16-3-2026-177'!$A:$A),'[1]wc-product-export-16-3-2026-177'!$D:$D,0,0)</f>
        <v>0</v>
      </c>
      <c r="Q190" s="66" cm="1">
        <f t="array" ref="Q190">_xlfn.LET(_xlpm.items,TRIM(_xlfn.TEXTSPLIT($N190,",")),_xlpm.codes,TRIM($B$3:$B$650),_xlpm.qty,$O$3:$O$650,_xlpm.setMask,ISNUMBER(MATCH(_xlpm.codes,_xlpm.items,0)),_xlpm.knifeType,IF(ISNUMBER(SEARCH("fine",$H190)),"15",IF(ISNUMBER(SEARCH("serr",$H190)),"20","")),_xlpm.knifeStock,IFERROR(MIN(IF(_xlpm.setMask*(RIGHT(_xlpm.codes,2)=_xlpm.knifeType),_xlpm.qty)),0),_xlpm.otherStock,IFERROR(MIN(IF(_xlpm.setMask*(RIGHT(_xlpm.codes,2)&lt;&gt;_xlpm.knifeType),_xlpm.qty)),0),IF(_xlpm.knifeStock&gt;=8,MIN(ROUNDDOWN(_xlpm.knifeStock/8,0),_xlpm.otherStock),0)+P190)</f>
        <v>0</v>
      </c>
      <c r="T190" t="str" cm="1">
        <f t="array" ref="T190">IFERROR(IF(D190="SET",_xlfn.TEXTJOIN(", ",TRUE,_xlfn._xlws.FILTER(TRANSPOSE(TRIM(_xlfn.TEXTSPLIT(N190,","))),COUNTIFS(B$3:B$650,TRANSPOSE(TRIM(_xlfn.TEXTSPLIT(N190,","))),O$3:O$650,"&lt;="&amp;$T$1))),""),"")</f>
        <v>39258, 39220</v>
      </c>
    </row>
    <row r="191" spans="1:20" ht="24" x14ac:dyDescent="0.3">
      <c r="A191" s="1">
        <v>39206</v>
      </c>
      <c r="B191" s="1" t="s">
        <v>741</v>
      </c>
      <c r="C191" s="1" t="s">
        <v>1262</v>
      </c>
      <c r="D191" s="1" t="s">
        <v>628</v>
      </c>
      <c r="E191" s="1" t="s">
        <v>686</v>
      </c>
      <c r="F191" s="9" t="s">
        <v>1608</v>
      </c>
      <c r="G191" s="9" t="s">
        <v>1534</v>
      </c>
      <c r="H191" s="16" t="s">
        <v>530</v>
      </c>
      <c r="I191" s="9" t="b">
        <f t="shared" si="4"/>
        <v>0</v>
      </c>
      <c r="J191" s="1" t="s">
        <v>398</v>
      </c>
      <c r="K191" s="1" t="s">
        <v>1714</v>
      </c>
      <c r="L191" s="1" t="s">
        <v>1719</v>
      </c>
      <c r="M191" s="9">
        <v>2</v>
      </c>
      <c r="N191" s="35" t="s">
        <v>1576</v>
      </c>
      <c r="O191" s="2" t="s">
        <v>458</v>
      </c>
      <c r="P191" s="2" cm="1">
        <f t="array" ref="P191">_xlfn.XLOOKUP(TRIM(B191),TRIM('[1]wc-product-export-16-3-2026-177'!$A:$A),'[1]wc-product-export-16-3-2026-177'!$D:$D,0,0)</f>
        <v>0</v>
      </c>
      <c r="Q191" s="66" cm="1">
        <f t="array" ref="Q191">_xlfn.LET(_xlpm.items,TRIM(_xlfn.TEXTSPLIT($N191,",")),_xlpm.codes,TRIM($B$3:$B$650),_xlpm.qty,$O$3:$O$650,_xlpm.setMask,ISNUMBER(MATCH(_xlpm.codes,_xlpm.items,0)),_xlpm.knifeType,IF(ISNUMBER(SEARCH("fine",$H191)),"15",IF(ISNUMBER(SEARCH("serr",$H191)),"20","")),_xlpm.knifeStock,IFERROR(MIN(IF(_xlpm.setMask*(RIGHT(_xlpm.codes,2)=_xlpm.knifeType),_xlpm.qty)),0),_xlpm.otherStock,IFERROR(MIN(IF(_xlpm.setMask*(RIGHT(_xlpm.codes,2)&lt;&gt;_xlpm.knifeType),_xlpm.qty)),0),IF(_xlpm.knifeStock&gt;=8,MIN(ROUNDDOWN(_xlpm.knifeStock/8,0),_xlpm.otherStock),0)+P191)</f>
        <v>0</v>
      </c>
      <c r="T191" t="str" cm="1">
        <f t="array" ref="T191">IFERROR(IF(D191="SET",_xlfn.TEXTJOIN(", ",TRUE,_xlfn._xlws.FILTER(TRANSPOSE(TRIM(_xlfn.TEXTSPLIT(N191,","))),COUNTIFS(B$3:B$650,TRANSPOSE(TRIM(_xlfn.TEXTSPLIT(N191,","))),O$3:O$650,"&lt;="&amp;$T$1))),""),"")</f>
        <v>39258, 39215</v>
      </c>
    </row>
    <row r="192" spans="1:20" ht="14.4" x14ac:dyDescent="0.3">
      <c r="A192" s="1">
        <v>39207</v>
      </c>
      <c r="B192" s="55" t="s">
        <v>742</v>
      </c>
      <c r="C192" s="1" t="s">
        <v>1262</v>
      </c>
      <c r="D192" s="1" t="s">
        <v>624</v>
      </c>
      <c r="E192" s="1" t="s">
        <v>686</v>
      </c>
      <c r="F192" s="9"/>
      <c r="G192" s="9"/>
      <c r="H192" s="16" t="s">
        <v>31</v>
      </c>
      <c r="I192" s="9" t="b">
        <f t="shared" si="4"/>
        <v>0</v>
      </c>
      <c r="J192" s="1" t="s">
        <v>398</v>
      </c>
      <c r="K192" s="1" t="s">
        <v>266</v>
      </c>
      <c r="L192" s="1" t="s">
        <v>266</v>
      </c>
      <c r="M192" s="9"/>
      <c r="N192" s="35"/>
      <c r="O192" s="24">
        <v>0</v>
      </c>
      <c r="P192" s="2" cm="1">
        <f t="array" ref="P192">_xlfn.XLOOKUP(TRIM(B192),TRIM('[1]wc-product-export-16-3-2026-177'!$A:$A),'[1]wc-product-export-16-3-2026-177'!$D:$D,0,0)</f>
        <v>0</v>
      </c>
      <c r="Q192" s="2" cm="1">
        <f t="array" ref="Q192">IF(TRIM($D192)="SET",IF($K192="Steak Set1",ROUNDDOWN(IFERROR(MIN(_xlfn._xlws.FILTER(O$3:O$650,ISNUMBER(MATCH(TRIM($B$3:$B$650),TRIM(_xlfn.TEXTSPLIT($N192,",")),0)))),0)/4,0)+P192,IF(IFERROR(MIN(_xlfn._xlws.FILTER(O$3:O$650,ISNUMBER(MATCH(TRIM($B$3:$B$650),TRIM(_xlfn.TEXTSPLIT($N192,",")),0)))),0)&gt;=$E$1,IFERROR(MIN(_xlfn._xlws.FILTER(O$3:O$650,ISNUMBER(MATCH(TRIM($B$3:$B$650),TRIM(_xlfn.TEXTSPLIT($N192,",")),0)))),0)+P192,P192)),IF(TRIM($D192)="EA",IF(TRIM($E192)="M",ROUNDUP(O192*0.85,0),IF(TRIM($E192)="P",O192,P192)),P192))</f>
        <v>0</v>
      </c>
      <c r="T192" t="str" cm="1">
        <f t="array" ref="T192">IFERROR(IF(D192="SET",_xlfn.TEXTJOIN(", ",TRUE,_xlfn._xlws.FILTER(TRANSPOSE(TRIM(_xlfn.TEXTSPLIT(N192,","))),COUNTIFS(B$3:B$650,TRANSPOSE(TRIM(_xlfn.TEXTSPLIT(N192,","))),O$3:O$650,"&lt;="&amp;$T$1))),""),"")</f>
        <v/>
      </c>
    </row>
    <row r="193" spans="1:20" ht="14.4" x14ac:dyDescent="0.3">
      <c r="A193" s="1">
        <v>39210</v>
      </c>
      <c r="B193" s="55" t="s">
        <v>743</v>
      </c>
      <c r="C193" s="1" t="s">
        <v>1262</v>
      </c>
      <c r="D193" s="1" t="s">
        <v>624</v>
      </c>
      <c r="E193" s="1" t="s">
        <v>686</v>
      </c>
      <c r="F193" s="9"/>
      <c r="G193" s="9"/>
      <c r="H193" s="16" t="s">
        <v>77</v>
      </c>
      <c r="I193" s="9" t="b">
        <f t="shared" si="4"/>
        <v>0</v>
      </c>
      <c r="J193" s="1" t="s">
        <v>398</v>
      </c>
      <c r="K193" s="1" t="s">
        <v>266</v>
      </c>
      <c r="L193" s="1" t="s">
        <v>266</v>
      </c>
      <c r="M193" s="9"/>
      <c r="N193" s="35"/>
      <c r="O193" s="24">
        <v>29</v>
      </c>
      <c r="P193" s="2" cm="1">
        <f t="array" ref="P193">_xlfn.XLOOKUP(TRIM(B193),TRIM('[1]wc-product-export-16-3-2026-177'!$A:$A),'[1]wc-product-export-16-3-2026-177'!$D:$D,0,0)</f>
        <v>0</v>
      </c>
      <c r="Q193" s="2" cm="1">
        <f t="array" ref="Q193">IF(TRIM($D193)="SET",IF($K193="Steak Set1",ROUNDDOWN(IFERROR(MIN(_xlfn._xlws.FILTER(O$3:O$650,ISNUMBER(MATCH(TRIM($B$3:$B$650),TRIM(_xlfn.TEXTSPLIT($N193,",")),0)))),0)/4,0)+P193,IF(IFERROR(MIN(_xlfn._xlws.FILTER(O$3:O$650,ISNUMBER(MATCH(TRIM($B$3:$B$650),TRIM(_xlfn.TEXTSPLIT($N193,",")),0)))),0)&gt;=$E$1,IFERROR(MIN(_xlfn._xlws.FILTER(O$3:O$650,ISNUMBER(MATCH(TRIM($B$3:$B$650),TRIM(_xlfn.TEXTSPLIT($N193,",")),0)))),0)+P193,P193)),IF(TRIM($D193)="EA",IF(TRIM($E193)="M",ROUNDUP(O193*0.85,0),IF(TRIM($E193)="P",O193,P193)),P193))</f>
        <v>25</v>
      </c>
      <c r="T193" t="str" cm="1">
        <f t="array" ref="T193">IFERROR(IF(D193="SET",_xlfn.TEXTJOIN(", ",TRUE,_xlfn._xlws.FILTER(TRANSPOSE(TRIM(_xlfn.TEXTSPLIT(N193,","))),COUNTIFS(B$3:B$650,TRANSPOSE(TRIM(_xlfn.TEXTSPLIT(N193,","))),O$3:O$650,"&lt;="&amp;$T$1))),""),"")</f>
        <v/>
      </c>
    </row>
    <row r="194" spans="1:20" ht="14.4" x14ac:dyDescent="0.3">
      <c r="A194" s="1">
        <v>39211</v>
      </c>
      <c r="B194" s="55" t="s">
        <v>744</v>
      </c>
      <c r="C194" s="1" t="s">
        <v>1262</v>
      </c>
      <c r="D194" s="1" t="s">
        <v>624</v>
      </c>
      <c r="E194" s="1" t="s">
        <v>686</v>
      </c>
      <c r="F194" s="9"/>
      <c r="G194" s="9"/>
      <c r="H194" s="16" t="s">
        <v>57</v>
      </c>
      <c r="I194" s="9" t="b">
        <f t="shared" si="4"/>
        <v>0</v>
      </c>
      <c r="J194" s="1" t="s">
        <v>398</v>
      </c>
      <c r="K194" s="1" t="s">
        <v>266</v>
      </c>
      <c r="L194" s="1" t="s">
        <v>266</v>
      </c>
      <c r="M194" s="9"/>
      <c r="N194" s="35"/>
      <c r="O194" s="24">
        <v>21</v>
      </c>
      <c r="P194" s="2" cm="1">
        <f t="array" ref="P194">_xlfn.XLOOKUP(TRIM(B194),TRIM('[1]wc-product-export-16-3-2026-177'!$A:$A),'[1]wc-product-export-16-3-2026-177'!$D:$D,0,0)</f>
        <v>0</v>
      </c>
      <c r="Q194" s="2" cm="1">
        <f t="array" ref="Q194">IF(TRIM($D194)="SET",IF($K194="Steak Set1",ROUNDDOWN(IFERROR(MIN(_xlfn._xlws.FILTER(O$3:O$650,ISNUMBER(MATCH(TRIM($B$3:$B$650),TRIM(_xlfn.TEXTSPLIT($N194,",")),0)))),0)/4,0)+P194,IF(IFERROR(MIN(_xlfn._xlws.FILTER(O$3:O$650,ISNUMBER(MATCH(TRIM($B$3:$B$650),TRIM(_xlfn.TEXTSPLIT($N194,",")),0)))),0)&gt;=$E$1,IFERROR(MIN(_xlfn._xlws.FILTER(O$3:O$650,ISNUMBER(MATCH(TRIM($B$3:$B$650),TRIM(_xlfn.TEXTSPLIT($N194,",")),0)))),0)+P194,P194)),IF(TRIM($D194)="EA",IF(TRIM($E194)="M",ROUNDUP(O194*0.85,0),IF(TRIM($E194)="P",O194,P194)),P194))</f>
        <v>18</v>
      </c>
      <c r="T194" t="str" cm="1">
        <f t="array" ref="T194">IFERROR(IF(D194="SET",_xlfn.TEXTJOIN(", ",TRUE,_xlfn._xlws.FILTER(TRANSPOSE(TRIM(_xlfn.TEXTSPLIT(N194,","))),COUNTIFS(B$3:B$650,TRANSPOSE(TRIM(_xlfn.TEXTSPLIT(N194,","))),O$3:O$650,"&lt;="&amp;$T$1))),""),"")</f>
        <v/>
      </c>
    </row>
    <row r="195" spans="1:20" ht="14.4" x14ac:dyDescent="0.3">
      <c r="A195" s="1">
        <v>39215</v>
      </c>
      <c r="B195" s="55" t="s">
        <v>745</v>
      </c>
      <c r="C195" s="1" t="s">
        <v>1262</v>
      </c>
      <c r="D195" s="1" t="s">
        <v>624</v>
      </c>
      <c r="E195" s="1" t="s">
        <v>686</v>
      </c>
      <c r="F195" s="9"/>
      <c r="G195" s="9"/>
      <c r="H195" s="16" t="s">
        <v>32</v>
      </c>
      <c r="I195" s="9" t="b">
        <f t="shared" si="4"/>
        <v>0</v>
      </c>
      <c r="J195" s="1" t="s">
        <v>398</v>
      </c>
      <c r="K195" s="1" t="s">
        <v>1614</v>
      </c>
      <c r="L195" s="1" t="s">
        <v>1727</v>
      </c>
      <c r="M195" s="9"/>
      <c r="N195" s="35"/>
      <c r="O195" s="24">
        <v>4</v>
      </c>
      <c r="P195" s="2" cm="1">
        <f t="array" ref="P195">_xlfn.XLOOKUP(TRIM(B195),TRIM('[1]wc-product-export-16-3-2026-177'!$A:$A),'[1]wc-product-export-16-3-2026-177'!$D:$D,0,0)</f>
        <v>0</v>
      </c>
      <c r="Q195" s="2" cm="1">
        <f t="array" ref="Q195">IF(TRIM($D195)="SET",IF($K195="Steak Set1",ROUNDDOWN(IFERROR(MIN(_xlfn._xlws.FILTER(O$3:O$650,ISNUMBER(MATCH(TRIM($B$3:$B$650),TRIM(_xlfn.TEXTSPLIT($N195,",")),0)))),0)/4,0)+P195,IF(IFERROR(MIN(_xlfn._xlws.FILTER(O$3:O$650,ISNUMBER(MATCH(TRIM($B$3:$B$650),TRIM(_xlfn.TEXTSPLIT($N195,",")),0)))),0)&gt;=$E$1,IFERROR(MIN(_xlfn._xlws.FILTER(O$3:O$650,ISNUMBER(MATCH(TRIM($B$3:$B$650),TRIM(_xlfn.TEXTSPLIT($N195,",")),0)))),0)+P195,P195)),IF(TRIM($D195)="EA",IF(TRIM($E195)="M",ROUNDUP(O195*0.85,0),IF(TRIM($E195)="P",O195,P195)),P195))</f>
        <v>4</v>
      </c>
      <c r="T195" t="str" cm="1">
        <f t="array" ref="T195">IFERROR(IF(D195="SET",_xlfn.TEXTJOIN(", ",TRUE,_xlfn._xlws.FILTER(TRANSPOSE(TRIM(_xlfn.TEXTSPLIT(N195,","))),COUNTIFS(B$3:B$650,TRANSPOSE(TRIM(_xlfn.TEXTSPLIT(N195,","))),O$3:O$650,"&lt;="&amp;$T$1))),""),"")</f>
        <v/>
      </c>
    </row>
    <row r="196" spans="1:20" ht="14.4" x14ac:dyDescent="0.3">
      <c r="A196" s="1">
        <v>39217</v>
      </c>
      <c r="B196" s="55" t="s">
        <v>746</v>
      </c>
      <c r="C196" s="1" t="s">
        <v>1262</v>
      </c>
      <c r="D196" s="1" t="s">
        <v>624</v>
      </c>
      <c r="E196" s="1" t="s">
        <v>686</v>
      </c>
      <c r="F196" s="9"/>
      <c r="G196" s="9"/>
      <c r="H196" s="16" t="s">
        <v>33</v>
      </c>
      <c r="I196" s="9" t="b">
        <f t="shared" ref="I196:I259" si="5">ISNUMBER(SEARCH($I$2,H196))</f>
        <v>0</v>
      </c>
      <c r="J196" s="1" t="s">
        <v>398</v>
      </c>
      <c r="K196" s="1" t="s">
        <v>268</v>
      </c>
      <c r="L196" s="1" t="s">
        <v>268</v>
      </c>
      <c r="M196" s="9"/>
      <c r="N196" s="35"/>
      <c r="O196" s="24">
        <v>9</v>
      </c>
      <c r="P196" s="2" cm="1">
        <f t="array" ref="P196">_xlfn.XLOOKUP(TRIM(B196),TRIM('[1]wc-product-export-16-3-2026-177'!$A:$A),'[1]wc-product-export-16-3-2026-177'!$D:$D,0,0)</f>
        <v>0</v>
      </c>
      <c r="Q196" s="2" cm="1">
        <f t="array" ref="Q196">IF(TRIM($D196)="SET",IF($K196="Steak Set1",ROUNDDOWN(IFERROR(MIN(_xlfn._xlws.FILTER(O$3:O$650,ISNUMBER(MATCH(TRIM($B$3:$B$650),TRIM(_xlfn.TEXTSPLIT($N196,",")),0)))),0)/4,0)+P196,IF(IFERROR(MIN(_xlfn._xlws.FILTER(O$3:O$650,ISNUMBER(MATCH(TRIM($B$3:$B$650),TRIM(_xlfn.TEXTSPLIT($N196,",")),0)))),0)&gt;=$E$1,IFERROR(MIN(_xlfn._xlws.FILTER(O$3:O$650,ISNUMBER(MATCH(TRIM($B$3:$B$650),TRIM(_xlfn.TEXTSPLIT($N196,",")),0)))),0)+P196,P196)),IF(TRIM($D196)="EA",IF(TRIM($E196)="M",ROUNDUP(O196*0.85,0),IF(TRIM($E196)="P",O196,P196)),P196))</f>
        <v>8</v>
      </c>
      <c r="T196" t="str" cm="1">
        <f t="array" ref="T196">IFERROR(IF(D196="SET",_xlfn.TEXTJOIN(", ",TRUE,_xlfn._xlws.FILTER(TRANSPOSE(TRIM(_xlfn.TEXTSPLIT(N196,","))),COUNTIFS(B$3:B$650,TRANSPOSE(TRIM(_xlfn.TEXTSPLIT(N196,","))),O$3:O$650,"&lt;="&amp;$T$1))),""),"")</f>
        <v/>
      </c>
    </row>
    <row r="197" spans="1:20" ht="14.4" x14ac:dyDescent="0.3">
      <c r="A197" s="1">
        <v>39220</v>
      </c>
      <c r="B197" s="55" t="s">
        <v>747</v>
      </c>
      <c r="C197" s="1" t="s">
        <v>1262</v>
      </c>
      <c r="D197" s="1" t="s">
        <v>624</v>
      </c>
      <c r="E197" s="1" t="s">
        <v>686</v>
      </c>
      <c r="F197" s="9"/>
      <c r="G197" s="9"/>
      <c r="H197" s="16" t="s">
        <v>34</v>
      </c>
      <c r="I197" s="9" t="b">
        <f t="shared" si="5"/>
        <v>0</v>
      </c>
      <c r="J197" s="1" t="s">
        <v>398</v>
      </c>
      <c r="K197" s="1" t="s">
        <v>1614</v>
      </c>
      <c r="L197" s="1" t="s">
        <v>1728</v>
      </c>
      <c r="M197" s="9"/>
      <c r="N197" s="35"/>
      <c r="O197" s="24">
        <v>2</v>
      </c>
      <c r="P197" s="2" cm="1">
        <f t="array" ref="P197">_xlfn.XLOOKUP(TRIM(B197),TRIM('[1]wc-product-export-16-3-2026-177'!$A:$A),'[1]wc-product-export-16-3-2026-177'!$D:$D,0,0)</f>
        <v>0</v>
      </c>
      <c r="Q197" s="2" cm="1">
        <f t="array" ref="Q197">IF(TRIM($D197)="SET",IF($K197="Steak Set1",ROUNDDOWN(IFERROR(MIN(_xlfn._xlws.FILTER(O$3:O$650,ISNUMBER(MATCH(TRIM($B$3:$B$650),TRIM(_xlfn.TEXTSPLIT($N197,",")),0)))),0)/4,0)+P197,IF(IFERROR(MIN(_xlfn._xlws.FILTER(O$3:O$650,ISNUMBER(MATCH(TRIM($B$3:$B$650),TRIM(_xlfn.TEXTSPLIT($N197,",")),0)))),0)&gt;=$E$1,IFERROR(MIN(_xlfn._xlws.FILTER(O$3:O$650,ISNUMBER(MATCH(TRIM($B$3:$B$650),TRIM(_xlfn.TEXTSPLIT($N197,",")),0)))),0)+P197,P197)),IF(TRIM($D197)="EA",IF(TRIM($E197)="M",ROUNDUP(O197*0.85,0),IF(TRIM($E197)="P",O197,P197)),P197))</f>
        <v>2</v>
      </c>
      <c r="T197" t="str" cm="1">
        <f t="array" ref="T197">IFERROR(IF(D197="SET",_xlfn.TEXTJOIN(", ",TRUE,_xlfn._xlws.FILTER(TRANSPOSE(TRIM(_xlfn.TEXTSPLIT(N197,","))),COUNTIFS(B$3:B$650,TRANSPOSE(TRIM(_xlfn.TEXTSPLIT(N197,","))),O$3:O$650,"&lt;="&amp;$T$1))),""),"")</f>
        <v/>
      </c>
    </row>
    <row r="198" spans="1:20" ht="14.4" x14ac:dyDescent="0.3">
      <c r="A198" s="1">
        <v>39223</v>
      </c>
      <c r="B198" s="56" t="s">
        <v>748</v>
      </c>
      <c r="C198" s="1" t="s">
        <v>1262</v>
      </c>
      <c r="D198" s="1" t="s">
        <v>624</v>
      </c>
      <c r="E198" s="1" t="s">
        <v>686</v>
      </c>
      <c r="F198" s="9"/>
      <c r="G198" s="9"/>
      <c r="H198" s="16" t="s">
        <v>87</v>
      </c>
      <c r="I198" s="9" t="b">
        <f t="shared" si="5"/>
        <v>0</v>
      </c>
      <c r="J198" s="1" t="s">
        <v>398</v>
      </c>
      <c r="K198" s="1" t="s">
        <v>269</v>
      </c>
      <c r="L198" s="1" t="s">
        <v>1729</v>
      </c>
      <c r="M198" s="9"/>
      <c r="N198" s="35"/>
      <c r="O198" s="24">
        <v>19</v>
      </c>
      <c r="P198" s="2" cm="1">
        <f t="array" ref="P198">_xlfn.XLOOKUP(TRIM(B198),TRIM('[1]wc-product-export-16-3-2026-177'!$A:$A),'[1]wc-product-export-16-3-2026-177'!$D:$D,0,0)</f>
        <v>0</v>
      </c>
      <c r="Q198" s="2" cm="1">
        <f t="array" ref="Q198">IF(TRIM($D198)="SET",IF($K198="Steak Set1",ROUNDDOWN(IFERROR(MIN(_xlfn._xlws.FILTER(O$3:O$650,ISNUMBER(MATCH(TRIM($B$3:$B$650),TRIM(_xlfn.TEXTSPLIT($N198,",")),0)))),0)/4,0)+P198,IF(IFERROR(MIN(_xlfn._xlws.FILTER(O$3:O$650,ISNUMBER(MATCH(TRIM($B$3:$B$650),TRIM(_xlfn.TEXTSPLIT($N198,",")),0)))),0)&gt;=$E$1,IFERROR(MIN(_xlfn._xlws.FILTER(O$3:O$650,ISNUMBER(MATCH(TRIM($B$3:$B$650),TRIM(_xlfn.TEXTSPLIT($N198,",")),0)))),0)+P198,P198)),IF(TRIM($D198)="EA",IF(TRIM($E198)="M",ROUNDUP(O198*0.85,0),IF(TRIM($E198)="P",O198,P198)),P198))</f>
        <v>17</v>
      </c>
      <c r="T198" t="str" cm="1">
        <f t="array" ref="T198">IFERROR(IF(D198="SET",_xlfn.TEXTJOIN(", ",TRUE,_xlfn._xlws.FILTER(TRANSPOSE(TRIM(_xlfn.TEXTSPLIT(N198,","))),COUNTIFS(B$3:B$650,TRANSPOSE(TRIM(_xlfn.TEXTSPLIT(N198,","))),O$3:O$650,"&lt;="&amp;$T$1))),""),"")</f>
        <v/>
      </c>
    </row>
    <row r="199" spans="1:20" ht="14.4" x14ac:dyDescent="0.3">
      <c r="A199" s="1">
        <v>39225</v>
      </c>
      <c r="B199" s="55" t="s">
        <v>749</v>
      </c>
      <c r="C199" s="1" t="s">
        <v>1262</v>
      </c>
      <c r="D199" s="1" t="s">
        <v>624</v>
      </c>
      <c r="E199" s="1" t="s">
        <v>686</v>
      </c>
      <c r="F199" s="9"/>
      <c r="G199" s="9"/>
      <c r="H199" s="16" t="s">
        <v>35</v>
      </c>
      <c r="I199" s="9" t="b">
        <f t="shared" si="5"/>
        <v>0</v>
      </c>
      <c r="J199" s="1" t="s">
        <v>398</v>
      </c>
      <c r="K199" s="1" t="s">
        <v>270</v>
      </c>
      <c r="L199" s="1" t="s">
        <v>270</v>
      </c>
      <c r="M199" s="9"/>
      <c r="N199" s="35"/>
      <c r="O199" s="24">
        <v>11</v>
      </c>
      <c r="P199" s="2" cm="1">
        <f t="array" ref="P199">_xlfn.XLOOKUP(TRIM(B199),TRIM('[1]wc-product-export-16-3-2026-177'!$A:$A),'[1]wc-product-export-16-3-2026-177'!$D:$D,0,0)</f>
        <v>0</v>
      </c>
      <c r="Q199" s="2" cm="1">
        <f t="array" ref="Q199">IF(TRIM($D199)="SET",IF($K199="Steak Set1",ROUNDDOWN(IFERROR(MIN(_xlfn._xlws.FILTER(O$3:O$650,ISNUMBER(MATCH(TRIM($B$3:$B$650),TRIM(_xlfn.TEXTSPLIT($N199,",")),0)))),0)/4,0)+P199,IF(IFERROR(MIN(_xlfn._xlws.FILTER(O$3:O$650,ISNUMBER(MATCH(TRIM($B$3:$B$650),TRIM(_xlfn.TEXTSPLIT($N199,",")),0)))),0)&gt;=$E$1,IFERROR(MIN(_xlfn._xlws.FILTER(O$3:O$650,ISNUMBER(MATCH(TRIM($B$3:$B$650),TRIM(_xlfn.TEXTSPLIT($N199,",")),0)))),0)+P199,P199)),IF(TRIM($D199)="EA",IF(TRIM($E199)="M",ROUNDUP(O199*0.85,0),IF(TRIM($E199)="P",O199,P199)),P199))</f>
        <v>10</v>
      </c>
      <c r="T199" t="str" cm="1">
        <f t="array" ref="T199">IFERROR(IF(D199="SET",_xlfn.TEXTJOIN(", ",TRUE,_xlfn._xlws.FILTER(TRANSPOSE(TRIM(_xlfn.TEXTSPLIT(N199,","))),COUNTIFS(B$3:B$650,TRANSPOSE(TRIM(_xlfn.TEXTSPLIT(N199,","))),O$3:O$650,"&lt;="&amp;$T$1))),""),"")</f>
        <v/>
      </c>
    </row>
    <row r="200" spans="1:20" ht="14.4" x14ac:dyDescent="0.3">
      <c r="A200" s="1">
        <v>39226</v>
      </c>
      <c r="B200" s="1" t="s">
        <v>750</v>
      </c>
      <c r="C200" s="1" t="s">
        <v>1262</v>
      </c>
      <c r="D200" s="1" t="s">
        <v>628</v>
      </c>
      <c r="E200" s="1" t="s">
        <v>686</v>
      </c>
      <c r="F200" s="9"/>
      <c r="G200" s="9"/>
      <c r="H200" s="53" t="s">
        <v>376</v>
      </c>
      <c r="I200" s="9" t="b">
        <f t="shared" si="5"/>
        <v>0</v>
      </c>
      <c r="J200" s="1" t="s">
        <v>398</v>
      </c>
      <c r="K200" s="1" t="s">
        <v>280</v>
      </c>
      <c r="L200" s="1" t="s">
        <v>1721</v>
      </c>
      <c r="M200" s="9"/>
      <c r="N200" s="35" t="s">
        <v>1577</v>
      </c>
      <c r="O200" s="2" t="s">
        <v>458</v>
      </c>
      <c r="P200" s="2" cm="1">
        <f t="array" ref="P200">_xlfn.XLOOKUP(TRIM(B200),TRIM('[1]wc-product-export-16-3-2026-177'!$A:$A),'[1]wc-product-export-16-3-2026-177'!$D:$D,0,0)</f>
        <v>0</v>
      </c>
      <c r="Q200" s="2" cm="1">
        <f t="array" ref="Q200">IF(TRIM($D200)="SET",IF($K200="Steak Set1",ROUNDDOWN(IFERROR(MIN(_xlfn._xlws.FILTER(O$3:O$650,ISNUMBER(MATCH(TRIM($B$3:$B$650),TRIM(_xlfn.TEXTSPLIT($N200,",")),0)))),0)/4,0)+P200,IF(IFERROR(MIN(_xlfn._xlws.FILTER(O$3:O$650,ISNUMBER(MATCH(TRIM($B$3:$B$650),TRIM(_xlfn.TEXTSPLIT($N200,",")),0)))),0)&gt;=$E$1,IFERROR(MIN(_xlfn._xlws.FILTER(O$3:O$650,ISNUMBER(MATCH(TRIM($B$3:$B$650),TRIM(_xlfn.TEXTSPLIT($N200,",")),0)))),0)+P200,P200)),IF(TRIM($D200)="EA",IF(TRIM($E200)="M",ROUNDUP(O200*0.85,0),IF(TRIM($E200)="P",O200,P200)),P200))</f>
        <v>7</v>
      </c>
      <c r="T200" t="str" cm="1">
        <f t="array" ref="T200">IFERROR(IF(D200="SET",_xlfn.TEXTJOIN(", ",TRUE,_xlfn._xlws.FILTER(TRANSPOSE(TRIM(_xlfn.TEXTSPLIT(N200,","))),COUNTIFS(B$3:B$650,TRANSPOSE(TRIM(_xlfn.TEXTSPLIT(N200,","))),O$3:O$650,"&lt;="&amp;$T$1))),""),"")</f>
        <v/>
      </c>
    </row>
    <row r="201" spans="1:20" ht="14.4" x14ac:dyDescent="0.3">
      <c r="A201" s="1">
        <v>39227</v>
      </c>
      <c r="B201" s="1" t="s">
        <v>751</v>
      </c>
      <c r="C201" s="1" t="s">
        <v>1262</v>
      </c>
      <c r="D201" s="1" t="s">
        <v>628</v>
      </c>
      <c r="E201" s="1" t="s">
        <v>686</v>
      </c>
      <c r="F201" s="9"/>
      <c r="G201" s="9"/>
      <c r="H201" s="16" t="s">
        <v>377</v>
      </c>
      <c r="I201" s="9" t="b">
        <f t="shared" si="5"/>
        <v>0</v>
      </c>
      <c r="J201" s="1" t="s">
        <v>398</v>
      </c>
      <c r="K201" s="1" t="s">
        <v>280</v>
      </c>
      <c r="L201" s="1" t="s">
        <v>1721</v>
      </c>
      <c r="M201" s="9"/>
      <c r="N201" s="35" t="s">
        <v>1578</v>
      </c>
      <c r="O201" s="2" t="s">
        <v>458</v>
      </c>
      <c r="P201" s="2" cm="1">
        <f t="array" ref="P201">_xlfn.XLOOKUP(TRIM(B201),TRIM('[1]wc-product-export-16-3-2026-177'!$A:$A),'[1]wc-product-export-16-3-2026-177'!$D:$D,0,0)</f>
        <v>0</v>
      </c>
      <c r="Q201" s="2" cm="1">
        <f t="array" ref="Q201">IF(TRIM($D201)="SET",IF($K201="Steak Set1",ROUNDDOWN(IFERROR(MIN(_xlfn._xlws.FILTER(O$3:O$650,ISNUMBER(MATCH(TRIM($B$3:$B$650),TRIM(_xlfn.TEXTSPLIT($N201,",")),0)))),0)/4,0)+P201,IF(IFERROR(MIN(_xlfn._xlws.FILTER(O$3:O$650,ISNUMBER(MATCH(TRIM($B$3:$B$650),TRIM(_xlfn.TEXTSPLIT($N201,",")),0)))),0)&gt;=$E$1,IFERROR(MIN(_xlfn._xlws.FILTER(O$3:O$650,ISNUMBER(MATCH(TRIM($B$3:$B$650),TRIM(_xlfn.TEXTSPLIT($N201,",")),0)))),0)+P201,P201)),IF(TRIM($D201)="EA",IF(TRIM($E201)="M",ROUNDUP(O201*0.85,0),IF(TRIM($E201)="P",O201,P201)),P201))</f>
        <v>7</v>
      </c>
      <c r="T201" t="str" cm="1">
        <f t="array" ref="T201">IFERROR(IF(D201="SET",_xlfn.TEXTJOIN(", ",TRUE,_xlfn._xlws.FILTER(TRANSPOSE(TRIM(_xlfn.TEXTSPLIT(N201,","))),COUNTIFS(B$3:B$650,TRANSPOSE(TRIM(_xlfn.TEXTSPLIT(N201,","))),O$3:O$650,"&lt;="&amp;$T$1))),""),"")</f>
        <v/>
      </c>
    </row>
    <row r="202" spans="1:20" ht="14.4" x14ac:dyDescent="0.3">
      <c r="A202" s="1">
        <v>39228</v>
      </c>
      <c r="B202" s="1" t="s">
        <v>752</v>
      </c>
      <c r="C202" s="1" t="s">
        <v>1262</v>
      </c>
      <c r="D202" s="1" t="s">
        <v>628</v>
      </c>
      <c r="E202" s="1" t="s">
        <v>686</v>
      </c>
      <c r="F202" s="9"/>
      <c r="G202" s="9"/>
      <c r="H202" s="16" t="s">
        <v>378</v>
      </c>
      <c r="I202" s="9" t="b">
        <f t="shared" si="5"/>
        <v>0</v>
      </c>
      <c r="J202" s="1" t="s">
        <v>398</v>
      </c>
      <c r="K202" s="1" t="s">
        <v>280</v>
      </c>
      <c r="L202" s="1" t="s">
        <v>1721</v>
      </c>
      <c r="M202" s="9"/>
      <c r="N202" s="35" t="s">
        <v>1579</v>
      </c>
      <c r="O202" s="2" t="s">
        <v>458</v>
      </c>
      <c r="P202" s="2" cm="1">
        <f t="array" ref="P202">_xlfn.XLOOKUP(TRIM(B202),TRIM('[1]wc-product-export-16-3-2026-177'!$A:$A),'[1]wc-product-export-16-3-2026-177'!$D:$D,0,0)</f>
        <v>0</v>
      </c>
      <c r="Q202" s="2" cm="1">
        <f t="array" ref="Q202">IF(TRIM($D202)="SET",IF($K202="Steak Set1",ROUNDDOWN(IFERROR(MIN(_xlfn._xlws.FILTER(O$3:O$650,ISNUMBER(MATCH(TRIM($B$3:$B$650),TRIM(_xlfn.TEXTSPLIT($N202,",")),0)))),0)/4,0)+P202,IF(IFERROR(MIN(_xlfn._xlws.FILTER(O$3:O$650,ISNUMBER(MATCH(TRIM($B$3:$B$650),TRIM(_xlfn.TEXTSPLIT($N202,",")),0)))),0)&gt;=$E$1,IFERROR(MIN(_xlfn._xlws.FILTER(O$3:O$650,ISNUMBER(MATCH(TRIM($B$3:$B$650),TRIM(_xlfn.TEXTSPLIT($N202,",")),0)))),0)+P202,P202)),IF(TRIM($D202)="EA",IF(TRIM($E202)="M",ROUNDUP(O202*0.85,0),IF(TRIM($E202)="P",O202,P202)),P202))</f>
        <v>4</v>
      </c>
      <c r="T202" t="str" cm="1">
        <f t="array" ref="T202">IFERROR(IF(D202="SET",_xlfn.TEXTJOIN(", ",TRUE,_xlfn._xlws.FILTER(TRANSPOSE(TRIM(_xlfn.TEXTSPLIT(N202,","))),COUNTIFS(B$3:B$650,TRANSPOSE(TRIM(_xlfn.TEXTSPLIT(N202,","))),O$3:O$650,"&lt;="&amp;$T$1))),""),"")</f>
        <v>39215</v>
      </c>
    </row>
    <row r="203" spans="1:20" ht="14.4" x14ac:dyDescent="0.3">
      <c r="A203" s="1">
        <v>39229</v>
      </c>
      <c r="B203" s="1" t="s">
        <v>753</v>
      </c>
      <c r="C203" s="1" t="s">
        <v>1262</v>
      </c>
      <c r="D203" s="1" t="s">
        <v>628</v>
      </c>
      <c r="E203" s="1" t="s">
        <v>686</v>
      </c>
      <c r="F203" s="9"/>
      <c r="G203" s="9"/>
      <c r="H203" s="16" t="s">
        <v>379</v>
      </c>
      <c r="I203" s="9" t="b">
        <f t="shared" si="5"/>
        <v>0</v>
      </c>
      <c r="J203" s="1" t="s">
        <v>398</v>
      </c>
      <c r="K203" s="1" t="s">
        <v>280</v>
      </c>
      <c r="L203" s="1" t="s">
        <v>1721</v>
      </c>
      <c r="M203" s="9"/>
      <c r="N203" s="35" t="s">
        <v>1580</v>
      </c>
      <c r="O203" s="2" t="s">
        <v>458</v>
      </c>
      <c r="P203" s="2" cm="1">
        <f t="array" ref="P203">_xlfn.XLOOKUP(TRIM(B203),TRIM('[1]wc-product-export-16-3-2026-177'!$A:$A),'[1]wc-product-export-16-3-2026-177'!$D:$D,0,0)</f>
        <v>0</v>
      </c>
      <c r="Q203" s="2" cm="1">
        <f t="array" ref="Q203">IF(TRIM($D203)="SET",IF($K203="Steak Set1",ROUNDDOWN(IFERROR(MIN(_xlfn._xlws.FILTER(O$3:O$650,ISNUMBER(MATCH(TRIM($B$3:$B$650),TRIM(_xlfn.TEXTSPLIT($N203,",")),0)))),0)/4,0)+P203,IF(IFERROR(MIN(_xlfn._xlws.FILTER(O$3:O$650,ISNUMBER(MATCH(TRIM($B$3:$B$650),TRIM(_xlfn.TEXTSPLIT($N203,",")),0)))),0)&gt;=$E$1,IFERROR(MIN(_xlfn._xlws.FILTER(O$3:O$650,ISNUMBER(MATCH(TRIM($B$3:$B$650),TRIM(_xlfn.TEXTSPLIT($N203,",")),0)))),0)+P203,P203)),IF(TRIM($D203)="EA",IF(TRIM($E203)="M",ROUNDUP(O203*0.85,0),IF(TRIM($E203)="P",O203,P203)),P203))</f>
        <v>2</v>
      </c>
      <c r="T203" t="str" cm="1">
        <f t="array" ref="T203">IFERROR(IF(D203="SET",_xlfn.TEXTJOIN(", ",TRUE,_xlfn._xlws.FILTER(TRANSPOSE(TRIM(_xlfn.TEXTSPLIT(N203,","))),COUNTIFS(B$3:B$650,TRANSPOSE(TRIM(_xlfn.TEXTSPLIT(N203,","))),O$3:O$650,"&lt;="&amp;$T$1))),""),"")</f>
        <v>39220</v>
      </c>
    </row>
    <row r="204" spans="1:20" ht="14.4" x14ac:dyDescent="0.3">
      <c r="A204" s="1">
        <v>39235</v>
      </c>
      <c r="B204" s="55" t="s">
        <v>754</v>
      </c>
      <c r="C204" s="1" t="s">
        <v>1262</v>
      </c>
      <c r="D204" s="1" t="s">
        <v>624</v>
      </c>
      <c r="E204" s="1" t="s">
        <v>686</v>
      </c>
      <c r="F204" s="9"/>
      <c r="G204" s="9"/>
      <c r="H204" s="16" t="s">
        <v>36</v>
      </c>
      <c r="I204" s="9" t="b">
        <f t="shared" si="5"/>
        <v>0</v>
      </c>
      <c r="J204" s="1" t="s">
        <v>398</v>
      </c>
      <c r="K204" s="1" t="s">
        <v>271</v>
      </c>
      <c r="L204" s="1" t="s">
        <v>271</v>
      </c>
      <c r="M204" s="9"/>
      <c r="N204" s="35"/>
      <c r="O204" s="24">
        <v>7</v>
      </c>
      <c r="P204" s="2" cm="1">
        <f t="array" ref="P204">_xlfn.XLOOKUP(TRIM(B204),TRIM('[1]wc-product-export-16-3-2026-177'!$A:$A),'[1]wc-product-export-16-3-2026-177'!$D:$D,0,0)</f>
        <v>0</v>
      </c>
      <c r="Q204" s="2" cm="1">
        <f t="array" ref="Q204">IF(TRIM($D204)="SET",IF($K204="Steak Set1",ROUNDDOWN(IFERROR(MIN(_xlfn._xlws.FILTER(O$3:O$650,ISNUMBER(MATCH(TRIM($B$3:$B$650),TRIM(_xlfn.TEXTSPLIT($N204,",")),0)))),0)/4,0)+P204,IF(IFERROR(MIN(_xlfn._xlws.FILTER(O$3:O$650,ISNUMBER(MATCH(TRIM($B$3:$B$650),TRIM(_xlfn.TEXTSPLIT($N204,",")),0)))),0)&gt;=$E$1,IFERROR(MIN(_xlfn._xlws.FILTER(O$3:O$650,ISNUMBER(MATCH(TRIM($B$3:$B$650),TRIM(_xlfn.TEXTSPLIT($N204,",")),0)))),0)+P204,P204)),IF(TRIM($D204)="EA",IF(TRIM($E204)="M",ROUNDUP(O204*0.85,0),IF(TRIM($E204)="P",O204,P204)),P204))</f>
        <v>6</v>
      </c>
      <c r="T204" t="str" cm="1">
        <f t="array" ref="T204">IFERROR(IF(D204="SET",_xlfn.TEXTJOIN(", ",TRUE,_xlfn._xlws.FILTER(TRANSPOSE(TRIM(_xlfn.TEXTSPLIT(N204,","))),COUNTIFS(B$3:B$650,TRANSPOSE(TRIM(_xlfn.TEXTSPLIT(N204,","))),O$3:O$650,"&lt;="&amp;$T$1))),""),"")</f>
        <v/>
      </c>
    </row>
    <row r="205" spans="1:20" ht="14.4" x14ac:dyDescent="0.3">
      <c r="A205" s="1">
        <v>39238</v>
      </c>
      <c r="B205" s="56" t="s">
        <v>755</v>
      </c>
      <c r="C205" s="1" t="s">
        <v>1262</v>
      </c>
      <c r="D205" s="1" t="s">
        <v>624</v>
      </c>
      <c r="E205" s="1" t="s">
        <v>686</v>
      </c>
      <c r="F205" s="9"/>
      <c r="G205" s="9"/>
      <c r="H205" s="16" t="s">
        <v>65</v>
      </c>
      <c r="I205" s="9" t="b">
        <f t="shared" si="5"/>
        <v>0</v>
      </c>
      <c r="J205" s="1" t="s">
        <v>398</v>
      </c>
      <c r="K205" s="1" t="s">
        <v>272</v>
      </c>
      <c r="L205" s="1" t="s">
        <v>272</v>
      </c>
      <c r="M205" s="9"/>
      <c r="N205" s="35"/>
      <c r="O205" s="24">
        <v>5</v>
      </c>
      <c r="P205" s="2" cm="1">
        <f t="array" ref="P205">_xlfn.XLOOKUP(TRIM(B205),TRIM('[1]wc-product-export-16-3-2026-177'!$A:$A),'[1]wc-product-export-16-3-2026-177'!$D:$D,0,0)</f>
        <v>0</v>
      </c>
      <c r="Q205" s="2" cm="1">
        <f t="array" ref="Q205">IF(TRIM($D205)="SET",IF($K205="Steak Set1",ROUNDDOWN(IFERROR(MIN(_xlfn._xlws.FILTER(O$3:O$650,ISNUMBER(MATCH(TRIM($B$3:$B$650),TRIM(_xlfn.TEXTSPLIT($N205,",")),0)))),0)/4,0)+P205,IF(IFERROR(MIN(_xlfn._xlws.FILTER(O$3:O$650,ISNUMBER(MATCH(TRIM($B$3:$B$650),TRIM(_xlfn.TEXTSPLIT($N205,",")),0)))),0)&gt;=$E$1,IFERROR(MIN(_xlfn._xlws.FILTER(O$3:O$650,ISNUMBER(MATCH(TRIM($B$3:$B$650),TRIM(_xlfn.TEXTSPLIT($N205,",")),0)))),0)+P205,P205)),IF(TRIM($D205)="EA",IF(TRIM($E205)="M",ROUNDUP(O205*0.85,0),IF(TRIM($E205)="P",O205,P205)),P205))</f>
        <v>5</v>
      </c>
      <c r="T205" t="str" cm="1">
        <f t="array" ref="T205">IFERROR(IF(D205="SET",_xlfn.TEXTJOIN(", ",TRUE,_xlfn._xlws.FILTER(TRANSPOSE(TRIM(_xlfn.TEXTSPLIT(N205,","))),COUNTIFS(B$3:B$650,TRANSPOSE(TRIM(_xlfn.TEXTSPLIT(N205,","))),O$3:O$650,"&lt;="&amp;$T$1))),""),"")</f>
        <v/>
      </c>
    </row>
    <row r="206" spans="1:20" ht="14.4" x14ac:dyDescent="0.3">
      <c r="A206" s="1">
        <v>39240</v>
      </c>
      <c r="B206" s="56" t="s">
        <v>756</v>
      </c>
      <c r="C206" s="1" t="s">
        <v>1262</v>
      </c>
      <c r="D206" s="1" t="s">
        <v>624</v>
      </c>
      <c r="E206" s="1" t="s">
        <v>686</v>
      </c>
      <c r="F206" s="9"/>
      <c r="G206" s="9"/>
      <c r="H206" s="16" t="s">
        <v>177</v>
      </c>
      <c r="I206" s="9" t="b">
        <f t="shared" si="5"/>
        <v>0</v>
      </c>
      <c r="J206" s="1" t="s">
        <v>398</v>
      </c>
      <c r="K206" s="1" t="s">
        <v>273</v>
      </c>
      <c r="L206" s="1" t="s">
        <v>273</v>
      </c>
      <c r="M206" s="9"/>
      <c r="N206" s="35"/>
      <c r="O206" s="24">
        <v>34</v>
      </c>
      <c r="P206" s="2" cm="1">
        <f t="array" ref="P206">_xlfn.XLOOKUP(TRIM(B206),TRIM('[1]wc-product-export-16-3-2026-177'!$A:$A),'[1]wc-product-export-16-3-2026-177'!$D:$D,0,0)</f>
        <v>0</v>
      </c>
      <c r="Q206" s="2" cm="1">
        <f t="array" ref="Q206">IF(TRIM($D206)="SET",IF($K206="Steak Set1",ROUNDDOWN(IFERROR(MIN(_xlfn._xlws.FILTER(O$3:O$650,ISNUMBER(MATCH(TRIM($B$3:$B$650),TRIM(_xlfn.TEXTSPLIT($N206,",")),0)))),0)/4,0)+P206,IF(IFERROR(MIN(_xlfn._xlws.FILTER(O$3:O$650,ISNUMBER(MATCH(TRIM($B$3:$B$650),TRIM(_xlfn.TEXTSPLIT($N206,",")),0)))),0)&gt;=$E$1,IFERROR(MIN(_xlfn._xlws.FILTER(O$3:O$650,ISNUMBER(MATCH(TRIM($B$3:$B$650),TRIM(_xlfn.TEXTSPLIT($N206,",")),0)))),0)+P206,P206)),IF(TRIM($D206)="EA",IF(TRIM($E206)="M",ROUNDUP(O206*0.85,0),IF(TRIM($E206)="P",O206,P206)),P206))</f>
        <v>29</v>
      </c>
      <c r="T206" t="str" cm="1">
        <f t="array" ref="T206">IFERROR(IF(D206="SET",_xlfn.TEXTJOIN(", ",TRUE,_xlfn._xlws.FILTER(TRANSPOSE(TRIM(_xlfn.TEXTSPLIT(N206,","))),COUNTIFS(B$3:B$650,TRANSPOSE(TRIM(_xlfn.TEXTSPLIT(N206,","))),O$3:O$650,"&lt;="&amp;$T$1))),""),"")</f>
        <v/>
      </c>
    </row>
    <row r="207" spans="1:20" ht="14.4" x14ac:dyDescent="0.3">
      <c r="A207" s="1">
        <v>39243</v>
      </c>
      <c r="B207" s="55" t="s">
        <v>757</v>
      </c>
      <c r="C207" s="1" t="s">
        <v>1262</v>
      </c>
      <c r="D207" s="1" t="s">
        <v>624</v>
      </c>
      <c r="E207" s="1" t="s">
        <v>686</v>
      </c>
      <c r="F207" s="9"/>
      <c r="G207" s="9"/>
      <c r="H207" s="16" t="s">
        <v>67</v>
      </c>
      <c r="I207" s="9" t="b">
        <f t="shared" si="5"/>
        <v>0</v>
      </c>
      <c r="J207" s="1" t="s">
        <v>398</v>
      </c>
      <c r="K207" s="1" t="s">
        <v>274</v>
      </c>
      <c r="L207" s="1" t="s">
        <v>274</v>
      </c>
      <c r="M207" s="9"/>
      <c r="N207" s="35"/>
      <c r="O207" s="24">
        <v>29</v>
      </c>
      <c r="P207" s="2" cm="1">
        <f t="array" ref="P207">_xlfn.XLOOKUP(TRIM(B207),TRIM('[1]wc-product-export-16-3-2026-177'!$A:$A),'[1]wc-product-export-16-3-2026-177'!$D:$D,0,0)</f>
        <v>0</v>
      </c>
      <c r="Q207" s="2" cm="1">
        <f t="array" ref="Q207">IF(TRIM($D207)="SET",IF($K207="Steak Set1",ROUNDDOWN(IFERROR(MIN(_xlfn._xlws.FILTER(O$3:O$650,ISNUMBER(MATCH(TRIM($B$3:$B$650),TRIM(_xlfn.TEXTSPLIT($N207,",")),0)))),0)/4,0)+P207,IF(IFERROR(MIN(_xlfn._xlws.FILTER(O$3:O$650,ISNUMBER(MATCH(TRIM($B$3:$B$650),TRIM(_xlfn.TEXTSPLIT($N207,",")),0)))),0)&gt;=$E$1,IFERROR(MIN(_xlfn._xlws.FILTER(O$3:O$650,ISNUMBER(MATCH(TRIM($B$3:$B$650),TRIM(_xlfn.TEXTSPLIT($N207,",")),0)))),0)+P207,P207)),IF(TRIM($D207)="EA",IF(TRIM($E207)="M",ROUNDUP(O207*0.85,0),IF(TRIM($E207)="P",O207,P207)),P207))</f>
        <v>25</v>
      </c>
      <c r="T207" t="str" cm="1">
        <f t="array" ref="T207">IFERROR(IF(D207="SET",_xlfn.TEXTJOIN(", ",TRUE,_xlfn._xlws.FILTER(TRANSPOSE(TRIM(_xlfn.TEXTSPLIT(N207,","))),COUNTIFS(B$3:B$650,TRANSPOSE(TRIM(_xlfn.TEXTSPLIT(N207,","))),O$3:O$650,"&lt;="&amp;$T$1))),""),"")</f>
        <v/>
      </c>
    </row>
    <row r="208" spans="1:20" ht="14.4" x14ac:dyDescent="0.3">
      <c r="A208" s="1">
        <v>39245</v>
      </c>
      <c r="B208" s="56" t="s">
        <v>758</v>
      </c>
      <c r="C208" s="1" t="s">
        <v>1262</v>
      </c>
      <c r="D208" s="1" t="s">
        <v>624</v>
      </c>
      <c r="E208" s="1" t="s">
        <v>686</v>
      </c>
      <c r="F208" s="9"/>
      <c r="G208" s="9"/>
      <c r="H208" s="16" t="s">
        <v>187</v>
      </c>
      <c r="I208" s="9" t="b">
        <f t="shared" si="5"/>
        <v>0</v>
      </c>
      <c r="J208" s="1" t="s">
        <v>398</v>
      </c>
      <c r="K208" s="1" t="s">
        <v>273</v>
      </c>
      <c r="L208" s="1" t="s">
        <v>1294</v>
      </c>
      <c r="M208" s="9"/>
      <c r="N208" s="35"/>
      <c r="O208" s="24">
        <v>48</v>
      </c>
      <c r="P208" s="2" cm="1">
        <f t="array" ref="P208">_xlfn.XLOOKUP(TRIM(B208),TRIM('[1]wc-product-export-16-3-2026-177'!$A:$A),'[1]wc-product-export-16-3-2026-177'!$D:$D,0,0)</f>
        <v>0</v>
      </c>
      <c r="Q208" s="2" cm="1">
        <f t="array" ref="Q208">IF(TRIM($D208)="SET",IF($K208="Steak Set1",ROUNDDOWN(IFERROR(MIN(_xlfn._xlws.FILTER(O$3:O$650,ISNUMBER(MATCH(TRIM($B$3:$B$650),TRIM(_xlfn.TEXTSPLIT($N208,",")),0)))),0)/4,0)+P208,IF(IFERROR(MIN(_xlfn._xlws.FILTER(O$3:O$650,ISNUMBER(MATCH(TRIM($B$3:$B$650),TRIM(_xlfn.TEXTSPLIT($N208,",")),0)))),0)&gt;=$E$1,IFERROR(MIN(_xlfn._xlws.FILTER(O$3:O$650,ISNUMBER(MATCH(TRIM($B$3:$B$650),TRIM(_xlfn.TEXTSPLIT($N208,",")),0)))),0)+P208,P208)),IF(TRIM($D208)="EA",IF(TRIM($E208)="M",ROUNDUP(O208*0.85,0),IF(TRIM($E208)="P",O208,P208)),P208))</f>
        <v>41</v>
      </c>
      <c r="T208" t="str" cm="1">
        <f t="array" ref="T208">IFERROR(IF(D208="SET",_xlfn.TEXTJOIN(", ",TRUE,_xlfn._xlws.FILTER(TRANSPOSE(TRIM(_xlfn.TEXTSPLIT(N208,","))),COUNTIFS(B$3:B$650,TRANSPOSE(TRIM(_xlfn.TEXTSPLIT(N208,","))),O$3:O$650,"&lt;="&amp;$T$1))),""),"")</f>
        <v/>
      </c>
    </row>
    <row r="209" spans="1:20" ht="14.4" x14ac:dyDescent="0.3">
      <c r="A209" s="1">
        <v>39248</v>
      </c>
      <c r="B209" s="56" t="s">
        <v>759</v>
      </c>
      <c r="C209" s="1" t="s">
        <v>1262</v>
      </c>
      <c r="D209" s="1" t="s">
        <v>624</v>
      </c>
      <c r="E209" s="1" t="s">
        <v>686</v>
      </c>
      <c r="F209" s="9"/>
      <c r="G209" s="9"/>
      <c r="H209" s="16" t="s">
        <v>97</v>
      </c>
      <c r="I209" s="9" t="b">
        <f t="shared" si="5"/>
        <v>0</v>
      </c>
      <c r="J209" s="1" t="s">
        <v>398</v>
      </c>
      <c r="K209" s="1" t="s">
        <v>275</v>
      </c>
      <c r="L209" s="1" t="s">
        <v>1730</v>
      </c>
      <c r="M209" s="9"/>
      <c r="N209" s="35"/>
      <c r="O209" s="24">
        <v>21</v>
      </c>
      <c r="P209" s="2" cm="1">
        <f t="array" ref="P209">_xlfn.XLOOKUP(TRIM(B209),TRIM('[1]wc-product-export-16-3-2026-177'!$A:$A),'[1]wc-product-export-16-3-2026-177'!$D:$D,0,0)</f>
        <v>0</v>
      </c>
      <c r="Q209" s="2" cm="1">
        <f t="array" ref="Q209">IF(TRIM($D209)="SET",IF($K209="Steak Set1",ROUNDDOWN(IFERROR(MIN(_xlfn._xlws.FILTER(O$3:O$650,ISNUMBER(MATCH(TRIM($B$3:$B$650),TRIM(_xlfn.TEXTSPLIT($N209,",")),0)))),0)/4,0)+P209,IF(IFERROR(MIN(_xlfn._xlws.FILTER(O$3:O$650,ISNUMBER(MATCH(TRIM($B$3:$B$650),TRIM(_xlfn.TEXTSPLIT($N209,",")),0)))),0)&gt;=$E$1,IFERROR(MIN(_xlfn._xlws.FILTER(O$3:O$650,ISNUMBER(MATCH(TRIM($B$3:$B$650),TRIM(_xlfn.TEXTSPLIT($N209,",")),0)))),0)+P209,P209)),IF(TRIM($D209)="EA",IF(TRIM($E209)="M",ROUNDUP(O209*0.85,0),IF(TRIM($E209)="P",O209,P209)),P209))</f>
        <v>18</v>
      </c>
      <c r="T209" t="str" cm="1">
        <f t="array" ref="T209">IFERROR(IF(D209="SET",_xlfn.TEXTJOIN(", ",TRUE,_xlfn._xlws.FILTER(TRANSPOSE(TRIM(_xlfn.TEXTSPLIT(N209,","))),COUNTIFS(B$3:B$650,TRANSPOSE(TRIM(_xlfn.TEXTSPLIT(N209,","))),O$3:O$650,"&lt;="&amp;$T$1))),""),"")</f>
        <v/>
      </c>
    </row>
    <row r="210" spans="1:20" ht="14.4" x14ac:dyDescent="0.3">
      <c r="A210" s="1">
        <v>39249</v>
      </c>
      <c r="B210" s="56" t="s">
        <v>760</v>
      </c>
      <c r="C210" s="1" t="s">
        <v>1262</v>
      </c>
      <c r="D210" s="1" t="s">
        <v>624</v>
      </c>
      <c r="E210" s="1" t="s">
        <v>686</v>
      </c>
      <c r="F210" s="9"/>
      <c r="G210" s="9"/>
      <c r="H210" s="16" t="s">
        <v>98</v>
      </c>
      <c r="I210" s="9" t="b">
        <f t="shared" si="5"/>
        <v>0</v>
      </c>
      <c r="J210" s="1" t="s">
        <v>398</v>
      </c>
      <c r="K210" s="1" t="s">
        <v>275</v>
      </c>
      <c r="L210" s="1" t="s">
        <v>1731</v>
      </c>
      <c r="M210" s="9"/>
      <c r="N210" s="35"/>
      <c r="O210" s="24">
        <v>33</v>
      </c>
      <c r="P210" s="2" cm="1">
        <f t="array" ref="P210">_xlfn.XLOOKUP(TRIM(B210),TRIM('[1]wc-product-export-16-3-2026-177'!$A:$A),'[1]wc-product-export-16-3-2026-177'!$D:$D,0,0)</f>
        <v>0</v>
      </c>
      <c r="Q210" s="2" cm="1">
        <f t="array" ref="Q210">IF(TRIM($D210)="SET",IF($K210="Steak Set1",ROUNDDOWN(IFERROR(MIN(_xlfn._xlws.FILTER(O$3:O$650,ISNUMBER(MATCH(TRIM($B$3:$B$650),TRIM(_xlfn.TEXTSPLIT($N210,",")),0)))),0)/4,0)+P210,IF(IFERROR(MIN(_xlfn._xlws.FILTER(O$3:O$650,ISNUMBER(MATCH(TRIM($B$3:$B$650),TRIM(_xlfn.TEXTSPLIT($N210,",")),0)))),0)&gt;=$E$1,IFERROR(MIN(_xlfn._xlws.FILTER(O$3:O$650,ISNUMBER(MATCH(TRIM($B$3:$B$650),TRIM(_xlfn.TEXTSPLIT($N210,",")),0)))),0)+P210,P210)),IF(TRIM($D210)="EA",IF(TRIM($E210)="M",ROUNDUP(O210*0.85,0),IF(TRIM($E210)="P",O210,P210)),P210))</f>
        <v>29</v>
      </c>
      <c r="T210" t="str" cm="1">
        <f t="array" ref="T210">IFERROR(IF(D210="SET",_xlfn.TEXTJOIN(", ",TRUE,_xlfn._xlws.FILTER(TRANSPOSE(TRIM(_xlfn.TEXTSPLIT(N210,","))),COUNTIFS(B$3:B$650,TRANSPOSE(TRIM(_xlfn.TEXTSPLIT(N210,","))),O$3:O$650,"&lt;="&amp;$T$1))),""),"")</f>
        <v/>
      </c>
    </row>
    <row r="211" spans="1:20" ht="14.4" x14ac:dyDescent="0.3">
      <c r="A211" s="1">
        <v>39250</v>
      </c>
      <c r="B211" s="56" t="s">
        <v>761</v>
      </c>
      <c r="C211" s="1" t="s">
        <v>1262</v>
      </c>
      <c r="D211" s="1" t="s">
        <v>624</v>
      </c>
      <c r="E211" s="1" t="s">
        <v>686</v>
      </c>
      <c r="F211" s="9"/>
      <c r="G211" s="9"/>
      <c r="H211" s="16" t="s">
        <v>99</v>
      </c>
      <c r="I211" s="9" t="b">
        <f t="shared" si="5"/>
        <v>0</v>
      </c>
      <c r="J211" s="1" t="s">
        <v>398</v>
      </c>
      <c r="K211" s="1" t="s">
        <v>275</v>
      </c>
      <c r="L211" s="1" t="s">
        <v>1732</v>
      </c>
      <c r="M211" s="9"/>
      <c r="N211" s="35"/>
      <c r="O211" s="24">
        <v>42</v>
      </c>
      <c r="P211" s="2" cm="1">
        <f t="array" ref="P211">_xlfn.XLOOKUP(TRIM(B211),TRIM('[1]wc-product-export-16-3-2026-177'!$A:$A),'[1]wc-product-export-16-3-2026-177'!$D:$D,0,0)</f>
        <v>0</v>
      </c>
      <c r="Q211" s="2" cm="1">
        <f t="array" ref="Q211">IF(TRIM($D211)="SET",IF($K211="Steak Set1",ROUNDDOWN(IFERROR(MIN(_xlfn._xlws.FILTER(O$3:O$650,ISNUMBER(MATCH(TRIM($B$3:$B$650),TRIM(_xlfn.TEXTSPLIT($N211,",")),0)))),0)/4,0)+P211,IF(IFERROR(MIN(_xlfn._xlws.FILTER(O$3:O$650,ISNUMBER(MATCH(TRIM($B$3:$B$650),TRIM(_xlfn.TEXTSPLIT($N211,",")),0)))),0)&gt;=$E$1,IFERROR(MIN(_xlfn._xlws.FILTER(O$3:O$650,ISNUMBER(MATCH(TRIM($B$3:$B$650),TRIM(_xlfn.TEXTSPLIT($N211,",")),0)))),0)+P211,P211)),IF(TRIM($D211)="EA",IF(TRIM($E211)="M",ROUNDUP(O211*0.85,0),IF(TRIM($E211)="P",O211,P211)),P211))</f>
        <v>36</v>
      </c>
      <c r="T211" t="str" cm="1">
        <f t="array" ref="T211">IFERROR(IF(D211="SET",_xlfn.TEXTJOIN(", ",TRUE,_xlfn._xlws.FILTER(TRANSPOSE(TRIM(_xlfn.TEXTSPLIT(N211,","))),COUNTIFS(B$3:B$650,TRANSPOSE(TRIM(_xlfn.TEXTSPLIT(N211,","))),O$3:O$650,"&lt;="&amp;$T$1))),""),"")</f>
        <v/>
      </c>
    </row>
    <row r="212" spans="1:20" ht="14.4" x14ac:dyDescent="0.3">
      <c r="A212" s="1">
        <v>39252</v>
      </c>
      <c r="B212" s="55" t="s">
        <v>762</v>
      </c>
      <c r="C212" s="1" t="s">
        <v>1262</v>
      </c>
      <c r="D212" s="1" t="s">
        <v>624</v>
      </c>
      <c r="E212" s="1" t="s">
        <v>686</v>
      </c>
      <c r="F212" s="9"/>
      <c r="G212" s="9"/>
      <c r="H212" s="16" t="s">
        <v>96</v>
      </c>
      <c r="I212" s="9" t="b">
        <f t="shared" si="5"/>
        <v>0</v>
      </c>
      <c r="J212" s="1" t="s">
        <v>398</v>
      </c>
      <c r="K212" s="1" t="s">
        <v>275</v>
      </c>
      <c r="L212" s="1" t="s">
        <v>1733</v>
      </c>
      <c r="M212" s="9"/>
      <c r="N212" s="35"/>
      <c r="O212" s="24">
        <v>0</v>
      </c>
      <c r="P212" s="2" cm="1">
        <f t="array" ref="P212">_xlfn.XLOOKUP(TRIM(B212),TRIM('[1]wc-product-export-16-3-2026-177'!$A:$A),'[1]wc-product-export-16-3-2026-177'!$D:$D,0,0)</f>
        <v>0</v>
      </c>
      <c r="Q212" s="2" cm="1">
        <f t="array" ref="Q212">IF(TRIM($D212)="SET",IF($K212="Steak Set1",ROUNDDOWN(IFERROR(MIN(_xlfn._xlws.FILTER(O$3:O$650,ISNUMBER(MATCH(TRIM($B$3:$B$650),TRIM(_xlfn.TEXTSPLIT($N212,",")),0)))),0)/4,0)+P212,IF(IFERROR(MIN(_xlfn._xlws.FILTER(O$3:O$650,ISNUMBER(MATCH(TRIM($B$3:$B$650),TRIM(_xlfn.TEXTSPLIT($N212,",")),0)))),0)&gt;=$E$1,IFERROR(MIN(_xlfn._xlws.FILTER(O$3:O$650,ISNUMBER(MATCH(TRIM($B$3:$B$650),TRIM(_xlfn.TEXTSPLIT($N212,",")),0)))),0)+P212,P212)),IF(TRIM($D212)="EA",IF(TRIM($E212)="M",ROUNDUP(O212*0.85,0),IF(TRIM($E212)="P",O212,P212)),P212))</f>
        <v>0</v>
      </c>
      <c r="T212" t="str" cm="1">
        <f t="array" ref="T212">IFERROR(IF(D212="SET",_xlfn.TEXTJOIN(", ",TRUE,_xlfn._xlws.FILTER(TRANSPOSE(TRIM(_xlfn.TEXTSPLIT(N212,","))),COUNTIFS(B$3:B$650,TRANSPOSE(TRIM(_xlfn.TEXTSPLIT(N212,","))),O$3:O$650,"&lt;="&amp;$T$1))),""),"")</f>
        <v/>
      </c>
    </row>
    <row r="213" spans="1:20" ht="14.4" x14ac:dyDescent="0.3">
      <c r="A213" s="1">
        <v>39253</v>
      </c>
      <c r="B213" s="55" t="s">
        <v>763</v>
      </c>
      <c r="C213" s="1" t="s">
        <v>1262</v>
      </c>
      <c r="D213" s="1" t="s">
        <v>624</v>
      </c>
      <c r="E213" s="1" t="s">
        <v>686</v>
      </c>
      <c r="F213" s="9"/>
      <c r="G213" s="9"/>
      <c r="H213" s="16" t="s">
        <v>88</v>
      </c>
      <c r="I213" s="9" t="b">
        <f t="shared" si="5"/>
        <v>0</v>
      </c>
      <c r="J213" s="1" t="s">
        <v>398</v>
      </c>
      <c r="K213" s="1" t="s">
        <v>269</v>
      </c>
      <c r="L213" s="1" t="s">
        <v>1729</v>
      </c>
      <c r="M213" s="9"/>
      <c r="N213" s="35"/>
      <c r="O213" s="24">
        <v>12</v>
      </c>
      <c r="P213" s="2" cm="1">
        <f t="array" ref="P213">_xlfn.XLOOKUP(TRIM(B213),TRIM('[1]wc-product-export-16-3-2026-177'!$A:$A),'[1]wc-product-export-16-3-2026-177'!$D:$D,0,0)</f>
        <v>0</v>
      </c>
      <c r="Q213" s="2" cm="1">
        <f t="array" ref="Q213">IF(TRIM($D213)="SET",IF($K213="Steak Set1",ROUNDDOWN(IFERROR(MIN(_xlfn._xlws.FILTER(O$3:O$650,ISNUMBER(MATCH(TRIM($B$3:$B$650),TRIM(_xlfn.TEXTSPLIT($N213,",")),0)))),0)/4,0)+P213,IF(IFERROR(MIN(_xlfn._xlws.FILTER(O$3:O$650,ISNUMBER(MATCH(TRIM($B$3:$B$650),TRIM(_xlfn.TEXTSPLIT($N213,",")),0)))),0)&gt;=$E$1,IFERROR(MIN(_xlfn._xlws.FILTER(O$3:O$650,ISNUMBER(MATCH(TRIM($B$3:$B$650),TRIM(_xlfn.TEXTSPLIT($N213,",")),0)))),0)+P213,P213)),IF(TRIM($D213)="EA",IF(TRIM($E213)="M",ROUNDUP(O213*0.85,0),IF(TRIM($E213)="P",O213,P213)),P213))</f>
        <v>11</v>
      </c>
      <c r="T213" t="str" cm="1">
        <f t="array" ref="T213">IFERROR(IF(D213="SET",_xlfn.TEXTJOIN(", ",TRUE,_xlfn._xlws.FILTER(TRANSPOSE(TRIM(_xlfn.TEXTSPLIT(N213,","))),COUNTIFS(B$3:B$650,TRANSPOSE(TRIM(_xlfn.TEXTSPLIT(N213,","))),O$3:O$650,"&lt;="&amp;$T$1))),""),"")</f>
        <v/>
      </c>
    </row>
    <row r="214" spans="1:20" ht="14.4" x14ac:dyDescent="0.3">
      <c r="A214" s="1">
        <v>39255</v>
      </c>
      <c r="B214" s="56" t="s">
        <v>764</v>
      </c>
      <c r="C214" s="1" t="s">
        <v>1262</v>
      </c>
      <c r="D214" s="1" t="s">
        <v>624</v>
      </c>
      <c r="E214" s="1" t="s">
        <v>686</v>
      </c>
      <c r="F214" s="9"/>
      <c r="G214" s="9"/>
      <c r="H214" s="16" t="s">
        <v>68</v>
      </c>
      <c r="I214" s="9" t="b">
        <f t="shared" si="5"/>
        <v>0</v>
      </c>
      <c r="J214" s="1" t="s">
        <v>398</v>
      </c>
      <c r="K214" s="1" t="s">
        <v>272</v>
      </c>
      <c r="L214" s="1" t="s">
        <v>272</v>
      </c>
      <c r="M214" s="9"/>
      <c r="N214" s="35"/>
      <c r="O214" s="24">
        <v>22</v>
      </c>
      <c r="P214" s="2" cm="1">
        <f t="array" ref="P214">_xlfn.XLOOKUP(TRIM(B214),TRIM('[1]wc-product-export-16-3-2026-177'!$A:$A),'[1]wc-product-export-16-3-2026-177'!$D:$D,0,0)</f>
        <v>0</v>
      </c>
      <c r="Q214" s="2" cm="1">
        <f t="array" ref="Q214">IF(TRIM($D214)="SET",IF($K214="Steak Set1",ROUNDDOWN(IFERROR(MIN(_xlfn._xlws.FILTER(O$3:O$650,ISNUMBER(MATCH(TRIM($B$3:$B$650),TRIM(_xlfn.TEXTSPLIT($N214,",")),0)))),0)/4,0)+P214,IF(IFERROR(MIN(_xlfn._xlws.FILTER(O$3:O$650,ISNUMBER(MATCH(TRIM($B$3:$B$650),TRIM(_xlfn.TEXTSPLIT($N214,",")),0)))),0)&gt;=$E$1,IFERROR(MIN(_xlfn._xlws.FILTER(O$3:O$650,ISNUMBER(MATCH(TRIM($B$3:$B$650),TRIM(_xlfn.TEXTSPLIT($N214,",")),0)))),0)+P214,P214)),IF(TRIM($D214)="EA",IF(TRIM($E214)="M",ROUNDUP(O214*0.85,0),IF(TRIM($E214)="P",O214,P214)),P214))</f>
        <v>19</v>
      </c>
      <c r="T214" t="str" cm="1">
        <f t="array" ref="T214">IFERROR(IF(D214="SET",_xlfn.TEXTJOIN(", ",TRUE,_xlfn._xlws.FILTER(TRANSPOSE(TRIM(_xlfn.TEXTSPLIT(N214,","))),COUNTIFS(B$3:B$650,TRANSPOSE(TRIM(_xlfn.TEXTSPLIT(N214,","))),O$3:O$650,"&lt;="&amp;$T$1))),""),"")</f>
        <v/>
      </c>
    </row>
    <row r="215" spans="1:20" ht="14.4" x14ac:dyDescent="0.3">
      <c r="A215" s="1">
        <v>39257</v>
      </c>
      <c r="B215" s="55" t="s">
        <v>765</v>
      </c>
      <c r="C215" s="1" t="s">
        <v>1262</v>
      </c>
      <c r="D215" s="1" t="s">
        <v>624</v>
      </c>
      <c r="E215" s="1" t="s">
        <v>686</v>
      </c>
      <c r="F215" s="9"/>
      <c r="G215" s="9"/>
      <c r="H215" s="16" t="s">
        <v>70</v>
      </c>
      <c r="I215" s="9" t="b">
        <f t="shared" si="5"/>
        <v>0</v>
      </c>
      <c r="J215" s="1" t="s">
        <v>398</v>
      </c>
      <c r="K215" s="1" t="s">
        <v>272</v>
      </c>
      <c r="L215" s="1" t="s">
        <v>272</v>
      </c>
      <c r="M215" s="9"/>
      <c r="N215" s="35"/>
      <c r="O215" s="24">
        <v>36</v>
      </c>
      <c r="P215" s="2" cm="1">
        <f t="array" ref="P215">_xlfn.XLOOKUP(TRIM(B215),TRIM('[1]wc-product-export-16-3-2026-177'!$A:$A),'[1]wc-product-export-16-3-2026-177'!$D:$D,0,0)</f>
        <v>0</v>
      </c>
      <c r="Q215" s="2" cm="1">
        <f t="array" ref="Q215">IF(TRIM($D215)="SET",IF($K215="Steak Set1",ROUNDDOWN(IFERROR(MIN(_xlfn._xlws.FILTER(O$3:O$650,ISNUMBER(MATCH(TRIM($B$3:$B$650),TRIM(_xlfn.TEXTSPLIT($N215,",")),0)))),0)/4,0)+P215,IF(IFERROR(MIN(_xlfn._xlws.FILTER(O$3:O$650,ISNUMBER(MATCH(TRIM($B$3:$B$650),TRIM(_xlfn.TEXTSPLIT($N215,",")),0)))),0)&gt;=$E$1,IFERROR(MIN(_xlfn._xlws.FILTER(O$3:O$650,ISNUMBER(MATCH(TRIM($B$3:$B$650),TRIM(_xlfn.TEXTSPLIT($N215,",")),0)))),0)+P215,P215)),IF(TRIM($D215)="EA",IF(TRIM($E215)="M",ROUNDUP(O215*0.85,0),IF(TRIM($E215)="P",O215,P215)),P215))</f>
        <v>31</v>
      </c>
      <c r="T215" t="str" cm="1">
        <f t="array" ref="T215">IFERROR(IF(D215="SET",_xlfn.TEXTJOIN(", ",TRUE,_xlfn._xlws.FILTER(TRANSPOSE(TRIM(_xlfn.TEXTSPLIT(N215,","))),COUNTIFS(B$3:B$650,TRANSPOSE(TRIM(_xlfn.TEXTSPLIT(N215,","))),O$3:O$650,"&lt;="&amp;$T$1))),""),"")</f>
        <v/>
      </c>
    </row>
    <row r="216" spans="1:20" ht="14.4" x14ac:dyDescent="0.3">
      <c r="A216" s="1">
        <v>39258</v>
      </c>
      <c r="B216" s="55" t="s">
        <v>766</v>
      </c>
      <c r="C216" s="1" t="s">
        <v>1262</v>
      </c>
      <c r="D216" s="1" t="s">
        <v>624</v>
      </c>
      <c r="E216" s="1" t="s">
        <v>686</v>
      </c>
      <c r="F216" s="9"/>
      <c r="G216" s="9"/>
      <c r="H216" s="16" t="s">
        <v>198</v>
      </c>
      <c r="I216" s="9" t="b">
        <f t="shared" si="5"/>
        <v>0</v>
      </c>
      <c r="J216" s="1" t="s">
        <v>398</v>
      </c>
      <c r="K216" s="1" t="s">
        <v>269</v>
      </c>
      <c r="L216" s="1" t="s">
        <v>1724</v>
      </c>
      <c r="M216" s="9"/>
      <c r="N216" s="35"/>
      <c r="O216" s="24">
        <v>4</v>
      </c>
      <c r="P216" s="2" cm="1">
        <f t="array" ref="P216">_xlfn.XLOOKUP(TRIM(B216),TRIM('[1]wc-product-export-16-3-2026-177'!$A:$A),'[1]wc-product-export-16-3-2026-177'!$D:$D,0,0)</f>
        <v>0</v>
      </c>
      <c r="Q216" s="2" cm="1">
        <f t="array" ref="Q216">IF(TRIM($D216)="SET",IF($K216="Steak Set1",ROUNDDOWN(IFERROR(MIN(_xlfn._xlws.FILTER(O$3:O$650,ISNUMBER(MATCH(TRIM($B$3:$B$650),TRIM(_xlfn.TEXTSPLIT($N216,",")),0)))),0)/4,0)+P216,IF(IFERROR(MIN(_xlfn._xlws.FILTER(O$3:O$650,ISNUMBER(MATCH(TRIM($B$3:$B$650),TRIM(_xlfn.TEXTSPLIT($N216,",")),0)))),0)&gt;=$E$1,IFERROR(MIN(_xlfn._xlws.FILTER(O$3:O$650,ISNUMBER(MATCH(TRIM($B$3:$B$650),TRIM(_xlfn.TEXTSPLIT($N216,",")),0)))),0)+P216,P216)),IF(TRIM($D216)="EA",IF(TRIM($E216)="M",ROUNDUP(O216*0.85,0),IF(TRIM($E216)="P",O216,P216)),P216))</f>
        <v>4</v>
      </c>
      <c r="T216" t="str" cm="1">
        <f t="array" ref="T216">IFERROR(IF(D216="SET",_xlfn.TEXTJOIN(", ",TRUE,_xlfn._xlws.FILTER(TRANSPOSE(TRIM(_xlfn.TEXTSPLIT(N216,","))),COUNTIFS(B$3:B$650,TRANSPOSE(TRIM(_xlfn.TEXTSPLIT(N216,","))),O$3:O$650,"&lt;="&amp;$T$1))),""),"")</f>
        <v/>
      </c>
    </row>
    <row r="217" spans="1:20" ht="14.4" x14ac:dyDescent="0.3">
      <c r="A217" s="1">
        <v>39259</v>
      </c>
      <c r="B217" s="56" t="s">
        <v>767</v>
      </c>
      <c r="C217" s="1" t="s">
        <v>1262</v>
      </c>
      <c r="D217" s="1" t="s">
        <v>624</v>
      </c>
      <c r="E217" s="1" t="s">
        <v>686</v>
      </c>
      <c r="F217" s="9"/>
      <c r="G217" s="9"/>
      <c r="H217" s="16" t="s">
        <v>86</v>
      </c>
      <c r="I217" s="9" t="b">
        <f t="shared" si="5"/>
        <v>0</v>
      </c>
      <c r="J217" s="1" t="s">
        <v>398</v>
      </c>
      <c r="K217" s="1" t="s">
        <v>273</v>
      </c>
      <c r="L217" s="1" t="s">
        <v>1734</v>
      </c>
      <c r="M217" s="9"/>
      <c r="N217" s="35"/>
      <c r="O217" s="24">
        <v>22</v>
      </c>
      <c r="P217" s="2" cm="1">
        <f t="array" ref="P217">_xlfn.XLOOKUP(TRIM(B217),TRIM('[1]wc-product-export-16-3-2026-177'!$A:$A),'[1]wc-product-export-16-3-2026-177'!$D:$D,0,0)</f>
        <v>0</v>
      </c>
      <c r="Q217" s="2" cm="1">
        <f t="array" ref="Q217">IF(TRIM($D217)="SET",IF($K217="Steak Set1",ROUNDDOWN(IFERROR(MIN(_xlfn._xlws.FILTER(O$3:O$650,ISNUMBER(MATCH(TRIM($B$3:$B$650),TRIM(_xlfn.TEXTSPLIT($N217,",")),0)))),0)/4,0)+P217,IF(IFERROR(MIN(_xlfn._xlws.FILTER(O$3:O$650,ISNUMBER(MATCH(TRIM($B$3:$B$650),TRIM(_xlfn.TEXTSPLIT($N217,",")),0)))),0)&gt;=$E$1,IFERROR(MIN(_xlfn._xlws.FILTER(O$3:O$650,ISNUMBER(MATCH(TRIM($B$3:$B$650),TRIM(_xlfn.TEXTSPLIT($N217,",")),0)))),0)+P217,P217)),IF(TRIM($D217)="EA",IF(TRIM($E217)="M",ROUNDUP(O217*0.85,0),IF(TRIM($E217)="P",O217,P217)),P217))</f>
        <v>19</v>
      </c>
      <c r="T217" t="str" cm="1">
        <f t="array" ref="T217">IFERROR(IF(D217="SET",_xlfn.TEXTJOIN(", ",TRUE,_xlfn._xlws.FILTER(TRANSPOSE(TRIM(_xlfn.TEXTSPLIT(N217,","))),COUNTIFS(B$3:B$650,TRANSPOSE(TRIM(_xlfn.TEXTSPLIT(N217,","))),O$3:O$650,"&lt;="&amp;$T$1))),""),"")</f>
        <v/>
      </c>
    </row>
    <row r="218" spans="1:20" ht="14.4" x14ac:dyDescent="0.3">
      <c r="A218" s="1">
        <v>39260</v>
      </c>
      <c r="B218" s="55" t="s">
        <v>768</v>
      </c>
      <c r="C218" s="1" t="s">
        <v>1262</v>
      </c>
      <c r="D218" s="1" t="s">
        <v>624</v>
      </c>
      <c r="E218" s="1" t="s">
        <v>686</v>
      </c>
      <c r="F218" s="9"/>
      <c r="G218" s="9"/>
      <c r="H218" s="16" t="s">
        <v>261</v>
      </c>
      <c r="I218" s="9" t="b">
        <f t="shared" si="5"/>
        <v>0</v>
      </c>
      <c r="J218" s="1" t="s">
        <v>398</v>
      </c>
      <c r="K218" s="1" t="s">
        <v>276</v>
      </c>
      <c r="L218" s="1" t="s">
        <v>276</v>
      </c>
      <c r="M218" s="9"/>
      <c r="N218" s="35"/>
      <c r="O218" s="24">
        <v>12</v>
      </c>
      <c r="P218" s="2" cm="1">
        <f t="array" ref="P218">_xlfn.XLOOKUP(TRIM(B218),TRIM('[1]wc-product-export-16-3-2026-177'!$A:$A),'[1]wc-product-export-16-3-2026-177'!$D:$D,0,0)</f>
        <v>0</v>
      </c>
      <c r="Q218" s="2" cm="1">
        <f t="array" ref="Q218">IF(TRIM($D218)="SET",IF($K218="Steak Set1",ROUNDDOWN(IFERROR(MIN(_xlfn._xlws.FILTER(O$3:O$650,ISNUMBER(MATCH(TRIM($B$3:$B$650),TRIM(_xlfn.TEXTSPLIT($N218,",")),0)))),0)/4,0)+P218,IF(IFERROR(MIN(_xlfn._xlws.FILTER(O$3:O$650,ISNUMBER(MATCH(TRIM($B$3:$B$650),TRIM(_xlfn.TEXTSPLIT($N218,",")),0)))),0)&gt;=$E$1,IFERROR(MIN(_xlfn._xlws.FILTER(O$3:O$650,ISNUMBER(MATCH(TRIM($B$3:$B$650),TRIM(_xlfn.TEXTSPLIT($N218,",")),0)))),0)+P218,P218)),IF(TRIM($D218)="EA",IF(TRIM($E218)="M",ROUNDUP(O218*0.85,0),IF(TRIM($E218)="P",O218,P218)),P218))</f>
        <v>11</v>
      </c>
      <c r="T218" t="str" cm="1">
        <f t="array" ref="T218">IFERROR(IF(D218="SET",_xlfn.TEXTJOIN(", ",TRUE,_xlfn._xlws.FILTER(TRANSPOSE(TRIM(_xlfn.TEXTSPLIT(N218,","))),COUNTIFS(B$3:B$650,TRANSPOSE(TRIM(_xlfn.TEXTSPLIT(N218,","))),O$3:O$650,"&lt;="&amp;$T$1))),""),"")</f>
        <v/>
      </c>
    </row>
    <row r="219" spans="1:20" ht="14.4" x14ac:dyDescent="0.3">
      <c r="A219" s="1">
        <v>39263</v>
      </c>
      <c r="B219" s="55" t="s">
        <v>769</v>
      </c>
      <c r="C219" s="1" t="s">
        <v>1262</v>
      </c>
      <c r="D219" s="1" t="s">
        <v>628</v>
      </c>
      <c r="E219" s="1" t="s">
        <v>686</v>
      </c>
      <c r="F219" s="9"/>
      <c r="G219" s="9"/>
      <c r="H219" s="16" t="s">
        <v>128</v>
      </c>
      <c r="I219" s="9" t="b">
        <f t="shared" si="5"/>
        <v>0</v>
      </c>
      <c r="J219" s="1" t="s">
        <v>398</v>
      </c>
      <c r="K219" s="1" t="s">
        <v>278</v>
      </c>
      <c r="L219" s="1" t="s">
        <v>1735</v>
      </c>
      <c r="M219" s="9"/>
      <c r="N219" s="35" t="s">
        <v>1593</v>
      </c>
      <c r="O219" s="24">
        <v>7</v>
      </c>
      <c r="P219" s="2" cm="1">
        <f t="array" ref="P219">_xlfn.XLOOKUP(TRIM(B219),TRIM('[1]wc-product-export-16-3-2026-177'!$A:$A),'[1]wc-product-export-16-3-2026-177'!$D:$D,0,0)</f>
        <v>0</v>
      </c>
      <c r="Q219" s="2" cm="1">
        <f t="array" ref="Q219">IF(TRIM($D219)="SET",IF($K219="Steak Set1",ROUNDDOWN(IFERROR(MIN(_xlfn._xlws.FILTER(O$3:O$650,ISNUMBER(MATCH(TRIM($B$3:$B$650),TRIM(_xlfn.TEXTSPLIT($N219,",")),0)))),0)/4,0)+P219,IF(IFERROR(MIN(_xlfn._xlws.FILTER(O$3:O$650,ISNUMBER(MATCH(TRIM($B$3:$B$650),TRIM(_xlfn.TEXTSPLIT($N219,",")),0)))),0)&gt;=$E$1,IFERROR(MIN(_xlfn._xlws.FILTER(O$3:O$650,ISNUMBER(MATCH(TRIM($B$3:$B$650),TRIM(_xlfn.TEXTSPLIT($N219,",")),0)))),0)+P219,P219)),IF(TRIM($D219)="EA",IF(TRIM($E219)="M",ROUNDUP(O219*0.85,0),IF(TRIM($E219)="P",O219,P219)),P219))</f>
        <v>7</v>
      </c>
      <c r="T219" t="str" cm="1">
        <f t="array" ref="T219">IFERROR(IF(D219="SET",_xlfn.TEXTJOIN(", ",TRUE,_xlfn._xlws.FILTER(TRANSPOSE(TRIM(_xlfn.TEXTSPLIT(N219,","))),COUNTIFS(B$3:B$650,TRANSPOSE(TRIM(_xlfn.TEXTSPLIT(N219,","))),O$3:O$650,"&lt;="&amp;$T$1))),""),"")</f>
        <v/>
      </c>
    </row>
    <row r="220" spans="1:20" ht="14.4" x14ac:dyDescent="0.3">
      <c r="A220" s="1">
        <v>39264</v>
      </c>
      <c r="B220" s="55" t="s">
        <v>770</v>
      </c>
      <c r="C220" s="1" t="s">
        <v>1262</v>
      </c>
      <c r="D220" s="1" t="s">
        <v>628</v>
      </c>
      <c r="E220" s="1" t="s">
        <v>686</v>
      </c>
      <c r="F220" s="9"/>
      <c r="G220" s="9"/>
      <c r="H220" s="16" t="s">
        <v>130</v>
      </c>
      <c r="I220" s="9" t="b">
        <f t="shared" si="5"/>
        <v>0</v>
      </c>
      <c r="J220" s="1" t="s">
        <v>398</v>
      </c>
      <c r="K220" s="1" t="s">
        <v>278</v>
      </c>
      <c r="L220" s="1" t="s">
        <v>1736</v>
      </c>
      <c r="M220" s="9"/>
      <c r="N220" s="35" t="s">
        <v>1589</v>
      </c>
      <c r="O220" s="24">
        <v>11</v>
      </c>
      <c r="P220" s="2" cm="1">
        <f t="array" ref="P220">_xlfn.XLOOKUP(TRIM(B220),TRIM('[1]wc-product-export-16-3-2026-177'!$A:$A),'[1]wc-product-export-16-3-2026-177'!$D:$D,0,0)</f>
        <v>0</v>
      </c>
      <c r="Q220" s="2" cm="1">
        <f t="array" ref="Q220">IF(TRIM($D220)="SET",IF($K220="Steak Set1",ROUNDDOWN(IFERROR(MIN(_xlfn._xlws.FILTER(O$3:O$650,ISNUMBER(MATCH(TRIM($B$3:$B$650),TRIM(_xlfn.TEXTSPLIT($N220,",")),0)))),0)/4,0)+P220,IF(IFERROR(MIN(_xlfn._xlws.FILTER(O$3:O$650,ISNUMBER(MATCH(TRIM($B$3:$B$650),TRIM(_xlfn.TEXTSPLIT($N220,",")),0)))),0)&gt;=$E$1,IFERROR(MIN(_xlfn._xlws.FILTER(O$3:O$650,ISNUMBER(MATCH(TRIM($B$3:$B$650),TRIM(_xlfn.TEXTSPLIT($N220,",")),0)))),0)+P220,P220)),IF(TRIM($D220)="EA",IF(TRIM($E220)="M",ROUNDUP(O220*0.85,0),IF(TRIM($E220)="P",O220,P220)),P220))</f>
        <v>11</v>
      </c>
      <c r="T220" t="str" cm="1">
        <f t="array" ref="T220">IFERROR(IF(D220="SET",_xlfn.TEXTJOIN(", ",TRUE,_xlfn._xlws.FILTER(TRANSPOSE(TRIM(_xlfn.TEXTSPLIT(N220,","))),COUNTIFS(B$3:B$650,TRANSPOSE(TRIM(_xlfn.TEXTSPLIT(N220,","))),O$3:O$650,"&lt;="&amp;$T$1))),""),"")</f>
        <v/>
      </c>
    </row>
    <row r="221" spans="1:20" ht="14.4" x14ac:dyDescent="0.3">
      <c r="A221" s="1">
        <v>39268</v>
      </c>
      <c r="B221" s="55" t="s">
        <v>771</v>
      </c>
      <c r="C221" s="1" t="s">
        <v>1262</v>
      </c>
      <c r="D221" s="1" t="s">
        <v>628</v>
      </c>
      <c r="E221" s="1" t="s">
        <v>686</v>
      </c>
      <c r="F221" s="9"/>
      <c r="G221" s="9"/>
      <c r="H221" s="16" t="s">
        <v>1290</v>
      </c>
      <c r="I221" s="9" t="b">
        <f t="shared" si="5"/>
        <v>0</v>
      </c>
      <c r="J221" s="1" t="s">
        <v>398</v>
      </c>
      <c r="K221" s="1" t="s">
        <v>1712</v>
      </c>
      <c r="L221" s="1" t="s">
        <v>1737</v>
      </c>
      <c r="M221" s="9"/>
      <c r="N221" s="35" t="s">
        <v>747</v>
      </c>
      <c r="O221" s="24">
        <v>27</v>
      </c>
      <c r="P221" s="2" cm="1">
        <f t="array" ref="P221">_xlfn.XLOOKUP(TRIM(B221),TRIM('[1]wc-product-export-16-3-2026-177'!$A:$A),'[1]wc-product-export-16-3-2026-177'!$D:$D,0,0)</f>
        <v>27</v>
      </c>
      <c r="Q221" s="2" cm="1">
        <f t="array" ref="Q221">IF(TRIM($D221)="SET",IF($K221="Steak Set1",ROUNDDOWN(IFERROR(MIN(_xlfn._xlws.FILTER(O$3:O$650,ISNUMBER(MATCH(TRIM($B$3:$B$650),TRIM(_xlfn.TEXTSPLIT($N221,",")),0)))),0)/4,0)+P221,IF(IFERROR(MIN(_xlfn._xlws.FILTER(O$3:O$650,ISNUMBER(MATCH(TRIM($B$3:$B$650),TRIM(_xlfn.TEXTSPLIT($N221,",")),0)))),0)&gt;=$E$1,IFERROR(MIN(_xlfn._xlws.FILTER(O$3:O$650,ISNUMBER(MATCH(TRIM($B$3:$B$650),TRIM(_xlfn.TEXTSPLIT($N221,",")),0)))),0)+P221,P221)),IF(TRIM($D221)="EA",IF(TRIM($E221)="M",ROUNDUP(O221*0.85,0),IF(TRIM($E221)="P",O221,P221)),P221))</f>
        <v>27</v>
      </c>
      <c r="T221" t="str" cm="1">
        <f t="array" ref="T221">IFERROR(IF(D221="SET",_xlfn.TEXTJOIN(", ",TRUE,_xlfn._xlws.FILTER(TRANSPOSE(TRIM(_xlfn.TEXTSPLIT(N221,","))),COUNTIFS(B$3:B$650,TRANSPOSE(TRIM(_xlfn.TEXTSPLIT(N221,","))),O$3:O$650,"&lt;="&amp;$T$1))),""),"")</f>
        <v>39220</v>
      </c>
    </row>
    <row r="222" spans="1:20" ht="14.4" x14ac:dyDescent="0.3">
      <c r="A222" s="1">
        <v>39269</v>
      </c>
      <c r="B222" s="55" t="s">
        <v>772</v>
      </c>
      <c r="C222" s="1" t="s">
        <v>1262</v>
      </c>
      <c r="D222" s="1" t="s">
        <v>628</v>
      </c>
      <c r="E222" s="1" t="s">
        <v>686</v>
      </c>
      <c r="F222" s="9"/>
      <c r="G222" s="9"/>
      <c r="H222" s="16" t="s">
        <v>180</v>
      </c>
      <c r="I222" s="9" t="b">
        <f t="shared" si="5"/>
        <v>0</v>
      </c>
      <c r="J222" s="1" t="s">
        <v>398</v>
      </c>
      <c r="K222" s="1" t="s">
        <v>277</v>
      </c>
      <c r="L222" s="1" t="s">
        <v>1738</v>
      </c>
      <c r="M222" s="9"/>
      <c r="N222" s="35" t="s">
        <v>1597</v>
      </c>
      <c r="O222" s="24">
        <v>13</v>
      </c>
      <c r="P222" s="2" cm="1">
        <f t="array" ref="P222">_xlfn.XLOOKUP(TRIM(B222),TRIM('[1]wc-product-export-16-3-2026-177'!$A:$A),'[1]wc-product-export-16-3-2026-177'!$D:$D,0,0)</f>
        <v>1</v>
      </c>
      <c r="Q222" s="2" cm="1">
        <f t="array" ref="Q222">IF(TRIM($D222)="SET",IF($K222="Steak Set1",ROUNDDOWN(IFERROR(MIN(_xlfn._xlws.FILTER(O$3:O$650,ISNUMBER(MATCH(TRIM($B$3:$B$650),TRIM(_xlfn.TEXTSPLIT($N222,",")),0)))),0)/4,0)+P222,IF(IFERROR(MIN(_xlfn._xlws.FILTER(O$3:O$650,ISNUMBER(MATCH(TRIM($B$3:$B$650),TRIM(_xlfn.TEXTSPLIT($N222,",")),0)))),0)&gt;=$E$1,IFERROR(MIN(_xlfn._xlws.FILTER(O$3:O$650,ISNUMBER(MATCH(TRIM($B$3:$B$650),TRIM(_xlfn.TEXTSPLIT($N222,",")),0)))),0)+P222,P222)),IF(TRIM($D222)="EA",IF(TRIM($E222)="M",ROUNDUP(O222*0.85,0),IF(TRIM($E222)="P",O222,P222)),P222))</f>
        <v>13</v>
      </c>
      <c r="T222" t="str" cm="1">
        <f t="array" ref="T222">IFERROR(IF(D222="SET",_xlfn.TEXTJOIN(", ",TRUE,_xlfn._xlws.FILTER(TRANSPOSE(TRIM(_xlfn.TEXTSPLIT(N222,","))),COUNTIFS(B$3:B$650,TRANSPOSE(TRIM(_xlfn.TEXTSPLIT(N222,","))),O$3:O$650,"&lt;="&amp;$T$1))),""),"")</f>
        <v/>
      </c>
    </row>
    <row r="223" spans="1:20" ht="14.4" x14ac:dyDescent="0.3">
      <c r="A223" s="1">
        <v>39273</v>
      </c>
      <c r="B223" s="55" t="s">
        <v>773</v>
      </c>
      <c r="C223" s="1" t="s">
        <v>1262</v>
      </c>
      <c r="D223" s="1" t="s">
        <v>628</v>
      </c>
      <c r="E223" s="1" t="s">
        <v>686</v>
      </c>
      <c r="F223" s="9"/>
      <c r="G223" s="9"/>
      <c r="H223" s="16" t="s">
        <v>129</v>
      </c>
      <c r="I223" s="9" t="b">
        <f t="shared" si="5"/>
        <v>0</v>
      </c>
      <c r="J223" s="1" t="s">
        <v>398</v>
      </c>
      <c r="K223" s="1" t="s">
        <v>278</v>
      </c>
      <c r="L223" s="1" t="s">
        <v>1735</v>
      </c>
      <c r="M223" s="9"/>
      <c r="N223" s="35" t="s">
        <v>1594</v>
      </c>
      <c r="O223" s="24">
        <v>19</v>
      </c>
      <c r="P223" s="2" cm="1">
        <f t="array" ref="P223">_xlfn.XLOOKUP(TRIM(B223),TRIM('[1]wc-product-export-16-3-2026-177'!$A:$A),'[1]wc-product-export-16-3-2026-177'!$D:$D,0,0)</f>
        <v>0</v>
      </c>
      <c r="Q223" s="2" cm="1">
        <f t="array" ref="Q223">IF(TRIM($D223)="SET",IF($K223="Steak Set1",ROUNDDOWN(IFERROR(MIN(_xlfn._xlws.FILTER(O$3:O$650,ISNUMBER(MATCH(TRIM($B$3:$B$650),TRIM(_xlfn.TEXTSPLIT($N223,",")),0)))),0)/4,0)+P223,IF(IFERROR(MIN(_xlfn._xlws.FILTER(O$3:O$650,ISNUMBER(MATCH(TRIM($B$3:$B$650),TRIM(_xlfn.TEXTSPLIT($N223,",")),0)))),0)&gt;=$E$1,IFERROR(MIN(_xlfn._xlws.FILTER(O$3:O$650,ISNUMBER(MATCH(TRIM($B$3:$B$650),TRIM(_xlfn.TEXTSPLIT($N223,",")),0)))),0)+P223,P223)),IF(TRIM($D223)="EA",IF(TRIM($E223)="M",ROUNDUP(O223*0.85,0),IF(TRIM($E223)="P",O223,P223)),P223))</f>
        <v>19</v>
      </c>
      <c r="T223" t="str" cm="1">
        <f t="array" ref="T223">IFERROR(IF(D223="SET",_xlfn.TEXTJOIN(", ",TRUE,_xlfn._xlws.FILTER(TRANSPOSE(TRIM(_xlfn.TEXTSPLIT(N223,","))),COUNTIFS(B$3:B$650,TRANSPOSE(TRIM(_xlfn.TEXTSPLIT(N223,","))),O$3:O$650,"&lt;="&amp;$T$1))),""),"")</f>
        <v/>
      </c>
    </row>
    <row r="224" spans="1:20" ht="14.4" x14ac:dyDescent="0.3">
      <c r="A224" s="1">
        <v>39274</v>
      </c>
      <c r="B224" s="55" t="s">
        <v>774</v>
      </c>
      <c r="C224" s="1" t="s">
        <v>1262</v>
      </c>
      <c r="D224" s="1" t="s">
        <v>628</v>
      </c>
      <c r="E224" s="1" t="s">
        <v>686</v>
      </c>
      <c r="F224" s="9"/>
      <c r="G224" s="9"/>
      <c r="H224" s="16" t="s">
        <v>264</v>
      </c>
      <c r="I224" s="9" t="b">
        <f t="shared" si="5"/>
        <v>0</v>
      </c>
      <c r="J224" s="1" t="s">
        <v>398</v>
      </c>
      <c r="K224" s="1" t="s">
        <v>277</v>
      </c>
      <c r="L224" s="1" t="s">
        <v>1739</v>
      </c>
      <c r="M224" s="9"/>
      <c r="N224" s="35" t="s">
        <v>1598</v>
      </c>
      <c r="O224" s="24">
        <v>17</v>
      </c>
      <c r="P224" s="2" cm="1">
        <f t="array" ref="P224">_xlfn.XLOOKUP(TRIM(B224),TRIM('[1]wc-product-export-16-3-2026-177'!$A:$A),'[1]wc-product-export-16-3-2026-177'!$D:$D,0,0)</f>
        <v>5</v>
      </c>
      <c r="Q224" s="2" cm="1">
        <f t="array" ref="Q224">IF(TRIM($D224)="SET",IF($K224="Steak Set1",ROUNDDOWN(IFERROR(MIN(_xlfn._xlws.FILTER(O$3:O$650,ISNUMBER(MATCH(TRIM($B$3:$B$650),TRIM(_xlfn.TEXTSPLIT($N224,",")),0)))),0)/4,0)+P224,IF(IFERROR(MIN(_xlfn._xlws.FILTER(O$3:O$650,ISNUMBER(MATCH(TRIM($B$3:$B$650),TRIM(_xlfn.TEXTSPLIT($N224,",")),0)))),0)&gt;=$E$1,IFERROR(MIN(_xlfn._xlws.FILTER(O$3:O$650,ISNUMBER(MATCH(TRIM($B$3:$B$650),TRIM(_xlfn.TEXTSPLIT($N224,",")),0)))),0)+P224,P224)),IF(TRIM($D224)="EA",IF(TRIM($E224)="M",ROUNDUP(O224*0.85,0),IF(TRIM($E224)="P",O224,P224)),P224))</f>
        <v>17</v>
      </c>
      <c r="T224" t="str" cm="1">
        <f t="array" ref="T224">IFERROR(IF(D224="SET",_xlfn.TEXTJOIN(", ",TRUE,_xlfn._xlws.FILTER(TRANSPOSE(TRIM(_xlfn.TEXTSPLIT(N224,","))),COUNTIFS(B$3:B$650,TRANSPOSE(TRIM(_xlfn.TEXTSPLIT(N224,","))),O$3:O$650,"&lt;="&amp;$T$1))),""),"")</f>
        <v/>
      </c>
    </row>
    <row r="225" spans="1:20" ht="14.4" x14ac:dyDescent="0.3">
      <c r="A225" s="1">
        <v>39283</v>
      </c>
      <c r="B225" s="55" t="s">
        <v>775</v>
      </c>
      <c r="C225" s="1" t="s">
        <v>1262</v>
      </c>
      <c r="D225" s="1" t="s">
        <v>628</v>
      </c>
      <c r="E225" s="1" t="s">
        <v>686</v>
      </c>
      <c r="F225" s="9"/>
      <c r="G225" s="9"/>
      <c r="H225" s="16" t="s">
        <v>551</v>
      </c>
      <c r="I225" s="9" t="b">
        <f t="shared" si="5"/>
        <v>0</v>
      </c>
      <c r="J225" s="1" t="s">
        <v>398</v>
      </c>
      <c r="K225" s="1" t="s">
        <v>1715</v>
      </c>
      <c r="L225" s="1" t="s">
        <v>1715</v>
      </c>
      <c r="M225" s="9"/>
      <c r="N225" s="35" t="s">
        <v>1583</v>
      </c>
      <c r="O225" s="24">
        <v>8</v>
      </c>
      <c r="P225" s="2" cm="1">
        <f t="array" ref="P225">_xlfn.XLOOKUP(TRIM(B225),TRIM('[1]wc-product-export-16-3-2026-177'!$A:$A),'[1]wc-product-export-16-3-2026-177'!$D:$D,0,0)</f>
        <v>1</v>
      </c>
      <c r="Q225" s="2" cm="1">
        <f t="array" ref="Q225">IF(TRIM($D225)="SET",IF($K225="Steak Set1",ROUNDDOWN(IFERROR(MIN(_xlfn._xlws.FILTER(O$3:O$650,ISNUMBER(MATCH(TRIM($B$3:$B$650),TRIM(_xlfn.TEXTSPLIT($N225,",")),0)))),0)/4,0)+P225,IF(IFERROR(MIN(_xlfn._xlws.FILTER(O$3:O$650,ISNUMBER(MATCH(TRIM($B$3:$B$650),TRIM(_xlfn.TEXTSPLIT($N225,",")),0)))),0)&gt;=$E$1,IFERROR(MIN(_xlfn._xlws.FILTER(O$3:O$650,ISNUMBER(MATCH(TRIM($B$3:$B$650),TRIM(_xlfn.TEXTSPLIT($N225,",")),0)))),0)+P225,P225)),IF(TRIM($D225)="EA",IF(TRIM($E225)="M",ROUNDUP(O225*0.85,0),IF(TRIM($E225)="P",O225,P225)),P225))</f>
        <v>8</v>
      </c>
      <c r="T225" t="str" cm="1">
        <f t="array" ref="T225">IFERROR(IF(D225="SET",_xlfn.TEXTJOIN(", ",TRUE,_xlfn._xlws.FILTER(TRANSPOSE(TRIM(_xlfn.TEXTSPLIT(N225,","))),COUNTIFS(B$3:B$650,TRANSPOSE(TRIM(_xlfn.TEXTSPLIT(N225,","))),O$3:O$650,"&lt;="&amp;$T$1))),""),"")</f>
        <v/>
      </c>
    </row>
    <row r="226" spans="1:20" ht="14.4" x14ac:dyDescent="0.3">
      <c r="A226" s="1">
        <v>39284</v>
      </c>
      <c r="B226" s="55" t="s">
        <v>776</v>
      </c>
      <c r="C226" s="1" t="s">
        <v>1262</v>
      </c>
      <c r="D226" s="1" t="s">
        <v>628</v>
      </c>
      <c r="E226" s="1" t="s">
        <v>686</v>
      </c>
      <c r="F226" s="9"/>
      <c r="G226" s="9"/>
      <c r="H226" s="16" t="s">
        <v>552</v>
      </c>
      <c r="I226" s="9" t="b">
        <f t="shared" si="5"/>
        <v>0</v>
      </c>
      <c r="J226" s="1" t="s">
        <v>398</v>
      </c>
      <c r="K226" s="1" t="s">
        <v>1716</v>
      </c>
      <c r="L226" s="1" t="s">
        <v>1716</v>
      </c>
      <c r="M226" s="9"/>
      <c r="N226" s="35" t="s">
        <v>1573</v>
      </c>
      <c r="O226" s="24">
        <v>7</v>
      </c>
      <c r="P226" s="2" cm="1">
        <f t="array" ref="P226">_xlfn.XLOOKUP(TRIM(B226),TRIM('[1]wc-product-export-16-3-2026-177'!$A:$A),'[1]wc-product-export-16-3-2026-177'!$D:$D,0,0)</f>
        <v>0</v>
      </c>
      <c r="Q226" s="2" cm="1">
        <f t="array" ref="Q226">IF(TRIM($D226)="SET",IF($K226="Steak Set1",ROUNDDOWN(IFERROR(MIN(_xlfn._xlws.FILTER(O$3:O$650,ISNUMBER(MATCH(TRIM($B$3:$B$650),TRIM(_xlfn.TEXTSPLIT($N226,",")),0)))),0)/4,0)+P226,IF(IFERROR(MIN(_xlfn._xlws.FILTER(O$3:O$650,ISNUMBER(MATCH(TRIM($B$3:$B$650),TRIM(_xlfn.TEXTSPLIT($N226,",")),0)))),0)&gt;=$E$1,IFERROR(MIN(_xlfn._xlws.FILTER(O$3:O$650,ISNUMBER(MATCH(TRIM($B$3:$B$650),TRIM(_xlfn.TEXTSPLIT($N226,",")),0)))),0)+P226,P226)),IF(TRIM($D226)="EA",IF(TRIM($E226)="M",ROUNDUP(O226*0.85,0),IF(TRIM($E226)="P",O226,P226)),P226))</f>
        <v>7</v>
      </c>
      <c r="T226" t="str" cm="1">
        <f t="array" ref="T226">IFERROR(IF(D226="SET",_xlfn.TEXTJOIN(", ",TRUE,_xlfn._xlws.FILTER(TRANSPOSE(TRIM(_xlfn.TEXTSPLIT(N226,","))),COUNTIFS(B$3:B$650,TRANSPOSE(TRIM(_xlfn.TEXTSPLIT(N226,","))),O$3:O$650,"&lt;="&amp;$T$1))),""),"")</f>
        <v/>
      </c>
    </row>
    <row r="227" spans="1:20" ht="24" x14ac:dyDescent="0.3">
      <c r="A227" s="1">
        <v>39285</v>
      </c>
      <c r="B227" s="55" t="s">
        <v>777</v>
      </c>
      <c r="C227" s="1" t="s">
        <v>1262</v>
      </c>
      <c r="D227" s="1" t="s">
        <v>628</v>
      </c>
      <c r="E227" s="1" t="s">
        <v>686</v>
      </c>
      <c r="F227" s="9" t="s">
        <v>1608</v>
      </c>
      <c r="G227" s="9"/>
      <c r="H227" s="16" t="s">
        <v>579</v>
      </c>
      <c r="I227" s="9" t="b">
        <f t="shared" si="5"/>
        <v>0</v>
      </c>
      <c r="J227" s="1" t="s">
        <v>398</v>
      </c>
      <c r="K227" s="1" t="s">
        <v>1714</v>
      </c>
      <c r="L227" s="1" t="s">
        <v>1720</v>
      </c>
      <c r="M227" s="9">
        <v>2</v>
      </c>
      <c r="N227" s="35" t="s">
        <v>1574</v>
      </c>
      <c r="O227" s="24">
        <v>0</v>
      </c>
      <c r="P227" s="2" cm="1">
        <f t="array" ref="P227">_xlfn.XLOOKUP(TRIM(B227),TRIM('[1]wc-product-export-16-3-2026-177'!$A:$A),'[1]wc-product-export-16-3-2026-177'!$D:$D,0,0)</f>
        <v>0</v>
      </c>
      <c r="Q227" s="66" cm="1">
        <f t="array" ref="Q227">_xlfn.LET(_xlpm.items,TRIM(_xlfn.TEXTSPLIT($N227,",")),_xlpm.codes,TRIM($B$3:$B$650),_xlpm.qty,$O$3:$O$650,_xlpm.setMask,ISNUMBER(MATCH(_xlpm.codes,_xlpm.items,0)),_xlpm.knifeType,IF(ISNUMBER(SEARCH("fine",$H227)),"15",IF(ISNUMBER(SEARCH("serr",$H227)),"20","")),_xlpm.knifeStock,IFERROR(MIN(IF(_xlpm.setMask*(RIGHT(_xlpm.codes,2)=_xlpm.knifeType),_xlpm.qty)),0),_xlpm.otherStock,IFERROR(MIN(IF(_xlpm.setMask*(RIGHT(_xlpm.codes,2)&lt;&gt;_xlpm.knifeType),_xlpm.qty)),0),IF(_xlpm.knifeStock&gt;=8,MIN(ROUNDDOWN(_xlpm.knifeStock/8,0),_xlpm.otherStock),0)+P227)</f>
        <v>0</v>
      </c>
      <c r="T227" t="str" cm="1">
        <f t="array" ref="T227">IFERROR(IF(D227="SET",_xlfn.TEXTJOIN(", ",TRUE,_xlfn._xlws.FILTER(TRANSPOSE(TRIM(_xlfn.TEXTSPLIT(N227,","))),COUNTIFS(B$3:B$650,TRANSPOSE(TRIM(_xlfn.TEXTSPLIT(N227,","))),O$3:O$650,"&lt;="&amp;$T$1))),""),"")</f>
        <v>39220</v>
      </c>
    </row>
    <row r="228" spans="1:20" ht="24" x14ac:dyDescent="0.3">
      <c r="A228" s="1">
        <v>39286</v>
      </c>
      <c r="B228" s="55" t="s">
        <v>778</v>
      </c>
      <c r="C228" s="1" t="s">
        <v>1262</v>
      </c>
      <c r="D228" s="1" t="s">
        <v>628</v>
      </c>
      <c r="E228" s="1" t="s">
        <v>686</v>
      </c>
      <c r="F228" s="9" t="s">
        <v>1608</v>
      </c>
      <c r="G228" s="9"/>
      <c r="H228" s="16" t="s">
        <v>553</v>
      </c>
      <c r="I228" s="9" t="b">
        <f t="shared" si="5"/>
        <v>0</v>
      </c>
      <c r="J228" s="1" t="s">
        <v>398</v>
      </c>
      <c r="K228" s="1" t="s">
        <v>1714</v>
      </c>
      <c r="L228" s="1" t="s">
        <v>1720</v>
      </c>
      <c r="M228" s="9">
        <v>2</v>
      </c>
      <c r="N228" s="35" t="s">
        <v>1582</v>
      </c>
      <c r="O228" s="24">
        <v>0</v>
      </c>
      <c r="P228" s="2" cm="1">
        <f t="array" ref="P228">_xlfn.XLOOKUP(TRIM(B228),TRIM('[1]wc-product-export-16-3-2026-177'!$A:$A),'[1]wc-product-export-16-3-2026-177'!$D:$D,0,0)</f>
        <v>0</v>
      </c>
      <c r="Q228" s="66" cm="1">
        <f t="array" ref="Q228">_xlfn.LET(_xlpm.items,TRIM(_xlfn.TEXTSPLIT($N228,",")),_xlpm.codes,TRIM($B$3:$B$650),_xlpm.qty,$O$3:$O$650,_xlpm.setMask,ISNUMBER(MATCH(_xlpm.codes,_xlpm.items,0)),_xlpm.knifeType,IF(ISNUMBER(SEARCH("fine",$H228)),"15",IF(ISNUMBER(SEARCH("serr",$H228)),"20","")),_xlpm.knifeStock,IFERROR(MIN(IF(_xlpm.setMask*(RIGHT(_xlpm.codes,2)=_xlpm.knifeType),_xlpm.qty)),0),_xlpm.otherStock,IFERROR(MIN(IF(_xlpm.setMask*(RIGHT(_xlpm.codes,2)&lt;&gt;_xlpm.knifeType),_xlpm.qty)),0),IF(_xlpm.knifeStock&gt;=8,MIN(ROUNDDOWN(_xlpm.knifeStock/8,0),_xlpm.otherStock),0)+P228)</f>
        <v>0</v>
      </c>
      <c r="T228" t="str" cm="1">
        <f t="array" ref="T228">IFERROR(IF(D228="SET",_xlfn.TEXTJOIN(", ",TRUE,_xlfn._xlws.FILTER(TRANSPOSE(TRIM(_xlfn.TEXTSPLIT(N228,","))),COUNTIFS(B$3:B$650,TRANSPOSE(TRIM(_xlfn.TEXTSPLIT(N228,","))),O$3:O$650,"&lt;="&amp;$T$1))),""),"")</f>
        <v>39215</v>
      </c>
    </row>
    <row r="229" spans="1:20" ht="24" x14ac:dyDescent="0.3">
      <c r="A229" s="1">
        <v>39287</v>
      </c>
      <c r="B229" s="55" t="s">
        <v>779</v>
      </c>
      <c r="C229" s="1" t="s">
        <v>1262</v>
      </c>
      <c r="D229" s="1" t="s">
        <v>628</v>
      </c>
      <c r="E229" s="1" t="s">
        <v>686</v>
      </c>
      <c r="F229" s="9" t="s">
        <v>1608</v>
      </c>
      <c r="G229" s="9"/>
      <c r="H229" s="16" t="s">
        <v>580</v>
      </c>
      <c r="I229" s="9" t="b">
        <f t="shared" si="5"/>
        <v>0</v>
      </c>
      <c r="J229" s="1" t="s">
        <v>398</v>
      </c>
      <c r="K229" s="1" t="s">
        <v>1714</v>
      </c>
      <c r="L229" s="1" t="s">
        <v>1719</v>
      </c>
      <c r="M229" s="9">
        <v>2</v>
      </c>
      <c r="N229" s="35" t="s">
        <v>1581</v>
      </c>
      <c r="O229" s="24">
        <v>0</v>
      </c>
      <c r="P229" s="2" cm="1">
        <f t="array" ref="P229">_xlfn.XLOOKUP(TRIM(B229),TRIM('[1]wc-product-export-16-3-2026-177'!$A:$A),'[1]wc-product-export-16-3-2026-177'!$D:$D,0,0)</f>
        <v>0</v>
      </c>
      <c r="Q229" s="66" cm="1">
        <f t="array" ref="Q229">_xlfn.LET(_xlpm.items,TRIM(_xlfn.TEXTSPLIT($N229,",")),_xlpm.codes,TRIM($B$3:$B$650),_xlpm.qty,$O$3:$O$650,_xlpm.setMask,ISNUMBER(MATCH(_xlpm.codes,_xlpm.items,0)),_xlpm.knifeType,IF(ISNUMBER(SEARCH("fine",$H229)),"15",IF(ISNUMBER(SEARCH("serr",$H229)),"20","")),_xlpm.knifeStock,IFERROR(MIN(IF(_xlpm.setMask*(RIGHT(_xlpm.codes,2)=_xlpm.knifeType),_xlpm.qty)),0),_xlpm.otherStock,IFERROR(MIN(IF(_xlpm.setMask*(RIGHT(_xlpm.codes,2)&lt;&gt;_xlpm.knifeType),_xlpm.qty)),0),IF(_xlpm.knifeStock&gt;=8,MIN(ROUNDDOWN(_xlpm.knifeStock/8,0),_xlpm.otherStock),0)+P229)</f>
        <v>0</v>
      </c>
      <c r="T229" t="str" cm="1">
        <f t="array" ref="T229">IFERROR(IF(D229="SET",_xlfn.TEXTJOIN(", ",TRUE,_xlfn._xlws.FILTER(TRANSPOSE(TRIM(_xlfn.TEXTSPLIT(N229,","))),COUNTIFS(B$3:B$650,TRANSPOSE(TRIM(_xlfn.TEXTSPLIT(N229,","))),O$3:O$650,"&lt;="&amp;$T$1))),""),"")</f>
        <v>39238, 39258, 39220</v>
      </c>
    </row>
    <row r="230" spans="1:20" ht="24" x14ac:dyDescent="0.3">
      <c r="A230" s="1">
        <v>39288</v>
      </c>
      <c r="B230" s="55" t="s">
        <v>780</v>
      </c>
      <c r="C230" s="1" t="s">
        <v>1262</v>
      </c>
      <c r="D230" s="1" t="s">
        <v>628</v>
      </c>
      <c r="E230" s="1" t="s">
        <v>686</v>
      </c>
      <c r="F230" s="9"/>
      <c r="G230" s="9"/>
      <c r="H230" s="16" t="s">
        <v>554</v>
      </c>
      <c r="I230" s="9" t="b">
        <f t="shared" si="5"/>
        <v>0</v>
      </c>
      <c r="J230" s="1" t="s">
        <v>398</v>
      </c>
      <c r="K230" s="1" t="s">
        <v>1714</v>
      </c>
      <c r="L230" s="1" t="s">
        <v>1719</v>
      </c>
      <c r="M230" s="9">
        <v>2</v>
      </c>
      <c r="N230" s="35" t="s">
        <v>1705</v>
      </c>
      <c r="O230" s="24">
        <v>0</v>
      </c>
      <c r="P230" s="2" cm="1">
        <f t="array" ref="P230">_xlfn.XLOOKUP(TRIM(B230),TRIM('[1]wc-product-export-16-3-2026-177'!$A:$A),'[1]wc-product-export-16-3-2026-177'!$D:$D,0,0)</f>
        <v>0</v>
      </c>
      <c r="Q230" s="66" cm="1">
        <f t="array" ref="Q230">_xlfn.LET(_xlpm.items,TRIM(_xlfn.TEXTSPLIT($N230,",")),_xlpm.codes,TRIM($B$3:$B$650),_xlpm.qty,$O$3:$O$650,_xlpm.setMask,ISNUMBER(MATCH(_xlpm.codes,_xlpm.items,0)),_xlpm.knifeType,IF(ISNUMBER(SEARCH("fine",$H230)),"15",IF(ISNUMBER(SEARCH("serr",$H230)),"20","")),_xlpm.knifeStock,IFERROR(MIN(IF(_xlpm.setMask*(RIGHT(_xlpm.codes,2)=_xlpm.knifeType),_xlpm.qty)),0),_xlpm.otherStock,IFERROR(MIN(IF(_xlpm.setMask*(RIGHT(_xlpm.codes,2)&lt;&gt;_xlpm.knifeType),_xlpm.qty)),0),IF(_xlpm.knifeStock&gt;=8,MIN(ROUNDDOWN(_xlpm.knifeStock/8,0),_xlpm.otherStock),0)+P230)</f>
        <v>0</v>
      </c>
      <c r="T230" t="str" cm="1">
        <f t="array" ref="T230">IFERROR(IF(D230="SET",_xlfn.TEXTJOIN(", ",TRUE,_xlfn._xlws.FILTER(TRANSPOSE(TRIM(_xlfn.TEXTSPLIT(N230,","))),COUNTIFS(B$3:B$650,TRANSPOSE(TRIM(_xlfn.TEXTSPLIT(N230,","))),O$3:O$650,"&lt;="&amp;$T$1))),""),"")</f>
        <v>39238, 39258, 39215</v>
      </c>
    </row>
    <row r="231" spans="1:20" ht="14.4" x14ac:dyDescent="0.3">
      <c r="A231" s="1">
        <v>39289</v>
      </c>
      <c r="B231" s="55" t="s">
        <v>781</v>
      </c>
      <c r="C231" s="1" t="s">
        <v>1262</v>
      </c>
      <c r="D231" s="1" t="s">
        <v>628</v>
      </c>
      <c r="E231" s="1" t="s">
        <v>686</v>
      </c>
      <c r="F231" s="9"/>
      <c r="G231" s="9"/>
      <c r="H231" s="16" t="s">
        <v>246</v>
      </c>
      <c r="I231" s="9" t="b">
        <f t="shared" si="5"/>
        <v>0</v>
      </c>
      <c r="J231" s="1" t="s">
        <v>398</v>
      </c>
      <c r="K231" s="1" t="s">
        <v>1715</v>
      </c>
      <c r="L231" s="1" t="s">
        <v>1715</v>
      </c>
      <c r="M231" s="9"/>
      <c r="N231" s="35" t="s">
        <v>1583</v>
      </c>
      <c r="O231" s="24">
        <v>7</v>
      </c>
      <c r="P231" s="2" cm="1">
        <f t="array" ref="P231">_xlfn.XLOOKUP(TRIM(B231),TRIM('[1]wc-product-export-16-3-2026-177'!$A:$A),'[1]wc-product-export-16-3-2026-177'!$D:$D,0,0)</f>
        <v>0</v>
      </c>
      <c r="Q231" s="2" cm="1">
        <f t="array" ref="Q231">IF(TRIM($D231)="SET",IF($K231="Steak Set1",ROUNDDOWN(IFERROR(MIN(_xlfn._xlws.FILTER(O$3:O$650,ISNUMBER(MATCH(TRIM($B$3:$B$650),TRIM(_xlfn.TEXTSPLIT($N231,",")),0)))),0)/4,0)+P231,IF(IFERROR(MIN(_xlfn._xlws.FILTER(O$3:O$650,ISNUMBER(MATCH(TRIM($B$3:$B$650),TRIM(_xlfn.TEXTSPLIT($N231,",")),0)))),0)&gt;=$E$1,IFERROR(MIN(_xlfn._xlws.FILTER(O$3:O$650,ISNUMBER(MATCH(TRIM($B$3:$B$650),TRIM(_xlfn.TEXTSPLIT($N231,",")),0)))),0)+P231,P231)),IF(TRIM($D231)="EA",IF(TRIM($E231)="M",ROUNDUP(O231*0.85,0),IF(TRIM($E231)="P",O231,P231)),P231))</f>
        <v>7</v>
      </c>
      <c r="T231" t="str" cm="1">
        <f t="array" ref="T231">IFERROR(IF(D231="SET",_xlfn.TEXTJOIN(", ",TRUE,_xlfn._xlws.FILTER(TRANSPOSE(TRIM(_xlfn.TEXTSPLIT(N231,","))),COUNTIFS(B$3:B$650,TRANSPOSE(TRIM(_xlfn.TEXTSPLIT(N231,","))),O$3:O$650,"&lt;="&amp;$T$1))),""),"")</f>
        <v/>
      </c>
    </row>
    <row r="232" spans="1:20" ht="14.4" x14ac:dyDescent="0.3">
      <c r="A232" s="1">
        <v>39290</v>
      </c>
      <c r="B232" s="55" t="s">
        <v>782</v>
      </c>
      <c r="C232" s="1" t="s">
        <v>1262</v>
      </c>
      <c r="D232" s="1" t="s">
        <v>628</v>
      </c>
      <c r="E232" s="1" t="s">
        <v>686</v>
      </c>
      <c r="F232" s="9"/>
      <c r="G232" s="9"/>
      <c r="H232" s="16" t="s">
        <v>247</v>
      </c>
      <c r="I232" s="9" t="b">
        <f t="shared" si="5"/>
        <v>0</v>
      </c>
      <c r="J232" s="1" t="s">
        <v>398</v>
      </c>
      <c r="K232" s="1" t="s">
        <v>1716</v>
      </c>
      <c r="L232" s="1" t="s">
        <v>1716</v>
      </c>
      <c r="M232" s="9"/>
      <c r="N232" s="35" t="s">
        <v>1573</v>
      </c>
      <c r="O232" s="24">
        <v>7</v>
      </c>
      <c r="P232" s="2" cm="1">
        <f t="array" ref="P232">_xlfn.XLOOKUP(TRIM(B232),TRIM('[1]wc-product-export-16-3-2026-177'!$A:$A),'[1]wc-product-export-16-3-2026-177'!$D:$D,0,0)</f>
        <v>0</v>
      </c>
      <c r="Q232" s="2" cm="1">
        <f t="array" ref="Q232">IF(TRIM($D232)="SET",IF($K232="Steak Set1",ROUNDDOWN(IFERROR(MIN(_xlfn._xlws.FILTER(O$3:O$650,ISNUMBER(MATCH(TRIM($B$3:$B$650),TRIM(_xlfn.TEXTSPLIT($N232,",")),0)))),0)/4,0)+P232,IF(IFERROR(MIN(_xlfn._xlws.FILTER(O$3:O$650,ISNUMBER(MATCH(TRIM($B$3:$B$650),TRIM(_xlfn.TEXTSPLIT($N232,",")),0)))),0)&gt;=$E$1,IFERROR(MIN(_xlfn._xlws.FILTER(O$3:O$650,ISNUMBER(MATCH(TRIM($B$3:$B$650),TRIM(_xlfn.TEXTSPLIT($N232,",")),0)))),0)+P232,P232)),IF(TRIM($D232)="EA",IF(TRIM($E232)="M",ROUNDUP(O232*0.85,0),IF(TRIM($E232)="P",O232,P232)),P232))</f>
        <v>7</v>
      </c>
      <c r="T232" t="str" cm="1">
        <f t="array" ref="T232">IFERROR(IF(D232="SET",_xlfn.TEXTJOIN(", ",TRUE,_xlfn._xlws.FILTER(TRANSPOSE(TRIM(_xlfn.TEXTSPLIT(N232,","))),COUNTIFS(B$3:B$650,TRANSPOSE(TRIM(_xlfn.TEXTSPLIT(N232,","))),O$3:O$650,"&lt;="&amp;$T$1))),""),"")</f>
        <v/>
      </c>
    </row>
    <row r="233" spans="1:20" ht="14.4" x14ac:dyDescent="0.3">
      <c r="A233" s="1">
        <v>39292</v>
      </c>
      <c r="B233" s="55" t="s">
        <v>783</v>
      </c>
      <c r="C233" s="1" t="s">
        <v>1262</v>
      </c>
      <c r="D233" s="1" t="s">
        <v>628</v>
      </c>
      <c r="E233" s="1" t="s">
        <v>686</v>
      </c>
      <c r="F233" s="9"/>
      <c r="G233" s="9"/>
      <c r="H233" s="16" t="s">
        <v>37</v>
      </c>
      <c r="I233" s="9" t="b">
        <f t="shared" si="5"/>
        <v>0</v>
      </c>
      <c r="J233" s="1" t="s">
        <v>398</v>
      </c>
      <c r="K233" s="1" t="s">
        <v>1712</v>
      </c>
      <c r="L233" s="1" t="s">
        <v>1737</v>
      </c>
      <c r="M233" s="9"/>
      <c r="N233" s="35" t="s">
        <v>745</v>
      </c>
      <c r="O233" s="24">
        <v>11</v>
      </c>
      <c r="P233" s="2" cm="1">
        <f t="array" ref="P233">_xlfn.XLOOKUP(TRIM(B233),TRIM('[1]wc-product-export-16-3-2026-177'!$A:$A),'[1]wc-product-export-16-3-2026-177'!$D:$D,0,0)</f>
        <v>10</v>
      </c>
      <c r="Q233" s="2" cm="1">
        <f t="array" ref="Q233">IF(TRIM($D233)="SET",IF($K233="Steak Set1",ROUNDDOWN(IFERROR(MIN(_xlfn._xlws.FILTER(O$3:O$650,ISNUMBER(MATCH(TRIM($B$3:$B$650),TRIM(_xlfn.TEXTSPLIT($N233,",")),0)))),0)/4,0)+P233,IF(IFERROR(MIN(_xlfn._xlws.FILTER(O$3:O$650,ISNUMBER(MATCH(TRIM($B$3:$B$650),TRIM(_xlfn.TEXTSPLIT($N233,",")),0)))),0)&gt;=$E$1,IFERROR(MIN(_xlfn._xlws.FILTER(O$3:O$650,ISNUMBER(MATCH(TRIM($B$3:$B$650),TRIM(_xlfn.TEXTSPLIT($N233,",")),0)))),0)+P233,P233)),IF(TRIM($D233)="EA",IF(TRIM($E233)="M",ROUNDUP(O233*0.85,0),IF(TRIM($E233)="P",O233,P233)),P233))</f>
        <v>11</v>
      </c>
      <c r="T233" t="str" cm="1">
        <f t="array" ref="T233">IFERROR(IF(D233="SET",_xlfn.TEXTJOIN(", ",TRUE,_xlfn._xlws.FILTER(TRANSPOSE(TRIM(_xlfn.TEXTSPLIT(N233,","))),COUNTIFS(B$3:B$650,TRANSPOSE(TRIM(_xlfn.TEXTSPLIT(N233,","))),O$3:O$650,"&lt;="&amp;$T$1))),""),"")</f>
        <v>39215</v>
      </c>
    </row>
    <row r="234" spans="1:20" ht="24" x14ac:dyDescent="0.3">
      <c r="A234" s="1">
        <v>39295</v>
      </c>
      <c r="B234" s="55" t="s">
        <v>784</v>
      </c>
      <c r="C234" s="1" t="s">
        <v>1262</v>
      </c>
      <c r="D234" s="1" t="s">
        <v>628</v>
      </c>
      <c r="E234" s="1" t="s">
        <v>686</v>
      </c>
      <c r="F234" s="9"/>
      <c r="G234" s="9"/>
      <c r="H234" s="16" t="s">
        <v>581</v>
      </c>
      <c r="I234" s="9" t="b">
        <f t="shared" si="5"/>
        <v>0</v>
      </c>
      <c r="J234" s="1" t="s">
        <v>398</v>
      </c>
      <c r="K234" s="1" t="s">
        <v>1714</v>
      </c>
      <c r="L234" s="1" t="s">
        <v>1720</v>
      </c>
      <c r="M234" s="9">
        <v>2</v>
      </c>
      <c r="N234" s="35" t="s">
        <v>1574</v>
      </c>
      <c r="O234" s="24">
        <v>0</v>
      </c>
      <c r="P234" s="2" cm="1">
        <f t="array" ref="P234">_xlfn.XLOOKUP(TRIM(B234),TRIM('[1]wc-product-export-16-3-2026-177'!$A:$A),'[1]wc-product-export-16-3-2026-177'!$D:$D,0,0)</f>
        <v>0</v>
      </c>
      <c r="Q234" s="66" cm="1">
        <f t="array" ref="Q234">_xlfn.LET(_xlpm.items,TRIM(_xlfn.TEXTSPLIT($N234,",")),_xlpm.codes,TRIM($B$3:$B$650),_xlpm.qty,$O$3:$O$650,_xlpm.setMask,ISNUMBER(MATCH(_xlpm.codes,_xlpm.items,0)),_xlpm.knifeType,IF(ISNUMBER(SEARCH("fine",$H234)),"15",IF(ISNUMBER(SEARCH("serr",$H234)),"20","")),_xlpm.knifeStock,IFERROR(MIN(IF(_xlpm.setMask*(RIGHT(_xlpm.codes,2)=_xlpm.knifeType),_xlpm.qty)),0),_xlpm.otherStock,IFERROR(MIN(IF(_xlpm.setMask*(RIGHT(_xlpm.codes,2)&lt;&gt;_xlpm.knifeType),_xlpm.qty)),0),IF(_xlpm.knifeStock&gt;=8,MIN(ROUNDDOWN(_xlpm.knifeStock/8,0),_xlpm.otherStock),0)+P234)</f>
        <v>0</v>
      </c>
      <c r="T234" t="str" cm="1">
        <f t="array" ref="T234">IFERROR(IF(D234="SET",_xlfn.TEXTJOIN(", ",TRUE,_xlfn._xlws.FILTER(TRANSPOSE(TRIM(_xlfn.TEXTSPLIT(N234,","))),COUNTIFS(B$3:B$650,TRANSPOSE(TRIM(_xlfn.TEXTSPLIT(N234,","))),O$3:O$650,"&lt;="&amp;$T$1))),""),"")</f>
        <v>39220</v>
      </c>
    </row>
    <row r="235" spans="1:20" ht="24" x14ac:dyDescent="0.3">
      <c r="A235" s="1">
        <v>39296</v>
      </c>
      <c r="B235" s="55" t="s">
        <v>785</v>
      </c>
      <c r="C235" s="1" t="s">
        <v>1262</v>
      </c>
      <c r="D235" s="1" t="s">
        <v>628</v>
      </c>
      <c r="E235" s="1" t="s">
        <v>686</v>
      </c>
      <c r="F235" s="9" t="s">
        <v>1608</v>
      </c>
      <c r="G235" s="9"/>
      <c r="H235" s="16" t="s">
        <v>248</v>
      </c>
      <c r="I235" s="9" t="b">
        <f t="shared" si="5"/>
        <v>0</v>
      </c>
      <c r="J235" s="1" t="s">
        <v>398</v>
      </c>
      <c r="K235" s="1" t="s">
        <v>1714</v>
      </c>
      <c r="L235" s="1" t="s">
        <v>1720</v>
      </c>
      <c r="M235" s="9">
        <v>2</v>
      </c>
      <c r="N235" s="35" t="s">
        <v>1582</v>
      </c>
      <c r="O235" s="24">
        <v>0</v>
      </c>
      <c r="P235" s="2" cm="1">
        <f t="array" ref="P235">_xlfn.XLOOKUP(TRIM(B235),TRIM('[1]wc-product-export-16-3-2026-177'!$A:$A),'[1]wc-product-export-16-3-2026-177'!$D:$D,0,0)</f>
        <v>0</v>
      </c>
      <c r="Q235" s="66" cm="1">
        <f t="array" ref="Q235">_xlfn.LET(_xlpm.items,TRIM(_xlfn.TEXTSPLIT($N235,",")),_xlpm.codes,TRIM($B$3:$B$650),_xlpm.qty,$O$3:$O$650,_xlpm.setMask,ISNUMBER(MATCH(_xlpm.codes,_xlpm.items,0)),_xlpm.knifeType,IF(ISNUMBER(SEARCH("fine",$H235)),"15",IF(ISNUMBER(SEARCH("serr",$H235)),"20","")),_xlpm.knifeStock,IFERROR(MIN(IF(_xlpm.setMask*(RIGHT(_xlpm.codes,2)=_xlpm.knifeType),_xlpm.qty)),0),_xlpm.otherStock,IFERROR(MIN(IF(_xlpm.setMask*(RIGHT(_xlpm.codes,2)&lt;&gt;_xlpm.knifeType),_xlpm.qty)),0),IF(_xlpm.knifeStock&gt;=8,MIN(ROUNDDOWN(_xlpm.knifeStock/8,0),_xlpm.otherStock),0)+P235)</f>
        <v>0</v>
      </c>
      <c r="T235" t="str" cm="1">
        <f t="array" ref="T235">IFERROR(IF(D235="SET",_xlfn.TEXTJOIN(", ",TRUE,_xlfn._xlws.FILTER(TRANSPOSE(TRIM(_xlfn.TEXTSPLIT(N235,","))),COUNTIFS(B$3:B$650,TRANSPOSE(TRIM(_xlfn.TEXTSPLIT(N235,","))),O$3:O$650,"&lt;="&amp;$T$1))),""),"")</f>
        <v>39215</v>
      </c>
    </row>
    <row r="236" spans="1:20" ht="24" x14ac:dyDescent="0.3">
      <c r="A236" s="1">
        <v>39297</v>
      </c>
      <c r="B236" s="55" t="s">
        <v>786</v>
      </c>
      <c r="C236" s="1" t="s">
        <v>1262</v>
      </c>
      <c r="D236" s="1" t="s">
        <v>628</v>
      </c>
      <c r="E236" s="1" t="s">
        <v>686</v>
      </c>
      <c r="F236" s="9" t="s">
        <v>1608</v>
      </c>
      <c r="G236" s="9"/>
      <c r="H236" s="16" t="s">
        <v>582</v>
      </c>
      <c r="I236" s="9" t="b">
        <f t="shared" si="5"/>
        <v>0</v>
      </c>
      <c r="J236" s="1" t="s">
        <v>398</v>
      </c>
      <c r="K236" s="1" t="s">
        <v>1714</v>
      </c>
      <c r="L236" s="1" t="s">
        <v>1719</v>
      </c>
      <c r="M236" s="9">
        <v>2</v>
      </c>
      <c r="N236" s="35" t="s">
        <v>1581</v>
      </c>
      <c r="O236" s="24">
        <v>0</v>
      </c>
      <c r="P236" s="2" cm="1">
        <f t="array" ref="P236">_xlfn.XLOOKUP(TRIM(B236),TRIM('[1]wc-product-export-16-3-2026-177'!$A:$A),'[1]wc-product-export-16-3-2026-177'!$D:$D,0,0)</f>
        <v>0</v>
      </c>
      <c r="Q236" s="66" cm="1">
        <f t="array" ref="Q236">_xlfn.LET(_xlpm.items,TRIM(_xlfn.TEXTSPLIT($N236,",")),_xlpm.codes,TRIM($B$3:$B$650),_xlpm.qty,$O$3:$O$650,_xlpm.setMask,ISNUMBER(MATCH(_xlpm.codes,_xlpm.items,0)),_xlpm.knifeType,IF(ISNUMBER(SEARCH("fine",$H236)),"15",IF(ISNUMBER(SEARCH("serr",$H236)),"20","")),_xlpm.knifeStock,IFERROR(MIN(IF(_xlpm.setMask*(RIGHT(_xlpm.codes,2)=_xlpm.knifeType),_xlpm.qty)),0),_xlpm.otherStock,IFERROR(MIN(IF(_xlpm.setMask*(RIGHT(_xlpm.codes,2)&lt;&gt;_xlpm.knifeType),_xlpm.qty)),0),IF(_xlpm.knifeStock&gt;=8,MIN(ROUNDDOWN(_xlpm.knifeStock/8,0),_xlpm.otherStock),0)+P236)</f>
        <v>0</v>
      </c>
      <c r="T236" t="str" cm="1">
        <f t="array" ref="T236">IFERROR(IF(D236="SET",_xlfn.TEXTJOIN(", ",TRUE,_xlfn._xlws.FILTER(TRANSPOSE(TRIM(_xlfn.TEXTSPLIT(N236,","))),COUNTIFS(B$3:B$650,TRANSPOSE(TRIM(_xlfn.TEXTSPLIT(N236,","))),O$3:O$650,"&lt;="&amp;$T$1))),""),"")</f>
        <v>39238, 39258, 39220</v>
      </c>
    </row>
    <row r="237" spans="1:20" ht="24" x14ac:dyDescent="0.3">
      <c r="A237" s="1">
        <v>39298</v>
      </c>
      <c r="B237" s="55" t="s">
        <v>787</v>
      </c>
      <c r="C237" s="1" t="s">
        <v>1262</v>
      </c>
      <c r="D237" s="1" t="s">
        <v>628</v>
      </c>
      <c r="E237" s="1" t="s">
        <v>686</v>
      </c>
      <c r="F237" s="9" t="s">
        <v>1608</v>
      </c>
      <c r="G237" s="9"/>
      <c r="H237" s="16" t="s">
        <v>249</v>
      </c>
      <c r="I237" s="9" t="b">
        <f t="shared" si="5"/>
        <v>0</v>
      </c>
      <c r="J237" s="1" t="s">
        <v>398</v>
      </c>
      <c r="K237" s="1" t="s">
        <v>1714</v>
      </c>
      <c r="L237" s="1" t="s">
        <v>1719</v>
      </c>
      <c r="M237" s="9">
        <v>2</v>
      </c>
      <c r="N237" s="35" t="s">
        <v>1705</v>
      </c>
      <c r="O237" s="24">
        <v>0</v>
      </c>
      <c r="P237" s="2" cm="1">
        <f t="array" ref="P237">_xlfn.XLOOKUP(TRIM(B237),TRIM('[1]wc-product-export-16-3-2026-177'!$A:$A),'[1]wc-product-export-16-3-2026-177'!$D:$D,0,0)</f>
        <v>0</v>
      </c>
      <c r="Q237" s="66" cm="1">
        <f t="array" ref="Q237">_xlfn.LET(_xlpm.items,TRIM(_xlfn.TEXTSPLIT($N237,",")),_xlpm.codes,TRIM($B$3:$B$650),_xlpm.qty,$O$3:$O$650,_xlpm.setMask,ISNUMBER(MATCH(_xlpm.codes,_xlpm.items,0)),_xlpm.knifeType,IF(ISNUMBER(SEARCH("fine",$H237)),"15",IF(ISNUMBER(SEARCH("serr",$H237)),"20","")),_xlpm.knifeStock,IFERROR(MIN(IF(_xlpm.setMask*(RIGHT(_xlpm.codes,2)=_xlpm.knifeType),_xlpm.qty)),0),_xlpm.otherStock,IFERROR(MIN(IF(_xlpm.setMask*(RIGHT(_xlpm.codes,2)&lt;&gt;_xlpm.knifeType),_xlpm.qty)),0),IF(_xlpm.knifeStock&gt;=8,MIN(ROUNDDOWN(_xlpm.knifeStock/8,0),_xlpm.otherStock),0)+P237)</f>
        <v>0</v>
      </c>
      <c r="T237" t="str" cm="1">
        <f t="array" ref="T237">IFERROR(IF(D237="SET",_xlfn.TEXTJOIN(", ",TRUE,_xlfn._xlws.FILTER(TRANSPOSE(TRIM(_xlfn.TEXTSPLIT(N237,","))),COUNTIFS(B$3:B$650,TRANSPOSE(TRIM(_xlfn.TEXTSPLIT(N237,","))),O$3:O$650,"&lt;="&amp;$T$1))),""),"")</f>
        <v>39238, 39258, 39215</v>
      </c>
    </row>
    <row r="238" spans="1:20" ht="14.4" x14ac:dyDescent="0.3">
      <c r="A238" s="1">
        <v>39455</v>
      </c>
      <c r="B238" s="56" t="s">
        <v>788</v>
      </c>
      <c r="C238" s="2" t="s">
        <v>1263</v>
      </c>
      <c r="D238" s="1" t="s">
        <v>624</v>
      </c>
      <c r="E238" s="1" t="s">
        <v>686</v>
      </c>
      <c r="F238" s="9"/>
      <c r="G238" s="9"/>
      <c r="H238" s="16" t="s">
        <v>457</v>
      </c>
      <c r="I238" s="9" t="b">
        <f t="shared" si="5"/>
        <v>0</v>
      </c>
      <c r="J238" s="1" t="s">
        <v>408</v>
      </c>
      <c r="K238" s="1" t="s">
        <v>15</v>
      </c>
      <c r="L238" s="1" t="s">
        <v>15</v>
      </c>
      <c r="M238" s="9"/>
      <c r="N238" s="35"/>
      <c r="O238" s="24">
        <v>45</v>
      </c>
      <c r="P238" s="2" cm="1">
        <f t="array" ref="P238">_xlfn.XLOOKUP(TRIM(B238),TRIM('[1]wc-product-export-16-3-2026-177'!$A:$A),'[1]wc-product-export-16-3-2026-177'!$D:$D,0,0)</f>
        <v>0</v>
      </c>
      <c r="Q238" s="2" cm="1">
        <f t="array" ref="Q238">IF(TRIM($D238)="SET",IF($K238="Steak Set1",ROUNDDOWN(IFERROR(MIN(_xlfn._xlws.FILTER(O$3:O$650,ISNUMBER(MATCH(TRIM($B$3:$B$650),TRIM(_xlfn.TEXTSPLIT($N238,",")),0)))),0)/4,0)+P238,IF(IFERROR(MIN(_xlfn._xlws.FILTER(O$3:O$650,ISNUMBER(MATCH(TRIM($B$3:$B$650),TRIM(_xlfn.TEXTSPLIT($N238,",")),0)))),0)&gt;=$E$1,IFERROR(MIN(_xlfn._xlws.FILTER(O$3:O$650,ISNUMBER(MATCH(TRIM($B$3:$B$650),TRIM(_xlfn.TEXTSPLIT($N238,",")),0)))),0)+P238,P238)),IF(TRIM($D238)="EA",IF(TRIM($E238)="M",ROUNDUP(O238*0.85,0),IF(TRIM($E238)="P",O238,P238)),P238))</f>
        <v>39</v>
      </c>
      <c r="T238" t="str" cm="1">
        <f t="array" ref="T238">IFERROR(IF(D238="SET",_xlfn.TEXTJOIN(", ",TRUE,_xlfn._xlws.FILTER(TRANSPOSE(TRIM(_xlfn.TEXTSPLIT(N238,","))),COUNTIFS(B$3:B$650,TRANSPOSE(TRIM(_xlfn.TEXTSPLIT(N238,","))),O$3:O$650,"&lt;="&amp;$T$1))),""),"")</f>
        <v/>
      </c>
    </row>
    <row r="239" spans="1:20" ht="14.4" x14ac:dyDescent="0.3">
      <c r="A239" s="1">
        <v>39468</v>
      </c>
      <c r="B239" s="55" t="s">
        <v>789</v>
      </c>
      <c r="C239" s="2" t="s">
        <v>1263</v>
      </c>
      <c r="D239" s="1" t="s">
        <v>624</v>
      </c>
      <c r="E239" s="1" t="s">
        <v>686</v>
      </c>
      <c r="F239" s="9" t="s">
        <v>1688</v>
      </c>
      <c r="G239" s="9"/>
      <c r="H239" s="16" t="s">
        <v>599</v>
      </c>
      <c r="I239" s="9" t="b">
        <f t="shared" si="5"/>
        <v>0</v>
      </c>
      <c r="J239" s="1" t="s">
        <v>408</v>
      </c>
      <c r="K239" s="1" t="s">
        <v>15</v>
      </c>
      <c r="L239" s="1" t="s">
        <v>15</v>
      </c>
      <c r="M239" s="9"/>
      <c r="N239" s="35"/>
      <c r="O239" s="24">
        <v>76</v>
      </c>
      <c r="P239" s="2" cm="1">
        <f t="array" ref="P239">_xlfn.XLOOKUP(TRIM(B239),TRIM('[1]wc-product-export-16-3-2026-177'!$A:$A),'[1]wc-product-export-16-3-2026-177'!$D:$D,0,0)</f>
        <v>0</v>
      </c>
      <c r="Q239" s="2" cm="1">
        <f t="array" ref="Q239">IF(TRIM($D239)="SET",IF($K239="Steak Set1",ROUNDDOWN(IFERROR(MIN(_xlfn._xlws.FILTER(O$3:O$650,ISNUMBER(MATCH(TRIM($B$3:$B$650),TRIM(_xlfn.TEXTSPLIT($N239,",")),0)))),0)/4,0)+P239,IF(IFERROR(MIN(_xlfn._xlws.FILTER(O$3:O$650,ISNUMBER(MATCH(TRIM($B$3:$B$650),TRIM(_xlfn.TEXTSPLIT($N239,",")),0)))),0)&gt;=$E$1,IFERROR(MIN(_xlfn._xlws.FILTER(O$3:O$650,ISNUMBER(MATCH(TRIM($B$3:$B$650),TRIM(_xlfn.TEXTSPLIT($N239,",")),0)))),0)+P239,P239)),IF(TRIM($D239)="EA",IF(TRIM($E239)="M",ROUNDUP(O239*0.85,0),IF(TRIM($E239)="P",O239,P239)),P239))</f>
        <v>65</v>
      </c>
      <c r="T239" t="str" cm="1">
        <f t="array" ref="T239">IFERROR(IF(D239="SET",_xlfn.TEXTJOIN(", ",TRUE,_xlfn._xlws.FILTER(TRANSPOSE(TRIM(_xlfn.TEXTSPLIT(N239,","))),COUNTIFS(B$3:B$650,TRANSPOSE(TRIM(_xlfn.TEXTSPLIT(N239,","))),O$3:O$650,"&lt;="&amp;$T$1))),""),"")</f>
        <v/>
      </c>
    </row>
    <row r="240" spans="1:20" ht="14.4" x14ac:dyDescent="0.3">
      <c r="A240" s="1">
        <v>39530</v>
      </c>
      <c r="B240" s="55" t="s">
        <v>790</v>
      </c>
      <c r="C240" s="2" t="s">
        <v>1263</v>
      </c>
      <c r="D240" s="1" t="s">
        <v>628</v>
      </c>
      <c r="E240" s="1" t="s">
        <v>686</v>
      </c>
      <c r="F240" s="9" t="s">
        <v>1688</v>
      </c>
      <c r="G240" s="9"/>
      <c r="H240" s="16" t="s">
        <v>145</v>
      </c>
      <c r="I240" s="9" t="b">
        <f t="shared" si="5"/>
        <v>1</v>
      </c>
      <c r="J240" s="1" t="s">
        <v>409</v>
      </c>
      <c r="K240" s="1" t="s">
        <v>288</v>
      </c>
      <c r="L240" s="1" t="s">
        <v>288</v>
      </c>
      <c r="M240" s="9"/>
      <c r="N240" s="35" t="s">
        <v>1343</v>
      </c>
      <c r="O240" s="24">
        <v>14</v>
      </c>
      <c r="P240" s="2" cm="1">
        <f t="array" ref="P240">_xlfn.XLOOKUP(TRIM(B240),TRIM('[1]wc-product-export-16-3-2026-177'!$A:$A),'[1]wc-product-export-16-3-2026-177'!$D:$D,0,0)</f>
        <v>7</v>
      </c>
      <c r="Q240" s="2" cm="1">
        <f t="array" ref="Q240">IF(TRIM($D240)="SET",IF($K240="Steak Set1",ROUNDDOWN(IFERROR(MIN(_xlfn._xlws.FILTER(O$3:O$650,ISNUMBER(MATCH(TRIM($B$3:$B$650),TRIM(_xlfn.TEXTSPLIT($N240,",")),0)))),0)/4,0)+P240,IF(IFERROR(MIN(_xlfn._xlws.FILTER(O$3:O$650,ISNUMBER(MATCH(TRIM($B$3:$B$650),TRIM(_xlfn.TEXTSPLIT($N240,",")),0)))),0)&gt;=$E$1,IFERROR(MIN(_xlfn._xlws.FILTER(O$3:O$650,ISNUMBER(MATCH(TRIM($B$3:$B$650),TRIM(_xlfn.TEXTSPLIT($N240,",")),0)))),0)+P240,P240)),IF(TRIM($D240)="EA",IF(TRIM($E240)="M",ROUNDUP(O240*0.85,0),IF(TRIM($E240)="P",O240,P240)),P240))</f>
        <v>25</v>
      </c>
      <c r="T240" t="str" cm="1">
        <f t="array" ref="T240">IFERROR(IF(D240="SET",_xlfn.TEXTJOIN(", ",TRUE,_xlfn._xlws.FILTER(TRANSPOSE(TRIM(_xlfn.TEXTSPLIT(N240,","))),COUNTIFS(B$3:B$650,TRANSPOSE(TRIM(_xlfn.TEXTSPLIT(N240,","))),O$3:O$650,"&lt;="&amp;$T$1))),""),"")</f>
        <v/>
      </c>
    </row>
    <row r="241" spans="1:20" ht="14.4" x14ac:dyDescent="0.3">
      <c r="A241" s="1">
        <v>39547</v>
      </c>
      <c r="B241" s="56" t="s">
        <v>791</v>
      </c>
      <c r="C241" s="2" t="s">
        <v>1263</v>
      </c>
      <c r="D241" s="1" t="s">
        <v>624</v>
      </c>
      <c r="E241" s="1" t="s">
        <v>686</v>
      </c>
      <c r="F241" s="9"/>
      <c r="G241" s="9"/>
      <c r="H241" s="16" t="s">
        <v>441</v>
      </c>
      <c r="I241" s="9" t="b">
        <f t="shared" si="5"/>
        <v>1</v>
      </c>
      <c r="J241" s="1" t="s">
        <v>409</v>
      </c>
      <c r="K241" s="1" t="s">
        <v>287</v>
      </c>
      <c r="L241" s="1" t="s">
        <v>287</v>
      </c>
      <c r="M241" s="9"/>
      <c r="N241" s="35"/>
      <c r="O241" s="24">
        <v>150</v>
      </c>
      <c r="P241" s="2" cm="1">
        <f t="array" ref="P241">_xlfn.XLOOKUP(TRIM(B241),TRIM('[1]wc-product-export-16-3-2026-177'!$A:$A),'[1]wc-product-export-16-3-2026-177'!$D:$D,0,0)</f>
        <v>0</v>
      </c>
      <c r="Q241" s="2" cm="1">
        <f t="array" ref="Q241">IF(TRIM($D241)="SET",IF($K241="Steak Set1",ROUNDDOWN(IFERROR(MIN(_xlfn._xlws.FILTER(O$3:O$650,ISNUMBER(MATCH(TRIM($B$3:$B$650),TRIM(_xlfn.TEXTSPLIT($N241,",")),0)))),0)/4,0)+P241,IF(IFERROR(MIN(_xlfn._xlws.FILTER(O$3:O$650,ISNUMBER(MATCH(TRIM($B$3:$B$650),TRIM(_xlfn.TEXTSPLIT($N241,",")),0)))),0)&gt;=$E$1,IFERROR(MIN(_xlfn._xlws.FILTER(O$3:O$650,ISNUMBER(MATCH(TRIM($B$3:$B$650),TRIM(_xlfn.TEXTSPLIT($N241,",")),0)))),0)+P241,P241)),IF(TRIM($D241)="EA",IF(TRIM($E241)="M",ROUNDUP(O241*0.85,0),IF(TRIM($E241)="P",O241,P241)),P241))</f>
        <v>128</v>
      </c>
      <c r="T241" t="str" cm="1">
        <f t="array" ref="T241">IFERROR(IF(D241="SET",_xlfn.TEXTJOIN(", ",TRUE,_xlfn._xlws.FILTER(TRANSPOSE(TRIM(_xlfn.TEXTSPLIT(N241,","))),COUNTIFS(B$3:B$650,TRANSPOSE(TRIM(_xlfn.TEXTSPLIT(N241,","))),O$3:O$650,"&lt;="&amp;$T$1))),""),"")</f>
        <v/>
      </c>
    </row>
    <row r="242" spans="1:20" ht="14.4" x14ac:dyDescent="0.3">
      <c r="A242" s="1">
        <v>39566</v>
      </c>
      <c r="B242" s="56" t="s">
        <v>792</v>
      </c>
      <c r="C242" s="2" t="s">
        <v>1263</v>
      </c>
      <c r="D242" s="1" t="s">
        <v>624</v>
      </c>
      <c r="E242" s="1" t="s">
        <v>686</v>
      </c>
      <c r="F242" s="9"/>
      <c r="G242" s="9"/>
      <c r="H242" s="16" t="s">
        <v>438</v>
      </c>
      <c r="I242" s="9" t="b">
        <f t="shared" si="5"/>
        <v>0</v>
      </c>
      <c r="J242" s="1" t="s">
        <v>409</v>
      </c>
      <c r="K242" s="1" t="s">
        <v>15</v>
      </c>
      <c r="L242" s="1" t="s">
        <v>286</v>
      </c>
      <c r="M242" s="9"/>
      <c r="N242" s="35"/>
      <c r="O242" s="24">
        <v>30</v>
      </c>
      <c r="P242" s="2" cm="1">
        <f t="array" ref="P242">_xlfn.XLOOKUP(TRIM(B242),TRIM('[1]wc-product-export-16-3-2026-177'!$A:$A),'[1]wc-product-export-16-3-2026-177'!$D:$D,0,0)</f>
        <v>0</v>
      </c>
      <c r="Q242" s="2" cm="1">
        <f t="array" ref="Q242">IF(TRIM($D242)="SET",IF($K242="Steak Set1",ROUNDDOWN(IFERROR(MIN(_xlfn._xlws.FILTER(O$3:O$650,ISNUMBER(MATCH(TRIM($B$3:$B$650),TRIM(_xlfn.TEXTSPLIT($N242,",")),0)))),0)/4,0)+P242,IF(IFERROR(MIN(_xlfn._xlws.FILTER(O$3:O$650,ISNUMBER(MATCH(TRIM($B$3:$B$650),TRIM(_xlfn.TEXTSPLIT($N242,",")),0)))),0)&gt;=$E$1,IFERROR(MIN(_xlfn._xlws.FILTER(O$3:O$650,ISNUMBER(MATCH(TRIM($B$3:$B$650),TRIM(_xlfn.TEXTSPLIT($N242,",")),0)))),0)+P242,P242)),IF(TRIM($D242)="EA",IF(TRIM($E242)="M",ROUNDUP(O242*0.85,0),IF(TRIM($E242)="P",O242,P242)),P242))</f>
        <v>26</v>
      </c>
      <c r="T242" t="str" cm="1">
        <f t="array" ref="T242">IFERROR(IF(D242="SET",_xlfn.TEXTJOIN(", ",TRUE,_xlfn._xlws.FILTER(TRANSPOSE(TRIM(_xlfn.TEXTSPLIT(N242,","))),COUNTIFS(B$3:B$650,TRANSPOSE(TRIM(_xlfn.TEXTSPLIT(N242,","))),O$3:O$650,"&lt;="&amp;$T$1))),""),"")</f>
        <v/>
      </c>
    </row>
    <row r="243" spans="1:20" ht="14.4" x14ac:dyDescent="0.3">
      <c r="A243" s="1">
        <v>39567</v>
      </c>
      <c r="B243" s="56" t="s">
        <v>793</v>
      </c>
      <c r="C243" s="2" t="s">
        <v>1263</v>
      </c>
      <c r="D243" s="1" t="s">
        <v>624</v>
      </c>
      <c r="E243" s="1" t="s">
        <v>686</v>
      </c>
      <c r="F243" s="9" t="s">
        <v>1688</v>
      </c>
      <c r="G243" s="9"/>
      <c r="H243" s="16" t="s">
        <v>442</v>
      </c>
      <c r="I243" s="9" t="b">
        <f t="shared" si="5"/>
        <v>1</v>
      </c>
      <c r="J243" s="1" t="s">
        <v>409</v>
      </c>
      <c r="K243" s="1" t="s">
        <v>287</v>
      </c>
      <c r="L243" s="1" t="s">
        <v>287</v>
      </c>
      <c r="M243" s="9"/>
      <c r="N243" s="35"/>
      <c r="O243" s="24">
        <v>64</v>
      </c>
      <c r="P243" s="2" cm="1">
        <f t="array" ref="P243">_xlfn.XLOOKUP(TRIM(B243),TRIM('[1]wc-product-export-16-3-2026-177'!$A:$A),'[1]wc-product-export-16-3-2026-177'!$D:$D,0,0)</f>
        <v>0</v>
      </c>
      <c r="Q243" s="2" cm="1">
        <f t="array" ref="Q243">IF(TRIM($D243)="SET",IF($K243="Steak Set1",ROUNDDOWN(IFERROR(MIN(_xlfn._xlws.FILTER(O$3:O$650,ISNUMBER(MATCH(TRIM($B$3:$B$650),TRIM(_xlfn.TEXTSPLIT($N243,",")),0)))),0)/4,0)+P243,IF(IFERROR(MIN(_xlfn._xlws.FILTER(O$3:O$650,ISNUMBER(MATCH(TRIM($B$3:$B$650),TRIM(_xlfn.TEXTSPLIT($N243,",")),0)))),0)&gt;=$E$1,IFERROR(MIN(_xlfn._xlws.FILTER(O$3:O$650,ISNUMBER(MATCH(TRIM($B$3:$B$650),TRIM(_xlfn.TEXTSPLIT($N243,",")),0)))),0)+P243,P243)),IF(TRIM($D243)="EA",IF(TRIM($E243)="M",ROUNDUP(O243*0.85,0),IF(TRIM($E243)="P",O243,P243)),P243))</f>
        <v>55</v>
      </c>
      <c r="T243" t="str" cm="1">
        <f t="array" ref="T243">IFERROR(IF(D243="SET",_xlfn.TEXTJOIN(", ",TRUE,_xlfn._xlws.FILTER(TRANSPOSE(TRIM(_xlfn.TEXTSPLIT(N243,","))),COUNTIFS(B$3:B$650,TRANSPOSE(TRIM(_xlfn.TEXTSPLIT(N243,","))),O$3:O$650,"&lt;="&amp;$T$1))),""),"")</f>
        <v/>
      </c>
    </row>
    <row r="244" spans="1:20" ht="14.4" x14ac:dyDescent="0.3">
      <c r="A244" s="1">
        <v>39570</v>
      </c>
      <c r="B244" s="55" t="s">
        <v>794</v>
      </c>
      <c r="C244" s="2" t="s">
        <v>1263</v>
      </c>
      <c r="D244" s="1" t="s">
        <v>624</v>
      </c>
      <c r="E244" s="1" t="s">
        <v>686</v>
      </c>
      <c r="F244" s="9"/>
      <c r="G244" s="9"/>
      <c r="H244" s="16" t="s">
        <v>439</v>
      </c>
      <c r="I244" s="9" t="b">
        <f t="shared" si="5"/>
        <v>0</v>
      </c>
      <c r="J244" s="1" t="s">
        <v>409</v>
      </c>
      <c r="K244" s="1" t="s">
        <v>1717</v>
      </c>
      <c r="L244" s="1" t="s">
        <v>285</v>
      </c>
      <c r="M244" s="9"/>
      <c r="N244" s="35"/>
      <c r="O244" s="24">
        <v>37</v>
      </c>
      <c r="P244" s="2" cm="1">
        <f t="array" ref="P244">_xlfn.XLOOKUP(TRIM(B244),TRIM('[1]wc-product-export-16-3-2026-177'!$A:$A),'[1]wc-product-export-16-3-2026-177'!$D:$D,0,0)</f>
        <v>0</v>
      </c>
      <c r="Q244" s="2" cm="1">
        <f t="array" ref="Q244">IF(TRIM($D244)="SET",IF($K244="Steak Set1",ROUNDDOWN(IFERROR(MIN(_xlfn._xlws.FILTER(O$3:O$650,ISNUMBER(MATCH(TRIM($B$3:$B$650),TRIM(_xlfn.TEXTSPLIT($N244,",")),0)))),0)/4,0)+P244,IF(IFERROR(MIN(_xlfn._xlws.FILTER(O$3:O$650,ISNUMBER(MATCH(TRIM($B$3:$B$650),TRIM(_xlfn.TEXTSPLIT($N244,",")),0)))),0)&gt;=$E$1,IFERROR(MIN(_xlfn._xlws.FILTER(O$3:O$650,ISNUMBER(MATCH(TRIM($B$3:$B$650),TRIM(_xlfn.TEXTSPLIT($N244,",")),0)))),0)+P244,P244)),IF(TRIM($D244)="EA",IF(TRIM($E244)="M",ROUNDUP(O244*0.85,0),IF(TRIM($E244)="P",O244,P244)),P244))</f>
        <v>32</v>
      </c>
      <c r="T244" t="str" cm="1">
        <f t="array" ref="T244">IFERROR(IF(D244="SET",_xlfn.TEXTJOIN(", ",TRUE,_xlfn._xlws.FILTER(TRANSPOSE(TRIM(_xlfn.TEXTSPLIT(N244,","))),COUNTIFS(B$3:B$650,TRANSPOSE(TRIM(_xlfn.TEXTSPLIT(N244,","))),O$3:O$650,"&lt;="&amp;$T$1))),""),"")</f>
        <v/>
      </c>
    </row>
    <row r="245" spans="1:20" ht="14.4" x14ac:dyDescent="0.3">
      <c r="A245" s="1">
        <v>39571</v>
      </c>
      <c r="B245" s="56" t="s">
        <v>795</v>
      </c>
      <c r="C245" s="2" t="s">
        <v>1263</v>
      </c>
      <c r="D245" s="1" t="s">
        <v>624</v>
      </c>
      <c r="E245" s="1" t="s">
        <v>686</v>
      </c>
      <c r="F245" s="9"/>
      <c r="G245" s="9"/>
      <c r="H245" s="16" t="s">
        <v>443</v>
      </c>
      <c r="I245" s="9" t="b">
        <f t="shared" si="5"/>
        <v>1</v>
      </c>
      <c r="J245" s="1" t="s">
        <v>409</v>
      </c>
      <c r="K245" s="1" t="s">
        <v>287</v>
      </c>
      <c r="L245" s="1" t="s">
        <v>287</v>
      </c>
      <c r="M245" s="9"/>
      <c r="N245" s="35"/>
      <c r="O245" s="24">
        <v>416</v>
      </c>
      <c r="P245" s="2" cm="1">
        <f t="array" ref="P245">_xlfn.XLOOKUP(TRIM(B245),TRIM('[1]wc-product-export-16-3-2026-177'!$A:$A),'[1]wc-product-export-16-3-2026-177'!$D:$D,0,0)</f>
        <v>0</v>
      </c>
      <c r="Q245" s="2" cm="1">
        <f t="array" ref="Q245">IF(TRIM($D245)="SET",IF($K245="Steak Set1",ROUNDDOWN(IFERROR(MIN(_xlfn._xlws.FILTER(O$3:O$650,ISNUMBER(MATCH(TRIM($B$3:$B$650),TRIM(_xlfn.TEXTSPLIT($N245,",")),0)))),0)/4,0)+P245,IF(IFERROR(MIN(_xlfn._xlws.FILTER(O$3:O$650,ISNUMBER(MATCH(TRIM($B$3:$B$650),TRIM(_xlfn.TEXTSPLIT($N245,",")),0)))),0)&gt;=$E$1,IFERROR(MIN(_xlfn._xlws.FILTER(O$3:O$650,ISNUMBER(MATCH(TRIM($B$3:$B$650),TRIM(_xlfn.TEXTSPLIT($N245,",")),0)))),0)+P245,P245)),IF(TRIM($D245)="EA",IF(TRIM($E245)="M",ROUNDUP(O245*0.85,0),IF(TRIM($E245)="P",O245,P245)),P245))</f>
        <v>354</v>
      </c>
      <c r="T245" t="str" cm="1">
        <f t="array" ref="T245">IFERROR(IF(D245="SET",_xlfn.TEXTJOIN(", ",TRUE,_xlfn._xlws.FILTER(TRANSPOSE(TRIM(_xlfn.TEXTSPLIT(N245,","))),COUNTIFS(B$3:B$650,TRANSPOSE(TRIM(_xlfn.TEXTSPLIT(N245,","))),O$3:O$650,"&lt;="&amp;$T$1))),""),"")</f>
        <v/>
      </c>
    </row>
    <row r="246" spans="1:20" ht="14.4" x14ac:dyDescent="0.3">
      <c r="A246" s="1">
        <v>39572</v>
      </c>
      <c r="B246" s="56" t="s">
        <v>796</v>
      </c>
      <c r="C246" s="2" t="s">
        <v>1263</v>
      </c>
      <c r="D246" s="1" t="s">
        <v>624</v>
      </c>
      <c r="E246" s="1" t="s">
        <v>686</v>
      </c>
      <c r="F246" s="9"/>
      <c r="G246" s="9"/>
      <c r="H246" s="16" t="s">
        <v>444</v>
      </c>
      <c r="I246" s="9" t="b">
        <f t="shared" si="5"/>
        <v>1</v>
      </c>
      <c r="J246" s="1" t="s">
        <v>409</v>
      </c>
      <c r="K246" s="1" t="s">
        <v>287</v>
      </c>
      <c r="L246" s="1" t="s">
        <v>287</v>
      </c>
      <c r="M246" s="9"/>
      <c r="N246" s="35"/>
      <c r="O246" s="24">
        <v>663</v>
      </c>
      <c r="P246" s="2" cm="1">
        <f t="array" ref="P246">_xlfn.XLOOKUP(TRIM(B246),TRIM('[1]wc-product-export-16-3-2026-177'!$A:$A),'[1]wc-product-export-16-3-2026-177'!$D:$D,0,0)</f>
        <v>0</v>
      </c>
      <c r="Q246" s="2" cm="1">
        <f t="array" ref="Q246">IF(TRIM($D246)="SET",IF($K246="Steak Set1",ROUNDDOWN(IFERROR(MIN(_xlfn._xlws.FILTER(O$3:O$650,ISNUMBER(MATCH(TRIM($B$3:$B$650),TRIM(_xlfn.TEXTSPLIT($N246,",")),0)))),0)/4,0)+P246,IF(IFERROR(MIN(_xlfn._xlws.FILTER(O$3:O$650,ISNUMBER(MATCH(TRIM($B$3:$B$650),TRIM(_xlfn.TEXTSPLIT($N246,",")),0)))),0)&gt;=$E$1,IFERROR(MIN(_xlfn._xlws.FILTER(O$3:O$650,ISNUMBER(MATCH(TRIM($B$3:$B$650),TRIM(_xlfn.TEXTSPLIT($N246,",")),0)))),0)+P246,P246)),IF(TRIM($D246)="EA",IF(TRIM($E246)="M",ROUNDUP(O246*0.85,0),IF(TRIM($E246)="P",O246,P246)),P246))</f>
        <v>564</v>
      </c>
      <c r="T246" t="str" cm="1">
        <f t="array" ref="T246">IFERROR(IF(D246="SET",_xlfn.TEXTJOIN(", ",TRUE,_xlfn._xlws.FILTER(TRANSPOSE(TRIM(_xlfn.TEXTSPLIT(N246,","))),COUNTIFS(B$3:B$650,TRANSPOSE(TRIM(_xlfn.TEXTSPLIT(N246,","))),O$3:O$650,"&lt;="&amp;$T$1))),""),"")</f>
        <v/>
      </c>
    </row>
    <row r="247" spans="1:20" ht="14.4" x14ac:dyDescent="0.3">
      <c r="A247" s="1">
        <v>39573</v>
      </c>
      <c r="B247" s="56" t="s">
        <v>797</v>
      </c>
      <c r="C247" s="2" t="s">
        <v>1263</v>
      </c>
      <c r="D247" s="1" t="s">
        <v>624</v>
      </c>
      <c r="E247" s="1" t="s">
        <v>686</v>
      </c>
      <c r="F247" s="9"/>
      <c r="G247" s="9"/>
      <c r="H247" s="16" t="s">
        <v>445</v>
      </c>
      <c r="I247" s="9" t="b">
        <f t="shared" si="5"/>
        <v>1</v>
      </c>
      <c r="J247" s="1" t="s">
        <v>409</v>
      </c>
      <c r="K247" s="1" t="s">
        <v>287</v>
      </c>
      <c r="L247" s="1" t="s">
        <v>287</v>
      </c>
      <c r="M247" s="9"/>
      <c r="N247" s="35"/>
      <c r="O247" s="24">
        <v>53</v>
      </c>
      <c r="P247" s="2" cm="1">
        <f t="array" ref="P247">_xlfn.XLOOKUP(TRIM(B247),TRIM('[1]wc-product-export-16-3-2026-177'!$A:$A),'[1]wc-product-export-16-3-2026-177'!$D:$D,0,0)</f>
        <v>0</v>
      </c>
      <c r="Q247" s="2" cm="1">
        <f t="array" ref="Q247">IF(TRIM($D247)="SET",IF($K247="Steak Set1",ROUNDDOWN(IFERROR(MIN(_xlfn._xlws.FILTER(O$3:O$650,ISNUMBER(MATCH(TRIM($B$3:$B$650),TRIM(_xlfn.TEXTSPLIT($N247,",")),0)))),0)/4,0)+P247,IF(IFERROR(MIN(_xlfn._xlws.FILTER(O$3:O$650,ISNUMBER(MATCH(TRIM($B$3:$B$650),TRIM(_xlfn.TEXTSPLIT($N247,",")),0)))),0)&gt;=$E$1,IFERROR(MIN(_xlfn._xlws.FILTER(O$3:O$650,ISNUMBER(MATCH(TRIM($B$3:$B$650),TRIM(_xlfn.TEXTSPLIT($N247,",")),0)))),0)+P247,P247)),IF(TRIM($D247)="EA",IF(TRIM($E247)="M",ROUNDUP(O247*0.85,0),IF(TRIM($E247)="P",O247,P247)),P247))</f>
        <v>46</v>
      </c>
      <c r="T247" t="str" cm="1">
        <f t="array" ref="T247">IFERROR(IF(D247="SET",_xlfn.TEXTJOIN(", ",TRUE,_xlfn._xlws.FILTER(TRANSPOSE(TRIM(_xlfn.TEXTSPLIT(N247,","))),COUNTIFS(B$3:B$650,TRANSPOSE(TRIM(_xlfn.TEXTSPLIT(N247,","))),O$3:O$650,"&lt;="&amp;$T$1))),""),"")</f>
        <v/>
      </c>
    </row>
    <row r="248" spans="1:20" ht="14.4" x14ac:dyDescent="0.3">
      <c r="A248" s="1">
        <v>39574</v>
      </c>
      <c r="B248" s="56" t="s">
        <v>798</v>
      </c>
      <c r="C248" s="2" t="s">
        <v>1263</v>
      </c>
      <c r="D248" s="1" t="s">
        <v>624</v>
      </c>
      <c r="E248" s="1" t="s">
        <v>686</v>
      </c>
      <c r="F248" s="9"/>
      <c r="G248" s="9"/>
      <c r="H248" s="16" t="s">
        <v>446</v>
      </c>
      <c r="I248" s="9" t="b">
        <f t="shared" si="5"/>
        <v>1</v>
      </c>
      <c r="J248" s="1" t="s">
        <v>409</v>
      </c>
      <c r="K248" s="1" t="s">
        <v>287</v>
      </c>
      <c r="L248" s="1" t="s">
        <v>287</v>
      </c>
      <c r="M248" s="9"/>
      <c r="N248" s="35"/>
      <c r="O248" s="24">
        <v>18</v>
      </c>
      <c r="P248" s="2" cm="1">
        <f t="array" ref="P248">_xlfn.XLOOKUP(TRIM(B248),TRIM('[1]wc-product-export-16-3-2026-177'!$A:$A),'[1]wc-product-export-16-3-2026-177'!$D:$D,0,0)</f>
        <v>0</v>
      </c>
      <c r="Q248" s="2" cm="1">
        <f t="array" ref="Q248">IF(TRIM($D248)="SET",IF($K248="Steak Set1",ROUNDDOWN(IFERROR(MIN(_xlfn._xlws.FILTER(O$3:O$650,ISNUMBER(MATCH(TRIM($B$3:$B$650),TRIM(_xlfn.TEXTSPLIT($N248,",")),0)))),0)/4,0)+P248,IF(IFERROR(MIN(_xlfn._xlws.FILTER(O$3:O$650,ISNUMBER(MATCH(TRIM($B$3:$B$650),TRIM(_xlfn.TEXTSPLIT($N248,",")),0)))),0)&gt;=$E$1,IFERROR(MIN(_xlfn._xlws.FILTER(O$3:O$650,ISNUMBER(MATCH(TRIM($B$3:$B$650),TRIM(_xlfn.TEXTSPLIT($N248,",")),0)))),0)+P248,P248)),IF(TRIM($D248)="EA",IF(TRIM($E248)="M",ROUNDUP(O248*0.85,0),IF(TRIM($E248)="P",O248,P248)),P248))</f>
        <v>16</v>
      </c>
      <c r="T248" t="str" cm="1">
        <f t="array" ref="T248">IFERROR(IF(D248="SET",_xlfn.TEXTJOIN(", ",TRUE,_xlfn._xlws.FILTER(TRANSPOSE(TRIM(_xlfn.TEXTSPLIT(N248,","))),COUNTIFS(B$3:B$650,TRANSPOSE(TRIM(_xlfn.TEXTSPLIT(N248,","))),O$3:O$650,"&lt;="&amp;$T$1))),""),"")</f>
        <v/>
      </c>
    </row>
    <row r="249" spans="1:20" ht="14.4" x14ac:dyDescent="0.3">
      <c r="A249" s="1">
        <v>39577</v>
      </c>
      <c r="B249" s="56" t="s">
        <v>799</v>
      </c>
      <c r="C249" s="2" t="s">
        <v>1263</v>
      </c>
      <c r="D249" s="1" t="s">
        <v>624</v>
      </c>
      <c r="E249" s="1" t="s">
        <v>686</v>
      </c>
      <c r="F249" s="9"/>
      <c r="G249" s="9"/>
      <c r="H249" s="16" t="s">
        <v>447</v>
      </c>
      <c r="I249" s="9" t="b">
        <f t="shared" si="5"/>
        <v>1</v>
      </c>
      <c r="J249" s="1" t="s">
        <v>409</v>
      </c>
      <c r="K249" s="1" t="s">
        <v>287</v>
      </c>
      <c r="L249" s="1" t="s">
        <v>287</v>
      </c>
      <c r="M249" s="9"/>
      <c r="N249" s="35"/>
      <c r="O249" s="24">
        <v>91</v>
      </c>
      <c r="P249" s="2" cm="1">
        <f t="array" ref="P249">_xlfn.XLOOKUP(TRIM(B249),TRIM('[1]wc-product-export-16-3-2026-177'!$A:$A),'[1]wc-product-export-16-3-2026-177'!$D:$D,0,0)</f>
        <v>0</v>
      </c>
      <c r="Q249" s="2" cm="1">
        <f t="array" ref="Q249">IF(TRIM($D249)="SET",IF($K249="Steak Set1",ROUNDDOWN(IFERROR(MIN(_xlfn._xlws.FILTER(O$3:O$650,ISNUMBER(MATCH(TRIM($B$3:$B$650),TRIM(_xlfn.TEXTSPLIT($N249,",")),0)))),0)/4,0)+P249,IF(IFERROR(MIN(_xlfn._xlws.FILTER(O$3:O$650,ISNUMBER(MATCH(TRIM($B$3:$B$650),TRIM(_xlfn.TEXTSPLIT($N249,",")),0)))),0)&gt;=$E$1,IFERROR(MIN(_xlfn._xlws.FILTER(O$3:O$650,ISNUMBER(MATCH(TRIM($B$3:$B$650),TRIM(_xlfn.TEXTSPLIT($N249,",")),0)))),0)+P249,P249)),IF(TRIM($D249)="EA",IF(TRIM($E249)="M",ROUNDUP(O249*0.85,0),IF(TRIM($E249)="P",O249,P249)),P249))</f>
        <v>78</v>
      </c>
      <c r="T249" t="str" cm="1">
        <f t="array" ref="T249">IFERROR(IF(D249="SET",_xlfn.TEXTJOIN(", ",TRUE,_xlfn._xlws.FILTER(TRANSPOSE(TRIM(_xlfn.TEXTSPLIT(N249,","))),COUNTIFS(B$3:B$650,TRANSPOSE(TRIM(_xlfn.TEXTSPLIT(N249,","))),O$3:O$650,"&lt;="&amp;$T$1))),""),"")</f>
        <v/>
      </c>
    </row>
    <row r="250" spans="1:20" ht="14.4" x14ac:dyDescent="0.3">
      <c r="A250" s="1">
        <v>39579</v>
      </c>
      <c r="B250" s="56" t="s">
        <v>800</v>
      </c>
      <c r="C250" s="2" t="s">
        <v>1263</v>
      </c>
      <c r="D250" s="1" t="s">
        <v>624</v>
      </c>
      <c r="E250" s="1" t="s">
        <v>686</v>
      </c>
      <c r="F250" s="9"/>
      <c r="G250" s="9"/>
      <c r="H250" s="16" t="s">
        <v>448</v>
      </c>
      <c r="I250" s="9" t="b">
        <f t="shared" si="5"/>
        <v>1</v>
      </c>
      <c r="J250" s="1" t="s">
        <v>409</v>
      </c>
      <c r="K250" s="1" t="s">
        <v>287</v>
      </c>
      <c r="L250" s="1" t="s">
        <v>287</v>
      </c>
      <c r="M250" s="9"/>
      <c r="N250" s="35"/>
      <c r="O250" s="24">
        <v>92</v>
      </c>
      <c r="P250" s="2" cm="1">
        <f t="array" ref="P250">_xlfn.XLOOKUP(TRIM(B250),TRIM('[1]wc-product-export-16-3-2026-177'!$A:$A),'[1]wc-product-export-16-3-2026-177'!$D:$D,0,0)</f>
        <v>0</v>
      </c>
      <c r="Q250" s="2" cm="1">
        <f t="array" ref="Q250">IF(TRIM($D250)="SET",IF($K250="Steak Set1",ROUNDDOWN(IFERROR(MIN(_xlfn._xlws.FILTER(O$3:O$650,ISNUMBER(MATCH(TRIM($B$3:$B$650),TRIM(_xlfn.TEXTSPLIT($N250,",")),0)))),0)/4,0)+P250,IF(IFERROR(MIN(_xlfn._xlws.FILTER(O$3:O$650,ISNUMBER(MATCH(TRIM($B$3:$B$650),TRIM(_xlfn.TEXTSPLIT($N250,",")),0)))),0)&gt;=$E$1,IFERROR(MIN(_xlfn._xlws.FILTER(O$3:O$650,ISNUMBER(MATCH(TRIM($B$3:$B$650),TRIM(_xlfn.TEXTSPLIT($N250,",")),0)))),0)+P250,P250)),IF(TRIM($D250)="EA",IF(TRIM($E250)="M",ROUNDUP(O250*0.85,0),IF(TRIM($E250)="P",O250,P250)),P250))</f>
        <v>79</v>
      </c>
      <c r="T250" t="str" cm="1">
        <f t="array" ref="T250">IFERROR(IF(D250="SET",_xlfn.TEXTJOIN(", ",TRUE,_xlfn._xlws.FILTER(TRANSPOSE(TRIM(_xlfn.TEXTSPLIT(N250,","))),COUNTIFS(B$3:B$650,TRANSPOSE(TRIM(_xlfn.TEXTSPLIT(N250,","))),O$3:O$650,"&lt;="&amp;$T$1))),""),"")</f>
        <v/>
      </c>
    </row>
    <row r="251" spans="1:20" ht="14.4" x14ac:dyDescent="0.3">
      <c r="A251" s="1">
        <v>39580</v>
      </c>
      <c r="B251" s="56" t="s">
        <v>801</v>
      </c>
      <c r="C251" s="2" t="s">
        <v>1263</v>
      </c>
      <c r="D251" s="1" t="s">
        <v>624</v>
      </c>
      <c r="E251" s="1" t="s">
        <v>686</v>
      </c>
      <c r="F251" s="9"/>
      <c r="G251" s="9"/>
      <c r="H251" s="16" t="s">
        <v>440</v>
      </c>
      <c r="I251" s="9" t="b">
        <f t="shared" si="5"/>
        <v>0</v>
      </c>
      <c r="J251" s="1" t="s">
        <v>409</v>
      </c>
      <c r="K251" s="1" t="s">
        <v>15</v>
      </c>
      <c r="L251" s="1" t="s">
        <v>1725</v>
      </c>
      <c r="M251" s="9"/>
      <c r="N251" s="35"/>
      <c r="O251" s="24">
        <v>130</v>
      </c>
      <c r="P251" s="2" cm="1">
        <f t="array" ref="P251">_xlfn.XLOOKUP(TRIM(B251),TRIM('[1]wc-product-export-16-3-2026-177'!$A:$A),'[1]wc-product-export-16-3-2026-177'!$D:$D,0,0)</f>
        <v>0</v>
      </c>
      <c r="Q251" s="2" cm="1">
        <f t="array" ref="Q251">IF(TRIM($D251)="SET",IF($K251="Steak Set1",ROUNDDOWN(IFERROR(MIN(_xlfn._xlws.FILTER(O$3:O$650,ISNUMBER(MATCH(TRIM($B$3:$B$650),TRIM(_xlfn.TEXTSPLIT($N251,",")),0)))),0)/4,0)+P251,IF(IFERROR(MIN(_xlfn._xlws.FILTER(O$3:O$650,ISNUMBER(MATCH(TRIM($B$3:$B$650),TRIM(_xlfn.TEXTSPLIT($N251,",")),0)))),0)&gt;=$E$1,IFERROR(MIN(_xlfn._xlws.FILTER(O$3:O$650,ISNUMBER(MATCH(TRIM($B$3:$B$650),TRIM(_xlfn.TEXTSPLIT($N251,",")),0)))),0)+P251,P251)),IF(TRIM($D251)="EA",IF(TRIM($E251)="M",ROUNDUP(O251*0.85,0),IF(TRIM($E251)="P",O251,P251)),P251))</f>
        <v>111</v>
      </c>
      <c r="T251" t="str" cm="1">
        <f t="array" ref="T251">IFERROR(IF(D251="SET",_xlfn.TEXTJOIN(", ",TRUE,_xlfn._xlws.FILTER(TRANSPOSE(TRIM(_xlfn.TEXTSPLIT(N251,","))),COUNTIFS(B$3:B$650,TRANSPOSE(TRIM(_xlfn.TEXTSPLIT(N251,","))),O$3:O$650,"&lt;="&amp;$T$1))),""),"")</f>
        <v/>
      </c>
    </row>
    <row r="252" spans="1:20" ht="14.4" x14ac:dyDescent="0.3">
      <c r="A252" s="1">
        <v>39583</v>
      </c>
      <c r="B252" s="56" t="s">
        <v>802</v>
      </c>
      <c r="C252" s="2" t="s">
        <v>1263</v>
      </c>
      <c r="D252" s="1" t="s">
        <v>624</v>
      </c>
      <c r="E252" s="1" t="s">
        <v>686</v>
      </c>
      <c r="F252" s="9"/>
      <c r="G252" s="9"/>
      <c r="H252" s="16" t="s">
        <v>449</v>
      </c>
      <c r="I252" s="9" t="b">
        <f t="shared" si="5"/>
        <v>1</v>
      </c>
      <c r="J252" s="1" t="s">
        <v>409</v>
      </c>
      <c r="K252" s="1" t="s">
        <v>287</v>
      </c>
      <c r="L252" s="1" t="s">
        <v>287</v>
      </c>
      <c r="M252" s="9"/>
      <c r="N252" s="35"/>
      <c r="O252" s="24">
        <v>27</v>
      </c>
      <c r="P252" s="2" cm="1">
        <f t="array" ref="P252">_xlfn.XLOOKUP(TRIM(B252),TRIM('[1]wc-product-export-16-3-2026-177'!$A:$A),'[1]wc-product-export-16-3-2026-177'!$D:$D,0,0)</f>
        <v>0</v>
      </c>
      <c r="Q252" s="2" cm="1">
        <f t="array" ref="Q252">IF(TRIM($D252)="SET",IF($K252="Steak Set1",ROUNDDOWN(IFERROR(MIN(_xlfn._xlws.FILTER(O$3:O$650,ISNUMBER(MATCH(TRIM($B$3:$B$650),TRIM(_xlfn.TEXTSPLIT($N252,",")),0)))),0)/4,0)+P252,IF(IFERROR(MIN(_xlfn._xlws.FILTER(O$3:O$650,ISNUMBER(MATCH(TRIM($B$3:$B$650),TRIM(_xlfn.TEXTSPLIT($N252,",")),0)))),0)&gt;=$E$1,IFERROR(MIN(_xlfn._xlws.FILTER(O$3:O$650,ISNUMBER(MATCH(TRIM($B$3:$B$650),TRIM(_xlfn.TEXTSPLIT($N252,",")),0)))),0)+P252,P252)),IF(TRIM($D252)="EA",IF(TRIM($E252)="M",ROUNDUP(O252*0.85,0),IF(TRIM($E252)="P",O252,P252)),P252))</f>
        <v>23</v>
      </c>
      <c r="T252" t="str" cm="1">
        <f t="array" ref="T252">IFERROR(IF(D252="SET",_xlfn.TEXTJOIN(", ",TRUE,_xlfn._xlws.FILTER(TRANSPOSE(TRIM(_xlfn.TEXTSPLIT(N252,","))),COUNTIFS(B$3:B$650,TRANSPOSE(TRIM(_xlfn.TEXTSPLIT(N252,","))),O$3:O$650,"&lt;="&amp;$T$1))),""),"")</f>
        <v/>
      </c>
    </row>
    <row r="253" spans="1:20" ht="14.4" x14ac:dyDescent="0.3">
      <c r="A253" s="1">
        <v>39584</v>
      </c>
      <c r="B253" s="56" t="s">
        <v>803</v>
      </c>
      <c r="C253" s="2" t="s">
        <v>1263</v>
      </c>
      <c r="D253" s="1" t="s">
        <v>624</v>
      </c>
      <c r="E253" s="1" t="s">
        <v>686</v>
      </c>
      <c r="F253" s="9" t="s">
        <v>1688</v>
      </c>
      <c r="G253" s="9"/>
      <c r="H253" s="16" t="s">
        <v>450</v>
      </c>
      <c r="I253" s="9" t="b">
        <f t="shared" si="5"/>
        <v>1</v>
      </c>
      <c r="J253" s="1" t="s">
        <v>409</v>
      </c>
      <c r="K253" s="1" t="s">
        <v>287</v>
      </c>
      <c r="L253" s="1" t="s">
        <v>287</v>
      </c>
      <c r="M253" s="9"/>
      <c r="N253" s="35"/>
      <c r="O253" s="24">
        <v>49</v>
      </c>
      <c r="P253" s="2" cm="1">
        <f t="array" ref="P253">_xlfn.XLOOKUP(TRIM(B253),TRIM('[1]wc-product-export-16-3-2026-177'!$A:$A),'[1]wc-product-export-16-3-2026-177'!$D:$D,0,0)</f>
        <v>0</v>
      </c>
      <c r="Q253" s="2" cm="1">
        <f t="array" ref="Q253">IF(TRIM($D253)="SET",IF($K253="Steak Set1",ROUNDDOWN(IFERROR(MIN(_xlfn._xlws.FILTER(O$3:O$650,ISNUMBER(MATCH(TRIM($B$3:$B$650),TRIM(_xlfn.TEXTSPLIT($N253,",")),0)))),0)/4,0)+P253,IF(IFERROR(MIN(_xlfn._xlws.FILTER(O$3:O$650,ISNUMBER(MATCH(TRIM($B$3:$B$650),TRIM(_xlfn.TEXTSPLIT($N253,",")),0)))),0)&gt;=$E$1,IFERROR(MIN(_xlfn._xlws.FILTER(O$3:O$650,ISNUMBER(MATCH(TRIM($B$3:$B$650),TRIM(_xlfn.TEXTSPLIT($N253,",")),0)))),0)+P253,P253)),IF(TRIM($D253)="EA",IF(TRIM($E253)="M",ROUNDUP(O253*0.85,0),IF(TRIM($E253)="P",O253,P253)),P253))</f>
        <v>42</v>
      </c>
      <c r="T253" t="str" cm="1">
        <f t="array" ref="T253">IFERROR(IF(D253="SET",_xlfn.TEXTJOIN(", ",TRUE,_xlfn._xlws.FILTER(TRANSPOSE(TRIM(_xlfn.TEXTSPLIT(N253,","))),COUNTIFS(B$3:B$650,TRANSPOSE(TRIM(_xlfn.TEXTSPLIT(N253,","))),O$3:O$650,"&lt;="&amp;$T$1))),""),"")</f>
        <v/>
      </c>
    </row>
    <row r="254" spans="1:20" ht="14.4" hidden="1" x14ac:dyDescent="0.3">
      <c r="A254" s="1">
        <v>39585</v>
      </c>
      <c r="B254" s="1" t="s">
        <v>804</v>
      </c>
      <c r="C254" s="1" t="s">
        <v>1259</v>
      </c>
      <c r="D254" s="1" t="s">
        <v>624</v>
      </c>
      <c r="E254" s="1" t="s">
        <v>686</v>
      </c>
      <c r="F254" s="9" t="s">
        <v>1689</v>
      </c>
      <c r="G254" s="9"/>
      <c r="H254" s="53" t="s">
        <v>333</v>
      </c>
      <c r="I254" s="9" t="b">
        <f t="shared" si="5"/>
        <v>1</v>
      </c>
      <c r="J254" s="1" t="s">
        <v>401</v>
      </c>
      <c r="K254" s="1" t="s">
        <v>287</v>
      </c>
      <c r="L254" s="1" t="s">
        <v>287</v>
      </c>
      <c r="M254" s="9"/>
      <c r="N254" s="35"/>
      <c r="O254" s="2" t="s">
        <v>458</v>
      </c>
      <c r="P254" s="2" cm="1">
        <f t="array" ref="P254">_xlfn.XLOOKUP(TRIM(B254),TRIM('[1]wc-product-export-16-3-2026-177'!$A:$A),'[1]wc-product-export-16-3-2026-177'!$D:$D,0,0)</f>
        <v>0</v>
      </c>
      <c r="Q254" s="2" t="e" cm="1">
        <f t="array" ref="Q254">IF(TRIM($D254)="SET",IF($K254="Steak Set1",ROUNDDOWN(IFERROR(MIN(_xlfn._xlws.FILTER(O$3:O$650,ISNUMBER(MATCH(TRIM($B$3:$B$650),TRIM(_xlfn.TEXTSPLIT($N254,",")),0)))),0)/4,0)+P254,IF(IFERROR(MIN(_xlfn._xlws.FILTER(O$3:O$650,ISNUMBER(MATCH(TRIM($B$3:$B$650),TRIM(_xlfn.TEXTSPLIT($N254,",")),0)))),0)&gt;=$E$1,IFERROR(MIN(_xlfn._xlws.FILTER(O$3:O$650,ISNUMBER(MATCH(TRIM($B$3:$B$650),TRIM(_xlfn.TEXTSPLIT($N254,",")),0)))),0)+P254,P254)),IF(TRIM($D254)="EA",IF(TRIM($E254)="M",ROUNDUP(O254*0.85,0),IF(TRIM($E254)="P",O254,P254)),P254))</f>
        <v>#VALUE!</v>
      </c>
      <c r="T254" t="str" cm="1">
        <f t="array" ref="T254">IFERROR(IF(D254="SET",_xlfn.TEXTJOIN(", ",TRUE,_xlfn._xlws.FILTER(TRANSPOSE(TRIM(_xlfn.TEXTSPLIT(N254,","))),COUNTIFS(B$3:B$650,TRANSPOSE(TRIM(_xlfn.TEXTSPLIT(N254,","))),O$3:O$650,"&lt;="&amp;$T$1))),""),"")</f>
        <v/>
      </c>
    </row>
    <row r="255" spans="1:20" ht="14.4" hidden="1" x14ac:dyDescent="0.3">
      <c r="A255" s="1">
        <v>39586</v>
      </c>
      <c r="B255" s="1" t="s">
        <v>805</v>
      </c>
      <c r="C255" s="1" t="s">
        <v>1259</v>
      </c>
      <c r="D255" s="1" t="s">
        <v>624</v>
      </c>
      <c r="E255" s="1" t="s">
        <v>686</v>
      </c>
      <c r="F255" s="9" t="s">
        <v>1689</v>
      </c>
      <c r="G255" s="9"/>
      <c r="H255" s="16" t="s">
        <v>334</v>
      </c>
      <c r="I255" s="9" t="b">
        <f t="shared" si="5"/>
        <v>1</v>
      </c>
      <c r="J255" s="1" t="s">
        <v>401</v>
      </c>
      <c r="K255" s="1" t="s">
        <v>287</v>
      </c>
      <c r="L255" s="1" t="s">
        <v>287</v>
      </c>
      <c r="M255" s="9"/>
      <c r="N255" s="35"/>
      <c r="O255" s="2" t="s">
        <v>458</v>
      </c>
      <c r="P255" s="2" cm="1">
        <f t="array" ref="P255">_xlfn.XLOOKUP(TRIM(B255),TRIM('[1]wc-product-export-16-3-2026-177'!$A:$A),'[1]wc-product-export-16-3-2026-177'!$D:$D,0,0)</f>
        <v>0</v>
      </c>
      <c r="Q255" s="2" t="e" cm="1">
        <f t="array" ref="Q255">IF(TRIM($D255)="SET",IF($K255="Steak Set1",ROUNDDOWN(IFERROR(MIN(_xlfn._xlws.FILTER(O$3:O$650,ISNUMBER(MATCH(TRIM($B$3:$B$650),TRIM(_xlfn.TEXTSPLIT($N255,",")),0)))),0)/4,0)+P255,IF(IFERROR(MIN(_xlfn._xlws.FILTER(O$3:O$650,ISNUMBER(MATCH(TRIM($B$3:$B$650),TRIM(_xlfn.TEXTSPLIT($N255,",")),0)))),0)&gt;=$E$1,IFERROR(MIN(_xlfn._xlws.FILTER(O$3:O$650,ISNUMBER(MATCH(TRIM($B$3:$B$650),TRIM(_xlfn.TEXTSPLIT($N255,",")),0)))),0)+P255,P255)),IF(TRIM($D255)="EA",IF(TRIM($E255)="M",ROUNDUP(O255*0.85,0),IF(TRIM($E255)="P",O255,P255)),P255))</f>
        <v>#VALUE!</v>
      </c>
      <c r="T255" t="str" cm="1">
        <f t="array" ref="T255">IFERROR(IF(D255="SET",_xlfn.TEXTJOIN(", ",TRUE,_xlfn._xlws.FILTER(TRANSPOSE(TRIM(_xlfn.TEXTSPLIT(N255,","))),COUNTIFS(B$3:B$650,TRANSPOSE(TRIM(_xlfn.TEXTSPLIT(N255,","))),O$3:O$650,"&lt;="&amp;$T$1))),""),"")</f>
        <v/>
      </c>
    </row>
    <row r="256" spans="1:20" ht="14.4" x14ac:dyDescent="0.3">
      <c r="A256" s="1">
        <v>39590</v>
      </c>
      <c r="B256" s="56" t="s">
        <v>806</v>
      </c>
      <c r="C256" s="2" t="s">
        <v>1263</v>
      </c>
      <c r="D256" s="1" t="s">
        <v>624</v>
      </c>
      <c r="E256" s="1" t="s">
        <v>686</v>
      </c>
      <c r="F256" s="9"/>
      <c r="G256" s="9"/>
      <c r="H256" s="16" t="s">
        <v>451</v>
      </c>
      <c r="I256" s="9" t="b">
        <f t="shared" si="5"/>
        <v>1</v>
      </c>
      <c r="J256" s="1" t="s">
        <v>409</v>
      </c>
      <c r="K256" s="1" t="s">
        <v>287</v>
      </c>
      <c r="L256" s="1" t="s">
        <v>287</v>
      </c>
      <c r="M256" s="9"/>
      <c r="N256" s="35"/>
      <c r="O256" s="24">
        <v>49</v>
      </c>
      <c r="P256" s="2" cm="1">
        <f t="array" ref="P256">_xlfn.XLOOKUP(TRIM(B256),TRIM('[1]wc-product-export-16-3-2026-177'!$A:$A),'[1]wc-product-export-16-3-2026-177'!$D:$D,0,0)</f>
        <v>0</v>
      </c>
      <c r="Q256" s="2" cm="1">
        <f t="array" ref="Q256">IF(TRIM($D256)="SET",IF($K256="Steak Set1",ROUNDDOWN(IFERROR(MIN(_xlfn._xlws.FILTER(O$3:O$650,ISNUMBER(MATCH(TRIM($B$3:$B$650),TRIM(_xlfn.TEXTSPLIT($N256,",")),0)))),0)/4,0)+P256,IF(IFERROR(MIN(_xlfn._xlws.FILTER(O$3:O$650,ISNUMBER(MATCH(TRIM($B$3:$B$650),TRIM(_xlfn.TEXTSPLIT($N256,",")),0)))),0)&gt;=$E$1,IFERROR(MIN(_xlfn._xlws.FILTER(O$3:O$650,ISNUMBER(MATCH(TRIM($B$3:$B$650),TRIM(_xlfn.TEXTSPLIT($N256,",")),0)))),0)+P256,P256)),IF(TRIM($D256)="EA",IF(TRIM($E256)="M",ROUNDUP(O256*0.85,0),IF(TRIM($E256)="P",O256,P256)),P256))</f>
        <v>42</v>
      </c>
      <c r="T256" t="str" cm="1">
        <f t="array" ref="T256">IFERROR(IF(D256="SET",_xlfn.TEXTJOIN(", ",TRUE,_xlfn._xlws.FILTER(TRANSPOSE(TRIM(_xlfn.TEXTSPLIT(N256,","))),COUNTIFS(B$3:B$650,TRANSPOSE(TRIM(_xlfn.TEXTSPLIT(N256,","))),O$3:O$650,"&lt;="&amp;$T$1))),""),"")</f>
        <v/>
      </c>
    </row>
    <row r="257" spans="1:22" ht="14.4" x14ac:dyDescent="0.3">
      <c r="A257" s="1">
        <v>39593</v>
      </c>
      <c r="B257" s="56" t="s">
        <v>807</v>
      </c>
      <c r="C257" s="2" t="s">
        <v>1263</v>
      </c>
      <c r="D257" s="1" t="s">
        <v>624</v>
      </c>
      <c r="E257" s="1" t="s">
        <v>686</v>
      </c>
      <c r="F257" s="9" t="s">
        <v>1688</v>
      </c>
      <c r="G257" s="9"/>
      <c r="H257" s="16" t="s">
        <v>452</v>
      </c>
      <c r="I257" s="9" t="b">
        <f t="shared" si="5"/>
        <v>1</v>
      </c>
      <c r="J257" s="1" t="s">
        <v>409</v>
      </c>
      <c r="K257" s="1" t="s">
        <v>287</v>
      </c>
      <c r="L257" s="1" t="s">
        <v>287</v>
      </c>
      <c r="M257" s="9"/>
      <c r="N257" s="35"/>
      <c r="O257" s="24">
        <v>72</v>
      </c>
      <c r="P257" s="2" cm="1">
        <f t="array" ref="P257">_xlfn.XLOOKUP(TRIM(B257),TRIM('[1]wc-product-export-16-3-2026-177'!$A:$A),'[1]wc-product-export-16-3-2026-177'!$D:$D,0,0)</f>
        <v>0</v>
      </c>
      <c r="Q257" s="2" cm="1">
        <f t="array" ref="Q257">IF(TRIM($D257)="SET",IF($K257="Steak Set1",ROUNDDOWN(IFERROR(MIN(_xlfn._xlws.FILTER(O$3:O$650,ISNUMBER(MATCH(TRIM($B$3:$B$650),TRIM(_xlfn.TEXTSPLIT($N257,",")),0)))),0)/4,0)+P257,IF(IFERROR(MIN(_xlfn._xlws.FILTER(O$3:O$650,ISNUMBER(MATCH(TRIM($B$3:$B$650),TRIM(_xlfn.TEXTSPLIT($N257,",")),0)))),0)&gt;=$E$1,IFERROR(MIN(_xlfn._xlws.FILTER(O$3:O$650,ISNUMBER(MATCH(TRIM($B$3:$B$650),TRIM(_xlfn.TEXTSPLIT($N257,",")),0)))),0)+P257,P257)),IF(TRIM($D257)="EA",IF(TRIM($E257)="M",ROUNDUP(O257*0.85,0),IF(TRIM($E257)="P",O257,P257)),P257))</f>
        <v>62</v>
      </c>
      <c r="T257" t="str" cm="1">
        <f t="array" ref="T257">IFERROR(IF(D257="SET",_xlfn.TEXTJOIN(", ",TRUE,_xlfn._xlws.FILTER(TRANSPOSE(TRIM(_xlfn.TEXTSPLIT(N257,","))),COUNTIFS(B$3:B$650,TRANSPOSE(TRIM(_xlfn.TEXTSPLIT(N257,","))),O$3:O$650,"&lt;="&amp;$T$1))),""),"")</f>
        <v/>
      </c>
    </row>
    <row r="258" spans="1:22" ht="14.4" hidden="1" x14ac:dyDescent="0.3">
      <c r="A258" s="1">
        <v>39658</v>
      </c>
      <c r="B258" s="1" t="s">
        <v>1233</v>
      </c>
      <c r="C258" s="1" t="s">
        <v>1259</v>
      </c>
      <c r="D258" s="1" t="s">
        <v>624</v>
      </c>
      <c r="E258" s="1" t="s">
        <v>686</v>
      </c>
      <c r="F258" s="9" t="s">
        <v>1688</v>
      </c>
      <c r="G258" s="9"/>
      <c r="H258" s="53" t="s">
        <v>1234</v>
      </c>
      <c r="I258" s="9" t="b">
        <f t="shared" si="5"/>
        <v>0</v>
      </c>
      <c r="J258" s="1" t="s">
        <v>1530</v>
      </c>
      <c r="L258" s="1" t="s">
        <v>1724</v>
      </c>
      <c r="M258" s="9"/>
      <c r="N258" s="35"/>
      <c r="O258" s="2" t="s">
        <v>458</v>
      </c>
      <c r="P258" s="2" cm="1">
        <f t="array" ref="P258">_xlfn.XLOOKUP(TRIM(B258),TRIM('[1]wc-product-export-16-3-2026-177'!$A:$A),'[1]wc-product-export-16-3-2026-177'!$D:$D,0,0)</f>
        <v>0</v>
      </c>
      <c r="Q258" s="2" t="e" cm="1">
        <f t="array" ref="Q258">IF(TRIM($D258)="SET",IF($K258="Steak Set1",ROUNDDOWN(IFERROR(MIN(_xlfn._xlws.FILTER(O$3:O$650,ISNUMBER(MATCH(TRIM($B$3:$B$650),TRIM(_xlfn.TEXTSPLIT($N258,",")),0)))),0)/4,0)+P258,IF(IFERROR(MIN(_xlfn._xlws.FILTER(O$3:O$650,ISNUMBER(MATCH(TRIM($B$3:$B$650),TRIM(_xlfn.TEXTSPLIT($N258,",")),0)))),0)&gt;=$E$1,IFERROR(MIN(_xlfn._xlws.FILTER(O$3:O$650,ISNUMBER(MATCH(TRIM($B$3:$B$650),TRIM(_xlfn.TEXTSPLIT($N258,",")),0)))),0)+P258,P258)),IF(TRIM($D258)="EA",IF(TRIM($E258)="M",ROUNDUP(O258*0.85,0),IF(TRIM($E258)="P",O258,P258)),P258))</f>
        <v>#VALUE!</v>
      </c>
      <c r="T258" t="str" cm="1">
        <f t="array" ref="T258">IFERROR(IF(D258="SET",_xlfn.TEXTJOIN(", ",TRUE,_xlfn._xlws.FILTER(TRANSPOSE(TRIM(_xlfn.TEXTSPLIT(N258,","))),COUNTIFS(B$3:B$650,TRANSPOSE(TRIM(_xlfn.TEXTSPLIT(N258,","))),O$3:O$650,"&lt;="&amp;$T$1))),""),"")</f>
        <v/>
      </c>
    </row>
    <row r="259" spans="1:22" ht="14.4" x14ac:dyDescent="0.3">
      <c r="A259" s="1">
        <v>39800</v>
      </c>
      <c r="B259" s="56" t="s">
        <v>809</v>
      </c>
      <c r="C259" s="1" t="s">
        <v>1260</v>
      </c>
      <c r="D259" s="1" t="s">
        <v>624</v>
      </c>
      <c r="E259" s="1" t="s">
        <v>623</v>
      </c>
      <c r="F259" s="9"/>
      <c r="G259" s="9"/>
      <c r="H259" s="16" t="s">
        <v>80</v>
      </c>
      <c r="I259" s="9" t="b">
        <f t="shared" si="5"/>
        <v>0</v>
      </c>
      <c r="J259" s="1" t="s">
        <v>399</v>
      </c>
      <c r="K259" s="1" t="s">
        <v>265</v>
      </c>
      <c r="L259" s="1" t="s">
        <v>265</v>
      </c>
      <c r="M259" s="9"/>
      <c r="N259" s="35"/>
      <c r="O259" s="24">
        <v>379</v>
      </c>
      <c r="P259" s="2" cm="1">
        <f t="array" ref="P259">_xlfn.XLOOKUP(TRIM(B259),TRIM('[1]wc-product-export-16-3-2026-177'!$A:$A),'[1]wc-product-export-16-3-2026-177'!$D:$D,0,0)</f>
        <v>0</v>
      </c>
      <c r="Q259" s="2" cm="1">
        <f t="array" ref="Q259">IF(TRIM($D259)="SET",IF($K259="Steak Set1",ROUNDDOWN(IFERROR(MIN(_xlfn._xlws.FILTER(O$3:O$650,ISNUMBER(MATCH(TRIM($B$3:$B$650),TRIM(_xlfn.TEXTSPLIT($N259,",")),0)))),0)/4,0)+P259,IF(IFERROR(MIN(_xlfn._xlws.FILTER(O$3:O$650,ISNUMBER(MATCH(TRIM($B$3:$B$650),TRIM(_xlfn.TEXTSPLIT($N259,",")),0)))),0)&gt;=$E$1,IFERROR(MIN(_xlfn._xlws.FILTER(O$3:O$650,ISNUMBER(MATCH(TRIM($B$3:$B$650),TRIM(_xlfn.TEXTSPLIT($N259,",")),0)))),0)+P259,P259)),IF(TRIM($D259)="EA",IF(TRIM($E259)="M",ROUNDUP(O259*0.85,0),IF(TRIM($E259)="P",O259,P259)),P259))</f>
        <v>379</v>
      </c>
      <c r="T259" t="str" cm="1">
        <f t="array" ref="T259">IFERROR(IF(D259="SET",_xlfn.TEXTJOIN(", ",TRUE,_xlfn._xlws.FILTER(TRANSPOSE(TRIM(_xlfn.TEXTSPLIT(N259,","))),COUNTIFS(B$3:B$650,TRANSPOSE(TRIM(_xlfn.TEXTSPLIT(N259,","))),O$3:O$650,"&lt;="&amp;$T$1))),""),"")</f>
        <v/>
      </c>
    </row>
    <row r="260" spans="1:22" ht="14.4" x14ac:dyDescent="0.3">
      <c r="A260" s="1">
        <v>39801</v>
      </c>
      <c r="B260" s="55" t="s">
        <v>810</v>
      </c>
      <c r="C260" s="1" t="s">
        <v>1260</v>
      </c>
      <c r="D260" s="1" t="s">
        <v>628</v>
      </c>
      <c r="E260" s="1" t="s">
        <v>686</v>
      </c>
      <c r="F260" s="9"/>
      <c r="G260" s="9"/>
      <c r="H260" s="16" t="s">
        <v>531</v>
      </c>
      <c r="I260" s="9" t="b">
        <f t="shared" ref="I260:I323" si="6">ISNUMBER(SEARCH($I$2,H260))</f>
        <v>0</v>
      </c>
      <c r="J260" s="1" t="s">
        <v>399</v>
      </c>
      <c r="K260" s="1" t="s">
        <v>1715</v>
      </c>
      <c r="L260" s="1" t="s">
        <v>1715</v>
      </c>
      <c r="M260" s="9"/>
      <c r="N260" s="35" t="s">
        <v>1599</v>
      </c>
      <c r="O260" s="24">
        <v>2</v>
      </c>
      <c r="P260" s="2" cm="1">
        <f t="array" ref="P260">_xlfn.XLOOKUP(TRIM(B260),TRIM('[1]wc-product-export-16-3-2026-177'!$A:$A),'[1]wc-product-export-16-3-2026-177'!$D:$D,0,0)</f>
        <v>0</v>
      </c>
      <c r="Q260" s="2" cm="1">
        <f t="array" ref="Q260">IF(TRIM($D260)="SET",IF($K260="Steak Set1",ROUNDDOWN(IFERROR(MIN(_xlfn._xlws.FILTER(O$3:O$650,ISNUMBER(MATCH(TRIM($B$3:$B$650),TRIM(_xlfn.TEXTSPLIT($N260,",")),0)))),0)/4,0)+P260,IF(IFERROR(MIN(_xlfn._xlws.FILTER(O$3:O$650,ISNUMBER(MATCH(TRIM($B$3:$B$650),TRIM(_xlfn.TEXTSPLIT($N260,",")),0)))),0)&gt;=$E$1,IFERROR(MIN(_xlfn._xlws.FILTER(O$3:O$650,ISNUMBER(MATCH(TRIM($B$3:$B$650),TRIM(_xlfn.TEXTSPLIT($N260,",")),0)))),0)+P260,P260)),IF(TRIM($D260)="EA",IF(TRIM($E260)="M",ROUNDUP(O260*0.85,0),IF(TRIM($E260)="P",O260,P260)),P260))</f>
        <v>0</v>
      </c>
      <c r="T260" t="str" cm="1">
        <f t="array" ref="T260">IFERROR(IF(D260="SET",_xlfn.TEXTJOIN(", ",TRUE,_xlfn._xlws.FILTER(TRANSPOSE(TRIM(_xlfn.TEXTSPLIT(N260,","))),COUNTIFS(B$3:B$650,TRANSPOSE(TRIM(_xlfn.TEXTSPLIT(N260,","))),O$3:O$650,"&lt;="&amp;$T$1))),""),"")</f>
        <v>39835</v>
      </c>
    </row>
    <row r="261" spans="1:22" ht="14.4" x14ac:dyDescent="0.3">
      <c r="A261" s="1">
        <v>39802</v>
      </c>
      <c r="B261" s="55" t="s">
        <v>811</v>
      </c>
      <c r="C261" s="1" t="s">
        <v>1260</v>
      </c>
      <c r="D261" s="1" t="s">
        <v>628</v>
      </c>
      <c r="E261" s="1" t="s">
        <v>686</v>
      </c>
      <c r="F261" s="9"/>
      <c r="G261" s="9"/>
      <c r="H261" s="16" t="s">
        <v>532</v>
      </c>
      <c r="I261" s="9" t="b">
        <f t="shared" si="6"/>
        <v>0</v>
      </c>
      <c r="J261" s="1" t="s">
        <v>399</v>
      </c>
      <c r="K261" s="1" t="s">
        <v>280</v>
      </c>
      <c r="L261" s="1" t="s">
        <v>1716</v>
      </c>
      <c r="M261" s="9"/>
      <c r="N261" s="35" t="s">
        <v>1590</v>
      </c>
      <c r="O261" s="24">
        <v>2</v>
      </c>
      <c r="P261" s="2" cm="1">
        <f t="array" ref="P261">_xlfn.XLOOKUP(TRIM(B261),TRIM('[1]wc-product-export-16-3-2026-177'!$A:$A),'[1]wc-product-export-16-3-2026-177'!$D:$D,0,0)</f>
        <v>0</v>
      </c>
      <c r="Q261" s="2" cm="1">
        <f t="array" ref="Q261">IF(TRIM($D261)="SET",IF($K261="Steak Set1",ROUNDDOWN(IFERROR(MIN(_xlfn._xlws.FILTER(O$3:O$650,ISNUMBER(MATCH(TRIM($B$3:$B$650),TRIM(_xlfn.TEXTSPLIT($N261,",")),0)))),0)/4,0)+P261,IF(IFERROR(MIN(_xlfn._xlws.FILTER(O$3:O$650,ISNUMBER(MATCH(TRIM($B$3:$B$650),TRIM(_xlfn.TEXTSPLIT($N261,",")),0)))),0)&gt;=$E$1,IFERROR(MIN(_xlfn._xlws.FILTER(O$3:O$650,ISNUMBER(MATCH(TRIM($B$3:$B$650),TRIM(_xlfn.TEXTSPLIT($N261,",")),0)))),0)+P261,P261)),IF(TRIM($D261)="EA",IF(TRIM($E261)="M",ROUNDUP(O261*0.85,0),IF(TRIM($E261)="P",O261,P261)),P261))</f>
        <v>0</v>
      </c>
      <c r="T261" t="str" cm="1">
        <f t="array" ref="T261">IFERROR(IF(D261="SET",_xlfn.TEXTJOIN(", ",TRUE,_xlfn._xlws.FILTER(TRANSPOSE(TRIM(_xlfn.TEXTSPLIT(N261,","))),COUNTIFS(B$3:B$650,TRANSPOSE(TRIM(_xlfn.TEXTSPLIT(N261,","))),O$3:O$650,"&lt;="&amp;$T$1))),""),"")</f>
        <v>39835</v>
      </c>
      <c r="V261" s="52"/>
    </row>
    <row r="262" spans="1:22" ht="24" x14ac:dyDescent="0.3">
      <c r="A262" s="1">
        <v>39803</v>
      </c>
      <c r="B262" s="1" t="s">
        <v>812</v>
      </c>
      <c r="C262" s="1" t="s">
        <v>1260</v>
      </c>
      <c r="D262" s="1" t="s">
        <v>628</v>
      </c>
      <c r="E262" s="1" t="s">
        <v>686</v>
      </c>
      <c r="F262" s="9" t="s">
        <v>1608</v>
      </c>
      <c r="G262" s="9" t="s">
        <v>1534</v>
      </c>
      <c r="H262" s="53" t="s">
        <v>533</v>
      </c>
      <c r="I262" s="9" t="b">
        <f t="shared" si="6"/>
        <v>0</v>
      </c>
      <c r="J262" s="1" t="s">
        <v>399</v>
      </c>
      <c r="K262" s="1" t="s">
        <v>1714</v>
      </c>
      <c r="L262" s="1" t="s">
        <v>1720</v>
      </c>
      <c r="M262" s="9">
        <v>2</v>
      </c>
      <c r="N262" s="35" t="s">
        <v>1572</v>
      </c>
      <c r="O262" s="2" t="s">
        <v>458</v>
      </c>
      <c r="P262" s="2" cm="1">
        <f t="array" ref="P262">_xlfn.XLOOKUP(TRIM(B262),TRIM('[1]wc-product-export-16-3-2026-177'!$A:$A),'[1]wc-product-export-16-3-2026-177'!$D:$D,0,0)</f>
        <v>0</v>
      </c>
      <c r="Q262" s="66" cm="1">
        <f t="array" ref="Q262">_xlfn.LET(_xlpm.items,TRIM(_xlfn.TEXTSPLIT($N262,",")),_xlpm.codes,TRIM($B$3:$B$650),_xlpm.qty,$O$3:$O$650,_xlpm.setMask,ISNUMBER(MATCH(_xlpm.codes,_xlpm.items,0)),_xlpm.knifeType,IF(ISNUMBER(SEARCH("fine",$H262)),"15",IF(ISNUMBER(SEARCH("serr",$H262)),"20","")),_xlpm.knifeStock,IFERROR(MIN(IF(_xlpm.setMask*(RIGHT(_xlpm.codes,2)=_xlpm.knifeType),_xlpm.qty)),0),_xlpm.otherStock,IFERROR(MIN(IF(_xlpm.setMask*(RIGHT(_xlpm.codes,2)&lt;&gt;_xlpm.knifeType),_xlpm.qty)),0),IF(_xlpm.knifeStock&gt;=8,MIN(ROUNDDOWN(_xlpm.knifeStock/8,0),_xlpm.otherStock),0)+P262)</f>
        <v>0</v>
      </c>
      <c r="T262" t="str" cm="1">
        <f t="array" ref="T262">IFERROR(IF(D262="SET",_xlfn.TEXTJOIN(", ",TRUE,_xlfn._xlws.FILTER(TRANSPOSE(TRIM(_xlfn.TEXTSPLIT(N262,","))),COUNTIFS(B$3:B$650,TRANSPOSE(TRIM(_xlfn.TEXTSPLIT(N262,","))),O$3:O$650,"&lt;="&amp;$T$1))),""),"")</f>
        <v>39835</v>
      </c>
      <c r="V262" s="52"/>
    </row>
    <row r="263" spans="1:22" ht="24" x14ac:dyDescent="0.3">
      <c r="A263" s="1">
        <v>39804</v>
      </c>
      <c r="B263" s="1" t="s">
        <v>813</v>
      </c>
      <c r="C263" s="1" t="s">
        <v>1260</v>
      </c>
      <c r="D263" s="1" t="s">
        <v>628</v>
      </c>
      <c r="E263" s="1" t="s">
        <v>686</v>
      </c>
      <c r="F263" s="9" t="s">
        <v>1608</v>
      </c>
      <c r="G263" s="9" t="s">
        <v>1534</v>
      </c>
      <c r="H263" s="16" t="s">
        <v>534</v>
      </c>
      <c r="I263" s="9" t="b">
        <f t="shared" si="6"/>
        <v>0</v>
      </c>
      <c r="J263" s="1" t="s">
        <v>399</v>
      </c>
      <c r="K263" s="1" t="s">
        <v>1714</v>
      </c>
      <c r="L263" s="1" t="s">
        <v>1720</v>
      </c>
      <c r="M263" s="9">
        <v>2</v>
      </c>
      <c r="N263" s="35" t="s">
        <v>1544</v>
      </c>
      <c r="O263" s="2" t="s">
        <v>458</v>
      </c>
      <c r="P263" s="2" cm="1">
        <f t="array" ref="P263">_xlfn.XLOOKUP(TRIM(B263),TRIM('[1]wc-product-export-16-3-2026-177'!$A:$A),'[1]wc-product-export-16-3-2026-177'!$D:$D,0,0)</f>
        <v>0</v>
      </c>
      <c r="Q263" s="66" cm="1">
        <f t="array" ref="Q263">_xlfn.LET(_xlpm.items,TRIM(_xlfn.TEXTSPLIT($N263,",")),_xlpm.codes,TRIM($B$3:$B$650),_xlpm.qty,$O$3:$O$650,_xlpm.setMask,ISNUMBER(MATCH(_xlpm.codes,_xlpm.items,0)),_xlpm.knifeType,IF(ISNUMBER(SEARCH("fine",$H263)),"15",IF(ISNUMBER(SEARCH("serr",$H263)),"20","")),_xlpm.knifeStock,IFERROR(MIN(IF(_xlpm.setMask*(RIGHT(_xlpm.codes,2)=_xlpm.knifeType),_xlpm.qty)),0),_xlpm.otherStock,IFERROR(MIN(IF(_xlpm.setMask*(RIGHT(_xlpm.codes,2)&lt;&gt;_xlpm.knifeType),_xlpm.qty)),0),IF(_xlpm.knifeStock&gt;=8,MIN(ROUNDDOWN(_xlpm.knifeStock/8,0),_xlpm.otherStock),0)+P263)</f>
        <v>0</v>
      </c>
      <c r="T263" t="str" cm="1">
        <f t="array" ref="T263">IFERROR(IF(D263="SET",_xlfn.TEXTJOIN(", ",TRUE,_xlfn._xlws.FILTER(TRANSPOSE(TRIM(_xlfn.TEXTSPLIT(N263,","))),COUNTIFS(B$3:B$650,TRANSPOSE(TRIM(_xlfn.TEXTSPLIT(N263,","))),O$3:O$650,"&lt;="&amp;$T$1))),""),"")</f>
        <v>39815, 39835</v>
      </c>
    </row>
    <row r="264" spans="1:22" ht="24" x14ac:dyDescent="0.3">
      <c r="A264" s="1">
        <v>39805</v>
      </c>
      <c r="B264" s="1" t="s">
        <v>814</v>
      </c>
      <c r="C264" s="1" t="s">
        <v>1260</v>
      </c>
      <c r="D264" s="1" t="s">
        <v>628</v>
      </c>
      <c r="E264" s="1" t="s">
        <v>686</v>
      </c>
      <c r="F264" s="9" t="s">
        <v>1608</v>
      </c>
      <c r="G264" s="9" t="s">
        <v>1534</v>
      </c>
      <c r="H264" s="16" t="s">
        <v>535</v>
      </c>
      <c r="I264" s="9" t="b">
        <f t="shared" si="6"/>
        <v>0</v>
      </c>
      <c r="J264" s="1" t="s">
        <v>399</v>
      </c>
      <c r="K264" s="1" t="s">
        <v>1714</v>
      </c>
      <c r="L264" s="1" t="s">
        <v>1719</v>
      </c>
      <c r="M264" s="9">
        <v>2</v>
      </c>
      <c r="N264" s="35" t="s">
        <v>1545</v>
      </c>
      <c r="O264" s="2" t="s">
        <v>458</v>
      </c>
      <c r="P264" s="2" cm="1">
        <f t="array" ref="P264">_xlfn.XLOOKUP(TRIM(B264),TRIM('[1]wc-product-export-16-3-2026-177'!$A:$A),'[1]wc-product-export-16-3-2026-177'!$D:$D,0,0)</f>
        <v>0</v>
      </c>
      <c r="Q264" s="66" cm="1">
        <f t="array" ref="Q264">_xlfn.LET(_xlpm.items,TRIM(_xlfn.TEXTSPLIT($N264,",")),_xlpm.codes,TRIM($B$3:$B$650),_xlpm.qty,$O$3:$O$650,_xlpm.setMask,ISNUMBER(MATCH(_xlpm.codes,_xlpm.items,0)),_xlpm.knifeType,IF(ISNUMBER(SEARCH("fine",$H264)),"15",IF(ISNUMBER(SEARCH("serr",$H264)),"20","")),_xlpm.knifeStock,IFERROR(MIN(IF(_xlpm.setMask*(RIGHT(_xlpm.codes,2)=_xlpm.knifeType),_xlpm.qty)),0),_xlpm.otherStock,IFERROR(MIN(IF(_xlpm.setMask*(RIGHT(_xlpm.codes,2)&lt;&gt;_xlpm.knifeType),_xlpm.qty)),0),IF(_xlpm.knifeStock&gt;=8,MIN(ROUNDDOWN(_xlpm.knifeStock/8,0),_xlpm.otherStock),0)+P264)</f>
        <v>0</v>
      </c>
      <c r="T264" t="str" cm="1">
        <f t="array" ref="T264">IFERROR(IF(D264="SET",_xlfn.TEXTJOIN(", ",TRUE,_xlfn._xlws.FILTER(TRANSPOSE(TRIM(_xlfn.TEXTSPLIT(N264,","))),COUNTIFS(B$3:B$650,TRANSPOSE(TRIM(_xlfn.TEXTSPLIT(N264,","))),O$3:O$650,"&lt;="&amp;$T$1))),""),"")</f>
        <v>39835</v>
      </c>
    </row>
    <row r="265" spans="1:22" ht="24" x14ac:dyDescent="0.3">
      <c r="A265" s="1">
        <v>39806</v>
      </c>
      <c r="B265" s="1" t="s">
        <v>815</v>
      </c>
      <c r="C265" s="1" t="s">
        <v>1260</v>
      </c>
      <c r="D265" s="1" t="s">
        <v>628</v>
      </c>
      <c r="E265" s="1" t="s">
        <v>686</v>
      </c>
      <c r="F265" s="9" t="s">
        <v>1608</v>
      </c>
      <c r="G265" s="9" t="s">
        <v>1534</v>
      </c>
      <c r="H265" s="16" t="s">
        <v>536</v>
      </c>
      <c r="I265" s="9" t="b">
        <f t="shared" si="6"/>
        <v>0</v>
      </c>
      <c r="J265" s="1" t="s">
        <v>399</v>
      </c>
      <c r="K265" s="1" t="s">
        <v>1714</v>
      </c>
      <c r="L265" s="1" t="s">
        <v>1719</v>
      </c>
      <c r="M265" s="9">
        <v>2</v>
      </c>
      <c r="N265" s="35" t="s">
        <v>1546</v>
      </c>
      <c r="O265" s="2" t="s">
        <v>458</v>
      </c>
      <c r="P265" s="2" cm="1">
        <f t="array" ref="P265">_xlfn.XLOOKUP(TRIM(B265),TRIM('[1]wc-product-export-16-3-2026-177'!$A:$A),'[1]wc-product-export-16-3-2026-177'!$D:$D,0,0)</f>
        <v>0</v>
      </c>
      <c r="Q265" s="66" cm="1">
        <f t="array" ref="Q265">_xlfn.LET(_xlpm.items,TRIM(_xlfn.TEXTSPLIT($N265,",")),_xlpm.codes,TRIM($B$3:$B$650),_xlpm.qty,$O$3:$O$650,_xlpm.setMask,ISNUMBER(MATCH(_xlpm.codes,_xlpm.items,0)),_xlpm.knifeType,IF(ISNUMBER(SEARCH("fine",$H265)),"15",IF(ISNUMBER(SEARCH("serr",$H265)),"20","")),_xlpm.knifeStock,IFERROR(MIN(IF(_xlpm.setMask*(RIGHT(_xlpm.codes,2)=_xlpm.knifeType),_xlpm.qty)),0),_xlpm.otherStock,IFERROR(MIN(IF(_xlpm.setMask*(RIGHT(_xlpm.codes,2)&lt;&gt;_xlpm.knifeType),_xlpm.qty)),0),IF(_xlpm.knifeStock&gt;=8,MIN(ROUNDDOWN(_xlpm.knifeStock/8,0),_xlpm.otherStock),0)+P265)</f>
        <v>0</v>
      </c>
      <c r="T265" t="str" cm="1">
        <f t="array" ref="T265">IFERROR(IF(D265="SET",_xlfn.TEXTJOIN(", ",TRUE,_xlfn._xlws.FILTER(TRANSPOSE(TRIM(_xlfn.TEXTSPLIT(N265,","))),COUNTIFS(B$3:B$650,TRANSPOSE(TRIM(_xlfn.TEXTSPLIT(N265,","))),O$3:O$650,"&lt;="&amp;$T$1))),""),"")</f>
        <v>39815, 39835</v>
      </c>
      <c r="V265" s="52"/>
    </row>
    <row r="266" spans="1:22" ht="14.4" x14ac:dyDescent="0.3">
      <c r="A266" s="1">
        <v>39807</v>
      </c>
      <c r="B266" s="55" t="s">
        <v>816</v>
      </c>
      <c r="C266" s="1" t="s">
        <v>1260</v>
      </c>
      <c r="D266" s="1" t="s">
        <v>624</v>
      </c>
      <c r="E266" s="1" t="s">
        <v>686</v>
      </c>
      <c r="F266" s="9"/>
      <c r="G266" s="9"/>
      <c r="H266" s="16" t="s">
        <v>45</v>
      </c>
      <c r="I266" s="9" t="b">
        <f t="shared" si="6"/>
        <v>0</v>
      </c>
      <c r="J266" s="1" t="s">
        <v>399</v>
      </c>
      <c r="K266" s="1" t="s">
        <v>266</v>
      </c>
      <c r="L266" s="1" t="s">
        <v>266</v>
      </c>
      <c r="M266" s="9"/>
      <c r="N266" s="35"/>
      <c r="O266" s="24">
        <v>0</v>
      </c>
      <c r="P266" s="2" cm="1">
        <f t="array" ref="P266">_xlfn.XLOOKUP(TRIM(B266),TRIM('[1]wc-product-export-16-3-2026-177'!$A:$A),'[1]wc-product-export-16-3-2026-177'!$D:$D,0,0)</f>
        <v>0</v>
      </c>
      <c r="Q266" s="2" cm="1">
        <f t="array" ref="Q266">IF(TRIM($D266)="SET",IF($K266="Steak Set1",ROUNDDOWN(IFERROR(MIN(_xlfn._xlws.FILTER(O$3:O$650,ISNUMBER(MATCH(TRIM($B$3:$B$650),TRIM(_xlfn.TEXTSPLIT($N266,",")),0)))),0)/4,0)+P266,IF(IFERROR(MIN(_xlfn._xlws.FILTER(O$3:O$650,ISNUMBER(MATCH(TRIM($B$3:$B$650),TRIM(_xlfn.TEXTSPLIT($N266,",")),0)))),0)&gt;=$E$1,IFERROR(MIN(_xlfn._xlws.FILTER(O$3:O$650,ISNUMBER(MATCH(TRIM($B$3:$B$650),TRIM(_xlfn.TEXTSPLIT($N266,",")),0)))),0)+P266,P266)),IF(TRIM($D266)="EA",IF(TRIM($E266)="M",ROUNDUP(O266*0.85,0),IF(TRIM($E266)="P",O266,P266)),P266))</f>
        <v>0</v>
      </c>
      <c r="T266" t="str" cm="1">
        <f t="array" ref="T266">IFERROR(IF(D266="SET",_xlfn.TEXTJOIN(", ",TRUE,_xlfn._xlws.FILTER(TRANSPOSE(TRIM(_xlfn.TEXTSPLIT(N266,","))),COUNTIFS(B$3:B$650,TRANSPOSE(TRIM(_xlfn.TEXTSPLIT(N266,","))),O$3:O$650,"&lt;="&amp;$T$1))),""),"")</f>
        <v/>
      </c>
    </row>
    <row r="267" spans="1:22" ht="14.4" x14ac:dyDescent="0.3">
      <c r="A267" s="1">
        <v>39810</v>
      </c>
      <c r="B267" s="56" t="s">
        <v>817</v>
      </c>
      <c r="C267" s="1" t="s">
        <v>1260</v>
      </c>
      <c r="D267" s="1" t="s">
        <v>624</v>
      </c>
      <c r="E267" s="1" t="s">
        <v>686</v>
      </c>
      <c r="F267" s="9"/>
      <c r="G267" s="9"/>
      <c r="H267" s="16" t="s">
        <v>78</v>
      </c>
      <c r="I267" s="9" t="b">
        <f t="shared" si="6"/>
        <v>0</v>
      </c>
      <c r="J267" s="1" t="s">
        <v>399</v>
      </c>
      <c r="K267" s="1" t="s">
        <v>266</v>
      </c>
      <c r="L267" s="1" t="s">
        <v>266</v>
      </c>
      <c r="M267" s="9"/>
      <c r="N267" s="35"/>
      <c r="O267" s="24">
        <v>11</v>
      </c>
      <c r="P267" s="2" cm="1">
        <f t="array" ref="P267">_xlfn.XLOOKUP(TRIM(B267),TRIM('[1]wc-product-export-16-3-2026-177'!$A:$A),'[1]wc-product-export-16-3-2026-177'!$D:$D,0,0)</f>
        <v>0</v>
      </c>
      <c r="Q267" s="2" cm="1">
        <f t="array" ref="Q267">IF(TRIM($D267)="SET",IF($K267="Steak Set1",ROUNDDOWN(IFERROR(MIN(_xlfn._xlws.FILTER(O$3:O$650,ISNUMBER(MATCH(TRIM($B$3:$B$650),TRIM(_xlfn.TEXTSPLIT($N267,",")),0)))),0)/4,0)+P267,IF(IFERROR(MIN(_xlfn._xlws.FILTER(O$3:O$650,ISNUMBER(MATCH(TRIM($B$3:$B$650),TRIM(_xlfn.TEXTSPLIT($N267,",")),0)))),0)&gt;=$E$1,IFERROR(MIN(_xlfn._xlws.FILTER(O$3:O$650,ISNUMBER(MATCH(TRIM($B$3:$B$650),TRIM(_xlfn.TEXTSPLIT($N267,",")),0)))),0)+P267,P267)),IF(TRIM($D267)="EA",IF(TRIM($E267)="M",ROUNDUP(O267*0.85,0),IF(TRIM($E267)="P",O267,P267)),P267))</f>
        <v>10</v>
      </c>
      <c r="T267" t="str" cm="1">
        <f t="array" ref="T267">IFERROR(IF(D267="SET",_xlfn.TEXTJOIN(", ",TRUE,_xlfn._xlws.FILTER(TRANSPOSE(TRIM(_xlfn.TEXTSPLIT(N267,","))),COUNTIFS(B$3:B$650,TRANSPOSE(TRIM(_xlfn.TEXTSPLIT(N267,","))),O$3:O$650,"&lt;="&amp;$T$1))),""),"")</f>
        <v/>
      </c>
    </row>
    <row r="268" spans="1:22" ht="14.4" x14ac:dyDescent="0.3">
      <c r="A268" s="1">
        <v>39811</v>
      </c>
      <c r="B268" s="56" t="s">
        <v>818</v>
      </c>
      <c r="C268" s="1" t="s">
        <v>1260</v>
      </c>
      <c r="D268" s="1" t="s">
        <v>624</v>
      </c>
      <c r="E268" s="1" t="s">
        <v>686</v>
      </c>
      <c r="F268" s="9"/>
      <c r="G268" s="9"/>
      <c r="H268" s="16" t="s">
        <v>58</v>
      </c>
      <c r="I268" s="9" t="b">
        <f t="shared" si="6"/>
        <v>0</v>
      </c>
      <c r="J268" s="1" t="s">
        <v>399</v>
      </c>
      <c r="K268" s="1" t="s">
        <v>266</v>
      </c>
      <c r="L268" s="1" t="s">
        <v>266</v>
      </c>
      <c r="M268" s="9"/>
      <c r="N268" s="35"/>
      <c r="O268" s="24">
        <v>26</v>
      </c>
      <c r="P268" s="2" cm="1">
        <f t="array" ref="P268">_xlfn.XLOOKUP(TRIM(B268),TRIM('[1]wc-product-export-16-3-2026-177'!$A:$A),'[1]wc-product-export-16-3-2026-177'!$D:$D,0,0)</f>
        <v>0</v>
      </c>
      <c r="Q268" s="2" cm="1">
        <f t="array" ref="Q268">IF(TRIM($D268)="SET",IF($K268="Steak Set1",ROUNDDOWN(IFERROR(MIN(_xlfn._xlws.FILTER(O$3:O$650,ISNUMBER(MATCH(TRIM($B$3:$B$650),TRIM(_xlfn.TEXTSPLIT($N268,",")),0)))),0)/4,0)+P268,IF(IFERROR(MIN(_xlfn._xlws.FILTER(O$3:O$650,ISNUMBER(MATCH(TRIM($B$3:$B$650),TRIM(_xlfn.TEXTSPLIT($N268,",")),0)))),0)&gt;=$E$1,IFERROR(MIN(_xlfn._xlws.FILTER(O$3:O$650,ISNUMBER(MATCH(TRIM($B$3:$B$650),TRIM(_xlfn.TEXTSPLIT($N268,",")),0)))),0)+P268,P268)),IF(TRIM($D268)="EA",IF(TRIM($E268)="M",ROUNDUP(O268*0.85,0),IF(TRIM($E268)="P",O268,P268)),P268))</f>
        <v>23</v>
      </c>
      <c r="T268" t="str" cm="1">
        <f t="array" ref="T268">IFERROR(IF(D268="SET",_xlfn.TEXTJOIN(", ",TRUE,_xlfn._xlws.FILTER(TRANSPOSE(TRIM(_xlfn.TEXTSPLIT(N268,","))),COUNTIFS(B$3:B$650,TRANSPOSE(TRIM(_xlfn.TEXTSPLIT(N268,","))),O$3:O$650,"&lt;="&amp;$T$1))),""),"")</f>
        <v/>
      </c>
    </row>
    <row r="269" spans="1:22" ht="14.4" x14ac:dyDescent="0.3">
      <c r="A269" s="1">
        <v>39815</v>
      </c>
      <c r="B269" s="55" t="s">
        <v>819</v>
      </c>
      <c r="C269" s="1" t="s">
        <v>1260</v>
      </c>
      <c r="D269" s="1" t="s">
        <v>624</v>
      </c>
      <c r="E269" s="1" t="s">
        <v>686</v>
      </c>
      <c r="F269" s="9"/>
      <c r="G269" s="9"/>
      <c r="H269" s="16" t="s">
        <v>46</v>
      </c>
      <c r="I269" s="9" t="b">
        <f t="shared" si="6"/>
        <v>0</v>
      </c>
      <c r="J269" s="1" t="s">
        <v>399</v>
      </c>
      <c r="K269" s="1" t="s">
        <v>1614</v>
      </c>
      <c r="L269" s="1" t="s">
        <v>1727</v>
      </c>
      <c r="M269" s="9"/>
      <c r="N269" s="35"/>
      <c r="O269" s="24">
        <v>1</v>
      </c>
      <c r="P269" s="2" cm="1">
        <f t="array" ref="P269">_xlfn.XLOOKUP(TRIM(B269),TRIM('[1]wc-product-export-16-3-2026-177'!$A:$A),'[1]wc-product-export-16-3-2026-177'!$D:$D,0,0)</f>
        <v>0</v>
      </c>
      <c r="Q269" s="2" cm="1">
        <f t="array" ref="Q269">IF(TRIM($D269)="SET",IF($K269="Steak Set1",ROUNDDOWN(IFERROR(MIN(_xlfn._xlws.FILTER(O$3:O$650,ISNUMBER(MATCH(TRIM($B$3:$B$650),TRIM(_xlfn.TEXTSPLIT($N269,",")),0)))),0)/4,0)+P269,IF(IFERROR(MIN(_xlfn._xlws.FILTER(O$3:O$650,ISNUMBER(MATCH(TRIM($B$3:$B$650),TRIM(_xlfn.TEXTSPLIT($N269,",")),0)))),0)&gt;=$E$1,IFERROR(MIN(_xlfn._xlws.FILTER(O$3:O$650,ISNUMBER(MATCH(TRIM($B$3:$B$650),TRIM(_xlfn.TEXTSPLIT($N269,",")),0)))),0)+P269,P269)),IF(TRIM($D269)="EA",IF(TRIM($E269)="M",ROUNDUP(O269*0.85,0),IF(TRIM($E269)="P",O269,P269)),P269))</f>
        <v>1</v>
      </c>
      <c r="T269" t="str" cm="1">
        <f t="array" ref="T269">IFERROR(IF(D269="SET",_xlfn.TEXTJOIN(", ",TRUE,_xlfn._xlws.FILTER(TRANSPOSE(TRIM(_xlfn.TEXTSPLIT(N269,","))),COUNTIFS(B$3:B$650,TRANSPOSE(TRIM(_xlfn.TEXTSPLIT(N269,","))),O$3:O$650,"&lt;="&amp;$T$1))),""),"")</f>
        <v/>
      </c>
    </row>
    <row r="270" spans="1:22" ht="14.4" x14ac:dyDescent="0.3">
      <c r="A270" s="1">
        <v>39817</v>
      </c>
      <c r="B270" s="56" t="s">
        <v>820</v>
      </c>
      <c r="C270" s="1" t="s">
        <v>1260</v>
      </c>
      <c r="D270" s="1" t="s">
        <v>624</v>
      </c>
      <c r="E270" s="1" t="s">
        <v>686</v>
      </c>
      <c r="F270" s="9"/>
      <c r="G270" s="9"/>
      <c r="H270" s="16" t="s">
        <v>47</v>
      </c>
      <c r="I270" s="9" t="b">
        <f t="shared" si="6"/>
        <v>0</v>
      </c>
      <c r="J270" s="1" t="s">
        <v>399</v>
      </c>
      <c r="K270" s="1" t="s">
        <v>268</v>
      </c>
      <c r="L270" s="1" t="s">
        <v>268</v>
      </c>
      <c r="M270" s="9"/>
      <c r="N270" s="35"/>
      <c r="O270" s="24">
        <v>15</v>
      </c>
      <c r="P270" s="2" cm="1">
        <f t="array" ref="P270">_xlfn.XLOOKUP(TRIM(B270),TRIM('[1]wc-product-export-16-3-2026-177'!$A:$A),'[1]wc-product-export-16-3-2026-177'!$D:$D,0,0)</f>
        <v>0</v>
      </c>
      <c r="Q270" s="2" cm="1">
        <f t="array" ref="Q270">IF(TRIM($D270)="SET",IF($K270="Steak Set1",ROUNDDOWN(IFERROR(MIN(_xlfn._xlws.FILTER(O$3:O$650,ISNUMBER(MATCH(TRIM($B$3:$B$650),TRIM(_xlfn.TEXTSPLIT($N270,",")),0)))),0)/4,0)+P270,IF(IFERROR(MIN(_xlfn._xlws.FILTER(O$3:O$650,ISNUMBER(MATCH(TRIM($B$3:$B$650),TRIM(_xlfn.TEXTSPLIT($N270,",")),0)))),0)&gt;=$E$1,IFERROR(MIN(_xlfn._xlws.FILTER(O$3:O$650,ISNUMBER(MATCH(TRIM($B$3:$B$650),TRIM(_xlfn.TEXTSPLIT($N270,",")),0)))),0)+P270,P270)),IF(TRIM($D270)="EA",IF(TRIM($E270)="M",ROUNDUP(O270*0.85,0),IF(TRIM($E270)="P",O270,P270)),P270))</f>
        <v>13</v>
      </c>
      <c r="T270" t="str" cm="1">
        <f t="array" ref="T270">IFERROR(IF(D270="SET",_xlfn.TEXTJOIN(", ",TRUE,_xlfn._xlws.FILTER(TRANSPOSE(TRIM(_xlfn.TEXTSPLIT(N270,","))),COUNTIFS(B$3:B$650,TRANSPOSE(TRIM(_xlfn.TEXTSPLIT(N270,","))),O$3:O$650,"&lt;="&amp;$T$1))),""),"")</f>
        <v/>
      </c>
      <c r="V270" s="52"/>
    </row>
    <row r="271" spans="1:22" ht="14.4" x14ac:dyDescent="0.3">
      <c r="A271" s="1">
        <v>39820</v>
      </c>
      <c r="B271" s="56" t="s">
        <v>821</v>
      </c>
      <c r="C271" s="1" t="s">
        <v>1260</v>
      </c>
      <c r="D271" s="1" t="s">
        <v>624</v>
      </c>
      <c r="E271" s="1" t="s">
        <v>686</v>
      </c>
      <c r="F271" s="9"/>
      <c r="G271" s="9"/>
      <c r="H271" s="16" t="s">
        <v>48</v>
      </c>
      <c r="I271" s="9" t="b">
        <f t="shared" si="6"/>
        <v>0</v>
      </c>
      <c r="J271" s="1" t="s">
        <v>399</v>
      </c>
      <c r="K271" s="1" t="s">
        <v>1293</v>
      </c>
      <c r="L271" s="1" t="s">
        <v>1728</v>
      </c>
      <c r="M271" s="9"/>
      <c r="N271" s="35"/>
      <c r="O271" s="24">
        <v>15</v>
      </c>
      <c r="P271" s="2" cm="1">
        <f t="array" ref="P271">_xlfn.XLOOKUP(TRIM(B271),TRIM('[1]wc-product-export-16-3-2026-177'!$A:$A),'[1]wc-product-export-16-3-2026-177'!$D:$D,0,0)</f>
        <v>0</v>
      </c>
      <c r="Q271" s="2" cm="1">
        <f t="array" ref="Q271">IF(TRIM($D271)="SET",IF($K271="Steak Set1",ROUNDDOWN(IFERROR(MIN(_xlfn._xlws.FILTER(O$3:O$650,ISNUMBER(MATCH(TRIM($B$3:$B$650),TRIM(_xlfn.TEXTSPLIT($N271,",")),0)))),0)/4,0)+P271,IF(IFERROR(MIN(_xlfn._xlws.FILTER(O$3:O$650,ISNUMBER(MATCH(TRIM($B$3:$B$650),TRIM(_xlfn.TEXTSPLIT($N271,",")),0)))),0)&gt;=$E$1,IFERROR(MIN(_xlfn._xlws.FILTER(O$3:O$650,ISNUMBER(MATCH(TRIM($B$3:$B$650),TRIM(_xlfn.TEXTSPLIT($N271,",")),0)))),0)+P271,P271)),IF(TRIM($D271)="EA",IF(TRIM($E271)="M",ROUNDUP(O271*0.85,0),IF(TRIM($E271)="P",O271,P271)),P271))</f>
        <v>13</v>
      </c>
      <c r="T271" t="str" cm="1">
        <f t="array" ref="T271">IFERROR(IF(D271="SET",_xlfn.TEXTJOIN(", ",TRUE,_xlfn._xlws.FILTER(TRANSPOSE(TRIM(_xlfn.TEXTSPLIT(N271,","))),COUNTIFS(B$3:B$650,TRANSPOSE(TRIM(_xlfn.TEXTSPLIT(N271,","))),O$3:O$650,"&lt;="&amp;$T$1))),""),"")</f>
        <v/>
      </c>
    </row>
    <row r="272" spans="1:22" ht="14.4" x14ac:dyDescent="0.3">
      <c r="A272" s="1">
        <v>39823</v>
      </c>
      <c r="B272" s="56" t="s">
        <v>822</v>
      </c>
      <c r="C272" s="1" t="s">
        <v>1260</v>
      </c>
      <c r="D272" s="1" t="s">
        <v>624</v>
      </c>
      <c r="E272" s="1" t="s">
        <v>686</v>
      </c>
      <c r="F272" s="9"/>
      <c r="G272" s="9"/>
      <c r="H272" s="16" t="s">
        <v>90</v>
      </c>
      <c r="I272" s="9" t="b">
        <f t="shared" si="6"/>
        <v>0</v>
      </c>
      <c r="J272" s="1" t="s">
        <v>399</v>
      </c>
      <c r="K272" s="1" t="s">
        <v>269</v>
      </c>
      <c r="L272" s="1" t="s">
        <v>1729</v>
      </c>
      <c r="M272" s="9"/>
      <c r="N272" s="35"/>
      <c r="O272" s="24">
        <v>80</v>
      </c>
      <c r="P272" s="2" cm="1">
        <f t="array" ref="P272">_xlfn.XLOOKUP(TRIM(B272),TRIM('[1]wc-product-export-16-3-2026-177'!$A:$A),'[1]wc-product-export-16-3-2026-177'!$D:$D,0,0)</f>
        <v>0</v>
      </c>
      <c r="Q272" s="2" cm="1">
        <f t="array" ref="Q272">IF(TRIM($D272)="SET",IF($K272="Steak Set1",ROUNDDOWN(IFERROR(MIN(_xlfn._xlws.FILTER(O$3:O$650,ISNUMBER(MATCH(TRIM($B$3:$B$650),TRIM(_xlfn.TEXTSPLIT($N272,",")),0)))),0)/4,0)+P272,IF(IFERROR(MIN(_xlfn._xlws.FILTER(O$3:O$650,ISNUMBER(MATCH(TRIM($B$3:$B$650),TRIM(_xlfn.TEXTSPLIT($N272,",")),0)))),0)&gt;=$E$1,IFERROR(MIN(_xlfn._xlws.FILTER(O$3:O$650,ISNUMBER(MATCH(TRIM($B$3:$B$650),TRIM(_xlfn.TEXTSPLIT($N272,",")),0)))),0)+P272,P272)),IF(TRIM($D272)="EA",IF(TRIM($E272)="M",ROUNDUP(O272*0.85,0),IF(TRIM($E272)="P",O272,P272)),P272))</f>
        <v>68</v>
      </c>
      <c r="T272" t="str" cm="1">
        <f t="array" ref="T272">IFERROR(IF(D272="SET",_xlfn.TEXTJOIN(", ",TRUE,_xlfn._xlws.FILTER(TRANSPOSE(TRIM(_xlfn.TEXTSPLIT(N272,","))),COUNTIFS(B$3:B$650,TRANSPOSE(TRIM(_xlfn.TEXTSPLIT(N272,","))),O$3:O$650,"&lt;="&amp;$T$1))),""),"")</f>
        <v/>
      </c>
    </row>
    <row r="273" spans="1:22" ht="14.4" x14ac:dyDescent="0.3">
      <c r="A273" s="1">
        <v>39825</v>
      </c>
      <c r="B273" s="55" t="s">
        <v>823</v>
      </c>
      <c r="C273" s="1" t="s">
        <v>1260</v>
      </c>
      <c r="D273" s="1" t="s">
        <v>624</v>
      </c>
      <c r="E273" s="1" t="s">
        <v>686</v>
      </c>
      <c r="F273" s="9"/>
      <c r="G273" s="9"/>
      <c r="H273" s="16" t="s">
        <v>49</v>
      </c>
      <c r="I273" s="9" t="b">
        <f t="shared" si="6"/>
        <v>0</v>
      </c>
      <c r="J273" s="1" t="s">
        <v>399</v>
      </c>
      <c r="K273" s="1" t="s">
        <v>270</v>
      </c>
      <c r="L273" s="1" t="s">
        <v>270</v>
      </c>
      <c r="M273" s="9"/>
      <c r="N273" s="35"/>
      <c r="O273" s="24">
        <v>7</v>
      </c>
      <c r="P273" s="2" cm="1">
        <f t="array" ref="P273">_xlfn.XLOOKUP(TRIM(B273),TRIM('[1]wc-product-export-16-3-2026-177'!$A:$A),'[1]wc-product-export-16-3-2026-177'!$D:$D,0,0)</f>
        <v>0</v>
      </c>
      <c r="Q273" s="2" cm="1">
        <f t="array" ref="Q273">IF(TRIM($D273)="SET",IF($K273="Steak Set1",ROUNDDOWN(IFERROR(MIN(_xlfn._xlws.FILTER(O$3:O$650,ISNUMBER(MATCH(TRIM($B$3:$B$650),TRIM(_xlfn.TEXTSPLIT($N273,",")),0)))),0)/4,0)+P273,IF(IFERROR(MIN(_xlfn._xlws.FILTER(O$3:O$650,ISNUMBER(MATCH(TRIM($B$3:$B$650),TRIM(_xlfn.TEXTSPLIT($N273,",")),0)))),0)&gt;=$E$1,IFERROR(MIN(_xlfn._xlws.FILTER(O$3:O$650,ISNUMBER(MATCH(TRIM($B$3:$B$650),TRIM(_xlfn.TEXTSPLIT($N273,",")),0)))),0)+P273,P273)),IF(TRIM($D273)="EA",IF(TRIM($E273)="M",ROUNDUP(O273*0.85,0),IF(TRIM($E273)="P",O273,P273)),P273))</f>
        <v>6</v>
      </c>
      <c r="T273" t="str" cm="1">
        <f t="array" ref="T273">IFERROR(IF(D273="SET",_xlfn.TEXTJOIN(", ",TRUE,_xlfn._xlws.FILTER(TRANSPOSE(TRIM(_xlfn.TEXTSPLIT(N273,","))),COUNTIFS(B$3:B$650,TRANSPOSE(TRIM(_xlfn.TEXTSPLIT(N273,","))),O$3:O$650,"&lt;="&amp;$T$1))),""),"")</f>
        <v/>
      </c>
    </row>
    <row r="274" spans="1:22" ht="14.4" hidden="1" x14ac:dyDescent="0.3">
      <c r="A274" s="1">
        <v>6040</v>
      </c>
      <c r="B274" s="1" t="s">
        <v>637</v>
      </c>
      <c r="C274" s="1" t="s">
        <v>1259</v>
      </c>
      <c r="D274" s="1" t="s">
        <v>624</v>
      </c>
      <c r="E274" s="1" t="s">
        <v>623</v>
      </c>
      <c r="F274" s="9" t="s">
        <v>1688</v>
      </c>
      <c r="G274" s="9"/>
      <c r="H274" s="53" t="s">
        <v>27</v>
      </c>
      <c r="I274" s="9" t="b">
        <f t="shared" si="6"/>
        <v>0</v>
      </c>
      <c r="J274" s="1" t="s">
        <v>119</v>
      </c>
      <c r="K274" s="1" t="s">
        <v>435</v>
      </c>
      <c r="L274" s="1" t="s">
        <v>435</v>
      </c>
      <c r="M274" s="9"/>
      <c r="N274" s="35"/>
      <c r="O274" s="2" t="s">
        <v>458</v>
      </c>
      <c r="P274" s="2" cm="1">
        <f t="array" ref="P274">_xlfn.XLOOKUP(TRIM(B274),TRIM('[1]wc-product-export-16-3-2026-177'!$A:$A),'[1]wc-product-export-16-3-2026-177'!$D:$D,0,0)</f>
        <v>0</v>
      </c>
      <c r="Q274" s="2" t="str" cm="1">
        <f t="array" ref="Q274">IF(TRIM($D274)="SET",IF($K274="Steak Set1",ROUNDDOWN(IFERROR(MIN(_xlfn._xlws.FILTER(O$3:O$650,ISNUMBER(MATCH(TRIM($B$3:$B$650),TRIM(_xlfn.TEXTSPLIT($N274,",")),0)))),0)/4,0)+P274,IF(IFERROR(MIN(_xlfn._xlws.FILTER(O$3:O$650,ISNUMBER(MATCH(TRIM($B$3:$B$650),TRIM(_xlfn.TEXTSPLIT($N274,",")),0)))),0)&gt;=$E$1,IFERROR(MIN(_xlfn._xlws.FILTER(O$3:O$650,ISNUMBER(MATCH(TRIM($B$3:$B$650),TRIM(_xlfn.TEXTSPLIT($N274,",")),0)))),0)+P274,P274)),IF(TRIM($D274)="EA",IF(TRIM($E274)="M",ROUNDUP(O274*0.85,0),IF(TRIM($E274)="P",O274,P274)),P274))</f>
        <v>N/A</v>
      </c>
      <c r="T274" t="str" cm="1">
        <f t="array" ref="T274">IFERROR(IF(D274="SET",_xlfn.TEXTJOIN(", ",TRUE,_xlfn._xlws.FILTER(TRANSPOSE(TRIM(_xlfn.TEXTSPLIT(N274,","))),COUNTIFS(B$3:B$650,TRANSPOSE(TRIM(_xlfn.TEXTSPLIT(N274,","))),O$3:O$650,"&lt;="&amp;$T$1))),""),"")</f>
        <v/>
      </c>
    </row>
    <row r="275" spans="1:22" ht="14.4" x14ac:dyDescent="0.3">
      <c r="A275" s="1">
        <v>39826</v>
      </c>
      <c r="B275" s="1" t="s">
        <v>824</v>
      </c>
      <c r="C275" s="1" t="s">
        <v>1260</v>
      </c>
      <c r="D275" s="1" t="s">
        <v>628</v>
      </c>
      <c r="E275" s="1" t="s">
        <v>686</v>
      </c>
      <c r="F275" s="9" t="s">
        <v>1608</v>
      </c>
      <c r="G275" s="9"/>
      <c r="H275" s="16" t="s">
        <v>384</v>
      </c>
      <c r="I275" s="9" t="b">
        <f t="shared" si="6"/>
        <v>0</v>
      </c>
      <c r="J275" s="1" t="s">
        <v>399</v>
      </c>
      <c r="K275" s="1" t="s">
        <v>280</v>
      </c>
      <c r="L275" s="1" t="s">
        <v>1721</v>
      </c>
      <c r="M275" s="9"/>
      <c r="N275" s="35" t="s">
        <v>1600</v>
      </c>
      <c r="O275" s="2" t="s">
        <v>458</v>
      </c>
      <c r="P275" s="2" cm="1">
        <f t="array" ref="P275">_xlfn.XLOOKUP(TRIM(B275),TRIM('[1]wc-product-export-16-3-2026-177'!$A:$A),'[1]wc-product-export-16-3-2026-177'!$D:$D,0,0)</f>
        <v>0</v>
      </c>
      <c r="Q275" s="2" cm="1">
        <f t="array" ref="Q275">IF(TRIM($D275)="SET",IF($K275="Steak Set1",ROUNDDOWN(IFERROR(MIN(_xlfn._xlws.FILTER(O$3:O$650,ISNUMBER(MATCH(TRIM($B$3:$B$650),TRIM(_xlfn.TEXTSPLIT($N275,",")),0)))),0)/4,0)+P275,IF(IFERROR(MIN(_xlfn._xlws.FILTER(O$3:O$650,ISNUMBER(MATCH(TRIM($B$3:$B$650),TRIM(_xlfn.TEXTSPLIT($N275,",")),0)))),0)&gt;=$E$1,IFERROR(MIN(_xlfn._xlws.FILTER(O$3:O$650,ISNUMBER(MATCH(TRIM($B$3:$B$650),TRIM(_xlfn.TEXTSPLIT($N275,",")),0)))),0)+P275,P275)),IF(TRIM($D275)="EA",IF(TRIM($E275)="M",ROUNDUP(O275*0.85,0),IF(TRIM($E275)="P",O275,P275)),P275))</f>
        <v>0</v>
      </c>
      <c r="T275" t="str" cm="1">
        <f t="array" ref="T275">IFERROR(IF(D275="SET",_xlfn.TEXTJOIN(", ",TRUE,_xlfn._xlws.FILTER(TRANSPOSE(TRIM(_xlfn.TEXTSPLIT(N275,","))),COUNTIFS(B$3:B$650,TRANSPOSE(TRIM(_xlfn.TEXTSPLIT(N275,","))),O$3:O$650,"&lt;="&amp;$T$1))),""),"")</f>
        <v>39835</v>
      </c>
    </row>
    <row r="276" spans="1:22" ht="14.4" x14ac:dyDescent="0.3">
      <c r="A276" s="1">
        <v>39827</v>
      </c>
      <c r="B276" s="1" t="s">
        <v>825</v>
      </c>
      <c r="C276" s="1" t="s">
        <v>1260</v>
      </c>
      <c r="D276" s="1" t="s">
        <v>628</v>
      </c>
      <c r="E276" s="1" t="s">
        <v>686</v>
      </c>
      <c r="F276" s="9"/>
      <c r="G276" s="9"/>
      <c r="H276" s="16" t="s">
        <v>385</v>
      </c>
      <c r="I276" s="9" t="b">
        <f t="shared" si="6"/>
        <v>0</v>
      </c>
      <c r="J276" s="1" t="s">
        <v>399</v>
      </c>
      <c r="K276" s="1" t="s">
        <v>280</v>
      </c>
      <c r="L276" s="1" t="s">
        <v>1721</v>
      </c>
      <c r="M276" s="9"/>
      <c r="N276" s="35" t="s">
        <v>1591</v>
      </c>
      <c r="O276" s="2" t="s">
        <v>458</v>
      </c>
      <c r="P276" s="2" cm="1">
        <f t="array" ref="P276">_xlfn.XLOOKUP(TRIM(B276),TRIM('[1]wc-product-export-16-3-2026-177'!$A:$A),'[1]wc-product-export-16-3-2026-177'!$D:$D,0,0)</f>
        <v>0</v>
      </c>
      <c r="Q276" s="2" cm="1">
        <f t="array" ref="Q276">IF(TRIM($D276)="SET",IF($K276="Steak Set1",ROUNDDOWN(IFERROR(MIN(_xlfn._xlws.FILTER(O$3:O$650,ISNUMBER(MATCH(TRIM($B$3:$B$650),TRIM(_xlfn.TEXTSPLIT($N276,",")),0)))),0)/4,0)+P276,IF(IFERROR(MIN(_xlfn._xlws.FILTER(O$3:O$650,ISNUMBER(MATCH(TRIM($B$3:$B$650),TRIM(_xlfn.TEXTSPLIT($N276,",")),0)))),0)&gt;=$E$1,IFERROR(MIN(_xlfn._xlws.FILTER(O$3:O$650,ISNUMBER(MATCH(TRIM($B$3:$B$650),TRIM(_xlfn.TEXTSPLIT($N276,",")),0)))),0)+P276,P276)),IF(TRIM($D276)="EA",IF(TRIM($E276)="M",ROUNDUP(O276*0.85,0),IF(TRIM($E276)="P",O276,P276)),P276))</f>
        <v>0</v>
      </c>
      <c r="T276" t="str" cm="1">
        <f t="array" ref="T276">IFERROR(IF(D276="SET",_xlfn.TEXTJOIN(", ",TRUE,_xlfn._xlws.FILTER(TRANSPOSE(TRIM(_xlfn.TEXTSPLIT(N276,","))),COUNTIFS(B$3:B$650,TRANSPOSE(TRIM(_xlfn.TEXTSPLIT(N276,","))),O$3:O$650,"&lt;="&amp;$T$1))),""),"")</f>
        <v>39835</v>
      </c>
    </row>
    <row r="277" spans="1:22" ht="14.4" x14ac:dyDescent="0.3">
      <c r="A277" s="1">
        <v>39828</v>
      </c>
      <c r="B277" s="1" t="s">
        <v>826</v>
      </c>
      <c r="C277" s="1" t="s">
        <v>1260</v>
      </c>
      <c r="D277" s="1" t="s">
        <v>628</v>
      </c>
      <c r="E277" s="1" t="s">
        <v>686</v>
      </c>
      <c r="F277" s="9"/>
      <c r="G277" s="9"/>
      <c r="H277" s="16" t="s">
        <v>386</v>
      </c>
      <c r="I277" s="9" t="b">
        <f t="shared" si="6"/>
        <v>0</v>
      </c>
      <c r="J277" s="1" t="s">
        <v>399</v>
      </c>
      <c r="K277" s="1" t="s">
        <v>280</v>
      </c>
      <c r="L277" s="1" t="s">
        <v>1721</v>
      </c>
      <c r="M277" s="9"/>
      <c r="N277" s="35" t="s">
        <v>1547</v>
      </c>
      <c r="O277" s="2" t="s">
        <v>458</v>
      </c>
      <c r="P277" s="2" cm="1">
        <f t="array" ref="P277">_xlfn.XLOOKUP(TRIM(B277),TRIM('[1]wc-product-export-16-3-2026-177'!$A:$A),'[1]wc-product-export-16-3-2026-177'!$D:$D,0,0)</f>
        <v>0</v>
      </c>
      <c r="Q277" s="2" cm="1">
        <f t="array" ref="Q277">IF(TRIM($D277)="SET",IF($K277="Steak Set1",ROUNDDOWN(IFERROR(MIN(_xlfn._xlws.FILTER(O$3:O$650,ISNUMBER(MATCH(TRIM($B$3:$B$650),TRIM(_xlfn.TEXTSPLIT($N277,",")),0)))),0)/4,0)+P277,IF(IFERROR(MIN(_xlfn._xlws.FILTER(O$3:O$650,ISNUMBER(MATCH(TRIM($B$3:$B$650),TRIM(_xlfn.TEXTSPLIT($N277,",")),0)))),0)&gt;=$E$1,IFERROR(MIN(_xlfn._xlws.FILTER(O$3:O$650,ISNUMBER(MATCH(TRIM($B$3:$B$650),TRIM(_xlfn.TEXTSPLIT($N277,",")),0)))),0)+P277,P277)),IF(TRIM($D277)="EA",IF(TRIM($E277)="M",ROUNDUP(O277*0.85,0),IF(TRIM($E277)="P",O277,P277)),P277))</f>
        <v>0</v>
      </c>
      <c r="T277" t="str" cm="1">
        <f t="array" ref="T277">IFERROR(IF(D277="SET",_xlfn.TEXTJOIN(", ",TRUE,_xlfn._xlws.FILTER(TRANSPOSE(TRIM(_xlfn.TEXTSPLIT(N277,","))),COUNTIFS(B$3:B$650,TRANSPOSE(TRIM(_xlfn.TEXTSPLIT(N277,","))),O$3:O$650,"&lt;="&amp;$T$1))),""),"")</f>
        <v>39835, 39815</v>
      </c>
    </row>
    <row r="278" spans="1:22" ht="14.4" x14ac:dyDescent="0.3">
      <c r="A278" s="1">
        <v>39829</v>
      </c>
      <c r="B278" s="1" t="s">
        <v>827</v>
      </c>
      <c r="C278" s="1" t="s">
        <v>1260</v>
      </c>
      <c r="D278" s="1" t="s">
        <v>628</v>
      </c>
      <c r="E278" s="1" t="s">
        <v>686</v>
      </c>
      <c r="F278" s="9" t="s">
        <v>1608</v>
      </c>
      <c r="G278" s="9"/>
      <c r="H278" s="16" t="s">
        <v>387</v>
      </c>
      <c r="I278" s="9" t="b">
        <f t="shared" si="6"/>
        <v>0</v>
      </c>
      <c r="J278" s="1" t="s">
        <v>399</v>
      </c>
      <c r="K278" s="1" t="s">
        <v>280</v>
      </c>
      <c r="L278" s="1" t="s">
        <v>1721</v>
      </c>
      <c r="M278" s="9"/>
      <c r="N278" s="35" t="s">
        <v>1584</v>
      </c>
      <c r="O278" s="2" t="s">
        <v>458</v>
      </c>
      <c r="P278" s="2" cm="1">
        <f t="array" ref="P278">_xlfn.XLOOKUP(TRIM(B278),TRIM('[1]wc-product-export-16-3-2026-177'!$A:$A),'[1]wc-product-export-16-3-2026-177'!$D:$D,0,0)</f>
        <v>0</v>
      </c>
      <c r="Q278" s="2" cm="1">
        <f t="array" ref="Q278">IF(TRIM($D278)="SET",IF($K278="Steak Set1",ROUNDDOWN(IFERROR(MIN(_xlfn._xlws.FILTER(O$3:O$650,ISNUMBER(MATCH(TRIM($B$3:$B$650),TRIM(_xlfn.TEXTSPLIT($N278,",")),0)))),0)/4,0)+P278,IF(IFERROR(MIN(_xlfn._xlws.FILTER(O$3:O$650,ISNUMBER(MATCH(TRIM($B$3:$B$650),TRIM(_xlfn.TEXTSPLIT($N278,",")),0)))),0)&gt;=$E$1,IFERROR(MIN(_xlfn._xlws.FILTER(O$3:O$650,ISNUMBER(MATCH(TRIM($B$3:$B$650),TRIM(_xlfn.TEXTSPLIT($N278,",")),0)))),0)+P278,P278)),IF(TRIM($D278)="EA",IF(TRIM($E278)="M",ROUNDUP(O278*0.85,0),IF(TRIM($E278)="P",O278,P278)),P278))</f>
        <v>0</v>
      </c>
      <c r="T278" t="str" cm="1">
        <f t="array" ref="T278">IFERROR(IF(D278="SET",_xlfn.TEXTJOIN(", ",TRUE,_xlfn._xlws.FILTER(TRANSPOSE(TRIM(_xlfn.TEXTSPLIT(N278,","))),COUNTIFS(B$3:B$650,TRANSPOSE(TRIM(_xlfn.TEXTSPLIT(N278,","))),O$3:O$650,"&lt;="&amp;$T$1))),""),"")</f>
        <v>39835</v>
      </c>
    </row>
    <row r="279" spans="1:22" ht="14.4" x14ac:dyDescent="0.3">
      <c r="A279" s="1">
        <v>39835</v>
      </c>
      <c r="B279" s="55" t="s">
        <v>828</v>
      </c>
      <c r="C279" s="1" t="s">
        <v>1260</v>
      </c>
      <c r="D279" s="1" t="s">
        <v>624</v>
      </c>
      <c r="E279" s="1" t="s">
        <v>686</v>
      </c>
      <c r="F279" s="9"/>
      <c r="G279" s="9"/>
      <c r="H279" s="16" t="s">
        <v>50</v>
      </c>
      <c r="I279" s="9" t="b">
        <f t="shared" si="6"/>
        <v>0</v>
      </c>
      <c r="J279" s="1" t="s">
        <v>399</v>
      </c>
      <c r="K279" s="1" t="s">
        <v>271</v>
      </c>
      <c r="L279" s="1" t="s">
        <v>271</v>
      </c>
      <c r="M279" s="9"/>
      <c r="N279" s="35"/>
      <c r="O279" s="24">
        <v>0</v>
      </c>
      <c r="P279" s="2" cm="1">
        <f t="array" ref="P279">_xlfn.XLOOKUP(TRIM(B279),TRIM('[1]wc-product-export-16-3-2026-177'!$A:$A),'[1]wc-product-export-16-3-2026-177'!$D:$D,0,0)</f>
        <v>0</v>
      </c>
      <c r="Q279" s="2" cm="1">
        <f t="array" ref="Q279">IF(TRIM($D279)="SET",IF($K279="Steak Set1",ROUNDDOWN(IFERROR(MIN(_xlfn._xlws.FILTER(O$3:O$650,ISNUMBER(MATCH(TRIM($B$3:$B$650),TRIM(_xlfn.TEXTSPLIT($N279,",")),0)))),0)/4,0)+P279,IF(IFERROR(MIN(_xlfn._xlws.FILTER(O$3:O$650,ISNUMBER(MATCH(TRIM($B$3:$B$650),TRIM(_xlfn.TEXTSPLIT($N279,",")),0)))),0)&gt;=$E$1,IFERROR(MIN(_xlfn._xlws.FILTER(O$3:O$650,ISNUMBER(MATCH(TRIM($B$3:$B$650),TRIM(_xlfn.TEXTSPLIT($N279,",")),0)))),0)+P279,P279)),IF(TRIM($D279)="EA",IF(TRIM($E279)="M",ROUNDUP(O279*0.85,0),IF(TRIM($E279)="P",O279,P279)),P279))</f>
        <v>0</v>
      </c>
      <c r="T279" t="str" cm="1">
        <f t="array" ref="T279">IFERROR(IF(D279="SET",_xlfn.TEXTJOIN(", ",TRUE,_xlfn._xlws.FILTER(TRANSPOSE(TRIM(_xlfn.TEXTSPLIT(N279,","))),COUNTIFS(B$3:B$650,TRANSPOSE(TRIM(_xlfn.TEXTSPLIT(N279,","))),O$3:O$650,"&lt;="&amp;$T$1))),""),"")</f>
        <v/>
      </c>
    </row>
    <row r="280" spans="1:22" ht="14.4" x14ac:dyDescent="0.3">
      <c r="A280" s="1">
        <v>39838</v>
      </c>
      <c r="B280" s="55" t="s">
        <v>829</v>
      </c>
      <c r="C280" s="1" t="s">
        <v>1260</v>
      </c>
      <c r="D280" s="1" t="s">
        <v>624</v>
      </c>
      <c r="E280" s="1" t="s">
        <v>686</v>
      </c>
      <c r="F280" s="9"/>
      <c r="G280" s="9"/>
      <c r="H280" s="16" t="s">
        <v>51</v>
      </c>
      <c r="I280" s="9" t="b">
        <f t="shared" si="6"/>
        <v>0</v>
      </c>
      <c r="J280" s="1" t="s">
        <v>399</v>
      </c>
      <c r="K280" s="1" t="s">
        <v>272</v>
      </c>
      <c r="L280" s="1" t="s">
        <v>272</v>
      </c>
      <c r="M280" s="9"/>
      <c r="N280" s="35"/>
      <c r="O280" s="24">
        <v>0</v>
      </c>
      <c r="P280" s="2" cm="1">
        <f t="array" ref="P280">_xlfn.XLOOKUP(TRIM(B280),TRIM('[1]wc-product-export-16-3-2026-177'!$A:$A),'[1]wc-product-export-16-3-2026-177'!$D:$D,0,0)</f>
        <v>0</v>
      </c>
      <c r="Q280" s="2" cm="1">
        <f t="array" ref="Q280">IF(TRIM($D280)="SET",IF($K280="Steak Set1",ROUNDDOWN(IFERROR(MIN(_xlfn._xlws.FILTER(O$3:O$650,ISNUMBER(MATCH(TRIM($B$3:$B$650),TRIM(_xlfn.TEXTSPLIT($N280,",")),0)))),0)/4,0)+P280,IF(IFERROR(MIN(_xlfn._xlws.FILTER(O$3:O$650,ISNUMBER(MATCH(TRIM($B$3:$B$650),TRIM(_xlfn.TEXTSPLIT($N280,",")),0)))),0)&gt;=$E$1,IFERROR(MIN(_xlfn._xlws.FILTER(O$3:O$650,ISNUMBER(MATCH(TRIM($B$3:$B$650),TRIM(_xlfn.TEXTSPLIT($N280,",")),0)))),0)+P280,P280)),IF(TRIM($D280)="EA",IF(TRIM($E280)="M",ROUNDUP(O280*0.85,0),IF(TRIM($E280)="P",O280,P280)),P280))</f>
        <v>0</v>
      </c>
      <c r="T280" t="str" cm="1">
        <f t="array" ref="T280">IFERROR(IF(D280="SET",_xlfn.TEXTJOIN(", ",TRUE,_xlfn._xlws.FILTER(TRANSPOSE(TRIM(_xlfn.TEXTSPLIT(N280,","))),COUNTIFS(B$3:B$650,TRANSPOSE(TRIM(_xlfn.TEXTSPLIT(N280,","))),O$3:O$650,"&lt;="&amp;$T$1))),""),"")</f>
        <v/>
      </c>
    </row>
    <row r="281" spans="1:22" ht="14.4" x14ac:dyDescent="0.3">
      <c r="A281" s="1">
        <v>39840</v>
      </c>
      <c r="B281" s="56" t="s">
        <v>830</v>
      </c>
      <c r="C281" s="1" t="s">
        <v>1260</v>
      </c>
      <c r="D281" s="1" t="s">
        <v>624</v>
      </c>
      <c r="E281" s="1" t="s">
        <v>686</v>
      </c>
      <c r="F281" s="9"/>
      <c r="G281" s="9"/>
      <c r="H281" s="16" t="s">
        <v>178</v>
      </c>
      <c r="I281" s="9" t="b">
        <f t="shared" si="6"/>
        <v>0</v>
      </c>
      <c r="J281" s="1" t="s">
        <v>399</v>
      </c>
      <c r="K281" s="1" t="s">
        <v>273</v>
      </c>
      <c r="L281" s="1" t="s">
        <v>273</v>
      </c>
      <c r="M281" s="9"/>
      <c r="N281" s="35"/>
      <c r="O281" s="24">
        <v>31</v>
      </c>
      <c r="P281" s="2" cm="1">
        <f t="array" ref="P281">_xlfn.XLOOKUP(TRIM(B281),TRIM('[1]wc-product-export-16-3-2026-177'!$A:$A),'[1]wc-product-export-16-3-2026-177'!$D:$D,0,0)</f>
        <v>0</v>
      </c>
      <c r="Q281" s="2" cm="1">
        <f t="array" ref="Q281">IF(TRIM($D281)="SET",IF($K281="Steak Set1",ROUNDDOWN(IFERROR(MIN(_xlfn._xlws.FILTER(O$3:O$650,ISNUMBER(MATCH(TRIM($B$3:$B$650),TRIM(_xlfn.TEXTSPLIT($N281,",")),0)))),0)/4,0)+P281,IF(IFERROR(MIN(_xlfn._xlws.FILTER(O$3:O$650,ISNUMBER(MATCH(TRIM($B$3:$B$650),TRIM(_xlfn.TEXTSPLIT($N281,",")),0)))),0)&gt;=$E$1,IFERROR(MIN(_xlfn._xlws.FILTER(O$3:O$650,ISNUMBER(MATCH(TRIM($B$3:$B$650),TRIM(_xlfn.TEXTSPLIT($N281,",")),0)))),0)+P281,P281)),IF(TRIM($D281)="EA",IF(TRIM($E281)="M",ROUNDUP(O281*0.85,0),IF(TRIM($E281)="P",O281,P281)),P281))</f>
        <v>27</v>
      </c>
      <c r="T281" t="str" cm="1">
        <f t="array" ref="T281">IFERROR(IF(D281="SET",_xlfn.TEXTJOIN(", ",TRUE,_xlfn._xlws.FILTER(TRANSPOSE(TRIM(_xlfn.TEXTSPLIT(N281,","))),COUNTIFS(B$3:B$650,TRANSPOSE(TRIM(_xlfn.TEXTSPLIT(N281,","))),O$3:O$650,"&lt;="&amp;$T$1))),""),"")</f>
        <v/>
      </c>
      <c r="V281" s="52"/>
    </row>
    <row r="282" spans="1:22" ht="14.4" x14ac:dyDescent="0.3">
      <c r="A282" s="1">
        <v>39843</v>
      </c>
      <c r="B282" s="56" t="s">
        <v>831</v>
      </c>
      <c r="C282" s="1" t="s">
        <v>1260</v>
      </c>
      <c r="D282" s="1" t="s">
        <v>624</v>
      </c>
      <c r="E282" s="1" t="s">
        <v>686</v>
      </c>
      <c r="F282" s="9"/>
      <c r="G282" s="9"/>
      <c r="H282" s="16" t="s">
        <v>52</v>
      </c>
      <c r="I282" s="9" t="b">
        <f t="shared" si="6"/>
        <v>0</v>
      </c>
      <c r="J282" s="1" t="s">
        <v>399</v>
      </c>
      <c r="K282" s="1" t="s">
        <v>274</v>
      </c>
      <c r="L282" s="1" t="s">
        <v>274</v>
      </c>
      <c r="M282" s="9"/>
      <c r="N282" s="35"/>
      <c r="O282" s="24">
        <v>25</v>
      </c>
      <c r="P282" s="2" cm="1">
        <f t="array" ref="P282">_xlfn.XLOOKUP(TRIM(B282),TRIM('[1]wc-product-export-16-3-2026-177'!$A:$A),'[1]wc-product-export-16-3-2026-177'!$D:$D,0,0)</f>
        <v>0</v>
      </c>
      <c r="Q282" s="2" cm="1">
        <f t="array" ref="Q282">IF(TRIM($D282)="SET",IF($K282="Steak Set1",ROUNDDOWN(IFERROR(MIN(_xlfn._xlws.FILTER(O$3:O$650,ISNUMBER(MATCH(TRIM($B$3:$B$650),TRIM(_xlfn.TEXTSPLIT($N282,",")),0)))),0)/4,0)+P282,IF(IFERROR(MIN(_xlfn._xlws.FILTER(O$3:O$650,ISNUMBER(MATCH(TRIM($B$3:$B$650),TRIM(_xlfn.TEXTSPLIT($N282,",")),0)))),0)&gt;=$E$1,IFERROR(MIN(_xlfn._xlws.FILTER(O$3:O$650,ISNUMBER(MATCH(TRIM($B$3:$B$650),TRIM(_xlfn.TEXTSPLIT($N282,",")),0)))),0)+P282,P282)),IF(TRIM($D282)="EA",IF(TRIM($E282)="M",ROUNDUP(O282*0.85,0),IF(TRIM($E282)="P",O282,P282)),P282))</f>
        <v>22</v>
      </c>
      <c r="T282" t="str" cm="1">
        <f t="array" ref="T282">IFERROR(IF(D282="SET",_xlfn.TEXTJOIN(", ",TRUE,_xlfn._xlws.FILTER(TRANSPOSE(TRIM(_xlfn.TEXTSPLIT(N282,","))),COUNTIFS(B$3:B$650,TRANSPOSE(TRIM(_xlfn.TEXTSPLIT(N282,","))),O$3:O$650,"&lt;="&amp;$T$1))),""),"")</f>
        <v/>
      </c>
      <c r="V282" s="52"/>
    </row>
    <row r="283" spans="1:22" ht="14.4" x14ac:dyDescent="0.3">
      <c r="A283" s="1">
        <v>39845</v>
      </c>
      <c r="B283" s="55" t="s">
        <v>832</v>
      </c>
      <c r="C283" s="1" t="s">
        <v>1260</v>
      </c>
      <c r="D283" s="1" t="s">
        <v>624</v>
      </c>
      <c r="E283" s="1" t="s">
        <v>686</v>
      </c>
      <c r="F283" s="9"/>
      <c r="G283" s="9"/>
      <c r="H283" s="16" t="s">
        <v>188</v>
      </c>
      <c r="I283" s="9" t="b">
        <f t="shared" si="6"/>
        <v>0</v>
      </c>
      <c r="J283" s="1" t="s">
        <v>399</v>
      </c>
      <c r="K283" s="1" t="s">
        <v>273</v>
      </c>
      <c r="L283" s="1" t="s">
        <v>1294</v>
      </c>
      <c r="M283" s="9"/>
      <c r="N283" s="35"/>
      <c r="O283" s="24">
        <v>8</v>
      </c>
      <c r="P283" s="2" cm="1">
        <f t="array" ref="P283">_xlfn.XLOOKUP(TRIM(B283),TRIM('[1]wc-product-export-16-3-2026-177'!$A:$A),'[1]wc-product-export-16-3-2026-177'!$D:$D,0,0)</f>
        <v>0</v>
      </c>
      <c r="Q283" s="2" cm="1">
        <f t="array" ref="Q283">IF(TRIM($D283)="SET",IF($K283="Steak Set1",ROUNDDOWN(IFERROR(MIN(_xlfn._xlws.FILTER(O$3:O$650,ISNUMBER(MATCH(TRIM($B$3:$B$650),TRIM(_xlfn.TEXTSPLIT($N283,",")),0)))),0)/4,0)+P283,IF(IFERROR(MIN(_xlfn._xlws.FILTER(O$3:O$650,ISNUMBER(MATCH(TRIM($B$3:$B$650),TRIM(_xlfn.TEXTSPLIT($N283,",")),0)))),0)&gt;=$E$1,IFERROR(MIN(_xlfn._xlws.FILTER(O$3:O$650,ISNUMBER(MATCH(TRIM($B$3:$B$650),TRIM(_xlfn.TEXTSPLIT($N283,",")),0)))),0)+P283,P283)),IF(TRIM($D283)="EA",IF(TRIM($E283)="M",ROUNDUP(O283*0.85,0),IF(TRIM($E283)="P",O283,P283)),P283))</f>
        <v>7</v>
      </c>
      <c r="T283" t="str" cm="1">
        <f t="array" ref="T283">IFERROR(IF(D283="SET",_xlfn.TEXTJOIN(", ",TRUE,_xlfn._xlws.FILTER(TRANSPOSE(TRIM(_xlfn.TEXTSPLIT(N283,","))),COUNTIFS(B$3:B$650,TRANSPOSE(TRIM(_xlfn.TEXTSPLIT(N283,","))),O$3:O$650,"&lt;="&amp;$T$1))),""),"")</f>
        <v/>
      </c>
    </row>
    <row r="284" spans="1:22" ht="14.4" x14ac:dyDescent="0.3">
      <c r="A284" s="1">
        <v>39848</v>
      </c>
      <c r="B284" s="56" t="s">
        <v>833</v>
      </c>
      <c r="C284" s="1" t="s">
        <v>1260</v>
      </c>
      <c r="D284" s="1" t="s">
        <v>624</v>
      </c>
      <c r="E284" s="1" t="s">
        <v>686</v>
      </c>
      <c r="F284" s="9"/>
      <c r="G284" s="9"/>
      <c r="H284" s="16" t="s">
        <v>101</v>
      </c>
      <c r="I284" s="9" t="b">
        <f t="shared" si="6"/>
        <v>0</v>
      </c>
      <c r="J284" s="1" t="s">
        <v>399</v>
      </c>
      <c r="K284" s="1" t="s">
        <v>275</v>
      </c>
      <c r="L284" s="1" t="s">
        <v>1730</v>
      </c>
      <c r="M284" s="9"/>
      <c r="N284" s="35"/>
      <c r="O284" s="24">
        <v>60</v>
      </c>
      <c r="P284" s="2" cm="1">
        <f t="array" ref="P284">_xlfn.XLOOKUP(TRIM(B284),TRIM('[1]wc-product-export-16-3-2026-177'!$A:$A),'[1]wc-product-export-16-3-2026-177'!$D:$D,0,0)</f>
        <v>0</v>
      </c>
      <c r="Q284" s="2" cm="1">
        <f t="array" ref="Q284">IF(TRIM($D284)="SET",IF($K284="Steak Set1",ROUNDDOWN(IFERROR(MIN(_xlfn._xlws.FILTER(O$3:O$650,ISNUMBER(MATCH(TRIM($B$3:$B$650),TRIM(_xlfn.TEXTSPLIT($N284,",")),0)))),0)/4,0)+P284,IF(IFERROR(MIN(_xlfn._xlws.FILTER(O$3:O$650,ISNUMBER(MATCH(TRIM($B$3:$B$650),TRIM(_xlfn.TEXTSPLIT($N284,",")),0)))),0)&gt;=$E$1,IFERROR(MIN(_xlfn._xlws.FILTER(O$3:O$650,ISNUMBER(MATCH(TRIM($B$3:$B$650),TRIM(_xlfn.TEXTSPLIT($N284,",")),0)))),0)+P284,P284)),IF(TRIM($D284)="EA",IF(TRIM($E284)="M",ROUNDUP(O284*0.85,0),IF(TRIM($E284)="P",O284,P284)),P284))</f>
        <v>51</v>
      </c>
      <c r="T284" t="str" cm="1">
        <f t="array" ref="T284">IFERROR(IF(D284="SET",_xlfn.TEXTJOIN(", ",TRUE,_xlfn._xlws.FILTER(TRANSPOSE(TRIM(_xlfn.TEXTSPLIT(N284,","))),COUNTIFS(B$3:B$650,TRANSPOSE(TRIM(_xlfn.TEXTSPLIT(N284,","))),O$3:O$650,"&lt;="&amp;$T$1))),""),"")</f>
        <v/>
      </c>
    </row>
    <row r="285" spans="1:22" ht="14.4" x14ac:dyDescent="0.3">
      <c r="A285" s="1">
        <v>39849</v>
      </c>
      <c r="B285" s="55" t="s">
        <v>834</v>
      </c>
      <c r="C285" s="1" t="s">
        <v>1260</v>
      </c>
      <c r="D285" s="1" t="s">
        <v>624</v>
      </c>
      <c r="E285" s="1" t="s">
        <v>686</v>
      </c>
      <c r="F285" s="9"/>
      <c r="G285" s="9"/>
      <c r="H285" s="16" t="s">
        <v>100</v>
      </c>
      <c r="I285" s="9" t="b">
        <f t="shared" si="6"/>
        <v>0</v>
      </c>
      <c r="J285" s="1" t="s">
        <v>399</v>
      </c>
      <c r="K285" s="1" t="s">
        <v>275</v>
      </c>
      <c r="L285" s="1" t="s">
        <v>1731</v>
      </c>
      <c r="M285" s="9"/>
      <c r="N285" s="35"/>
      <c r="O285" s="24">
        <v>33</v>
      </c>
      <c r="P285" s="2" cm="1">
        <f t="array" ref="P285">_xlfn.XLOOKUP(TRIM(B285),TRIM('[1]wc-product-export-16-3-2026-177'!$A:$A),'[1]wc-product-export-16-3-2026-177'!$D:$D,0,0)</f>
        <v>0</v>
      </c>
      <c r="Q285" s="2" cm="1">
        <f t="array" ref="Q285">IF(TRIM($D285)="SET",IF($K285="Steak Set1",ROUNDDOWN(IFERROR(MIN(_xlfn._xlws.FILTER(O$3:O$650,ISNUMBER(MATCH(TRIM($B$3:$B$650),TRIM(_xlfn.TEXTSPLIT($N285,",")),0)))),0)/4,0)+P285,IF(IFERROR(MIN(_xlfn._xlws.FILTER(O$3:O$650,ISNUMBER(MATCH(TRIM($B$3:$B$650),TRIM(_xlfn.TEXTSPLIT($N285,",")),0)))),0)&gt;=$E$1,IFERROR(MIN(_xlfn._xlws.FILTER(O$3:O$650,ISNUMBER(MATCH(TRIM($B$3:$B$650),TRIM(_xlfn.TEXTSPLIT($N285,",")),0)))),0)+P285,P285)),IF(TRIM($D285)="EA",IF(TRIM($E285)="M",ROUNDUP(O285*0.85,0),IF(TRIM($E285)="P",O285,P285)),P285))</f>
        <v>29</v>
      </c>
      <c r="T285" t="str" cm="1">
        <f t="array" ref="T285">IFERROR(IF(D285="SET",_xlfn.TEXTJOIN(", ",TRUE,_xlfn._xlws.FILTER(TRANSPOSE(TRIM(_xlfn.TEXTSPLIT(N285,","))),COUNTIFS(B$3:B$650,TRANSPOSE(TRIM(_xlfn.TEXTSPLIT(N285,","))),O$3:O$650,"&lt;="&amp;$T$1))),""),"")</f>
        <v/>
      </c>
    </row>
    <row r="286" spans="1:22" ht="14.4" x14ac:dyDescent="0.3">
      <c r="A286" s="1">
        <v>39850</v>
      </c>
      <c r="B286" s="56" t="s">
        <v>835</v>
      </c>
      <c r="C286" s="1" t="s">
        <v>1260</v>
      </c>
      <c r="D286" s="1" t="s">
        <v>624</v>
      </c>
      <c r="E286" s="1" t="s">
        <v>686</v>
      </c>
      <c r="F286" s="9"/>
      <c r="G286" s="9"/>
      <c r="H286" s="16" t="s">
        <v>201</v>
      </c>
      <c r="I286" s="9" t="b">
        <f t="shared" si="6"/>
        <v>0</v>
      </c>
      <c r="J286" s="1" t="s">
        <v>399</v>
      </c>
      <c r="K286" s="1" t="s">
        <v>275</v>
      </c>
      <c r="L286" s="1" t="s">
        <v>1732</v>
      </c>
      <c r="M286" s="9"/>
      <c r="N286" s="35"/>
      <c r="O286" s="24">
        <v>20</v>
      </c>
      <c r="P286" s="2" cm="1">
        <f t="array" ref="P286">_xlfn.XLOOKUP(TRIM(B286),TRIM('[1]wc-product-export-16-3-2026-177'!$A:$A),'[1]wc-product-export-16-3-2026-177'!$D:$D,0,0)</f>
        <v>0</v>
      </c>
      <c r="Q286" s="2" cm="1">
        <f t="array" ref="Q286">IF(TRIM($D286)="SET",IF($K286="Steak Set1",ROUNDDOWN(IFERROR(MIN(_xlfn._xlws.FILTER(O$3:O$650,ISNUMBER(MATCH(TRIM($B$3:$B$650),TRIM(_xlfn.TEXTSPLIT($N286,",")),0)))),0)/4,0)+P286,IF(IFERROR(MIN(_xlfn._xlws.FILTER(O$3:O$650,ISNUMBER(MATCH(TRIM($B$3:$B$650),TRIM(_xlfn.TEXTSPLIT($N286,",")),0)))),0)&gt;=$E$1,IFERROR(MIN(_xlfn._xlws.FILTER(O$3:O$650,ISNUMBER(MATCH(TRIM($B$3:$B$650),TRIM(_xlfn.TEXTSPLIT($N286,",")),0)))),0)+P286,P286)),IF(TRIM($D286)="EA",IF(TRIM($E286)="M",ROUNDUP(O286*0.85,0),IF(TRIM($E286)="P",O286,P286)),P286))</f>
        <v>17</v>
      </c>
      <c r="T286" t="str" cm="1">
        <f t="array" ref="T286">IFERROR(IF(D286="SET",_xlfn.TEXTJOIN(", ",TRUE,_xlfn._xlws.FILTER(TRANSPOSE(TRIM(_xlfn.TEXTSPLIT(N286,","))),COUNTIFS(B$3:B$650,TRANSPOSE(TRIM(_xlfn.TEXTSPLIT(N286,","))),O$3:O$650,"&lt;="&amp;$T$1))),""),"")</f>
        <v/>
      </c>
    </row>
    <row r="287" spans="1:22" ht="14.4" x14ac:dyDescent="0.3">
      <c r="A287" s="1">
        <v>39852</v>
      </c>
      <c r="B287" s="55" t="s">
        <v>836</v>
      </c>
      <c r="C287" s="1" t="s">
        <v>1260</v>
      </c>
      <c r="D287" s="1" t="s">
        <v>624</v>
      </c>
      <c r="E287" s="1" t="s">
        <v>686</v>
      </c>
      <c r="F287" s="9"/>
      <c r="G287" s="9"/>
      <c r="H287" s="16" t="s">
        <v>102</v>
      </c>
      <c r="I287" s="9" t="b">
        <f t="shared" si="6"/>
        <v>0</v>
      </c>
      <c r="J287" s="1" t="s">
        <v>399</v>
      </c>
      <c r="K287" s="1" t="s">
        <v>275</v>
      </c>
      <c r="L287" s="1" t="s">
        <v>1733</v>
      </c>
      <c r="M287" s="9"/>
      <c r="N287" s="35"/>
      <c r="O287" s="24">
        <v>0</v>
      </c>
      <c r="P287" s="2" cm="1">
        <f t="array" ref="P287">_xlfn.XLOOKUP(TRIM(B287),TRIM('[1]wc-product-export-16-3-2026-177'!$A:$A),'[1]wc-product-export-16-3-2026-177'!$D:$D,0,0)</f>
        <v>0</v>
      </c>
      <c r="Q287" s="2" cm="1">
        <f t="array" ref="Q287">IF(TRIM($D287)="SET",IF($K287="Steak Set1",ROUNDDOWN(IFERROR(MIN(_xlfn._xlws.FILTER(O$3:O$650,ISNUMBER(MATCH(TRIM($B$3:$B$650),TRIM(_xlfn.TEXTSPLIT($N287,",")),0)))),0)/4,0)+P287,IF(IFERROR(MIN(_xlfn._xlws.FILTER(O$3:O$650,ISNUMBER(MATCH(TRIM($B$3:$B$650),TRIM(_xlfn.TEXTSPLIT($N287,",")),0)))),0)&gt;=$E$1,IFERROR(MIN(_xlfn._xlws.FILTER(O$3:O$650,ISNUMBER(MATCH(TRIM($B$3:$B$650),TRIM(_xlfn.TEXTSPLIT($N287,",")),0)))),0)+P287,P287)),IF(TRIM($D287)="EA",IF(TRIM($E287)="M",ROUNDUP(O287*0.85,0),IF(TRIM($E287)="P",O287,P287)),P287))</f>
        <v>0</v>
      </c>
      <c r="T287" t="str" cm="1">
        <f t="array" ref="T287">IFERROR(IF(D287="SET",_xlfn.TEXTJOIN(", ",TRUE,_xlfn._xlws.FILTER(TRANSPOSE(TRIM(_xlfn.TEXTSPLIT(N287,","))),COUNTIFS(B$3:B$650,TRANSPOSE(TRIM(_xlfn.TEXTSPLIT(N287,","))),O$3:O$650,"&lt;="&amp;$T$1))),""),"")</f>
        <v/>
      </c>
    </row>
    <row r="288" spans="1:22" ht="14.4" x14ac:dyDescent="0.3">
      <c r="A288" s="1">
        <v>39853</v>
      </c>
      <c r="B288" s="55" t="s">
        <v>837</v>
      </c>
      <c r="C288" s="1" t="s">
        <v>1260</v>
      </c>
      <c r="D288" s="1" t="s">
        <v>624</v>
      </c>
      <c r="E288" s="1" t="s">
        <v>686</v>
      </c>
      <c r="F288" s="9"/>
      <c r="G288" s="9"/>
      <c r="H288" s="16" t="s">
        <v>91</v>
      </c>
      <c r="I288" s="9" t="b">
        <f t="shared" si="6"/>
        <v>0</v>
      </c>
      <c r="J288" s="1" t="s">
        <v>399</v>
      </c>
      <c r="K288" s="1" t="s">
        <v>269</v>
      </c>
      <c r="L288" s="1" t="s">
        <v>1729</v>
      </c>
      <c r="M288" s="9"/>
      <c r="N288" s="35"/>
      <c r="O288" s="24">
        <v>26</v>
      </c>
      <c r="P288" s="2" cm="1">
        <f t="array" ref="P288">_xlfn.XLOOKUP(TRIM(B288),TRIM('[1]wc-product-export-16-3-2026-177'!$A:$A),'[1]wc-product-export-16-3-2026-177'!$D:$D,0,0)</f>
        <v>0</v>
      </c>
      <c r="Q288" s="2" cm="1">
        <f t="array" ref="Q288">IF(TRIM($D288)="SET",IF($K288="Steak Set1",ROUNDDOWN(IFERROR(MIN(_xlfn._xlws.FILTER(O$3:O$650,ISNUMBER(MATCH(TRIM($B$3:$B$650),TRIM(_xlfn.TEXTSPLIT($N288,",")),0)))),0)/4,0)+P288,IF(IFERROR(MIN(_xlfn._xlws.FILTER(O$3:O$650,ISNUMBER(MATCH(TRIM($B$3:$B$650),TRIM(_xlfn.TEXTSPLIT($N288,",")),0)))),0)&gt;=$E$1,IFERROR(MIN(_xlfn._xlws.FILTER(O$3:O$650,ISNUMBER(MATCH(TRIM($B$3:$B$650),TRIM(_xlfn.TEXTSPLIT($N288,",")),0)))),0)+P288,P288)),IF(TRIM($D288)="EA",IF(TRIM($E288)="M",ROUNDUP(O288*0.85,0),IF(TRIM($E288)="P",O288,P288)),P288))</f>
        <v>23</v>
      </c>
      <c r="T288" t="str" cm="1">
        <f t="array" ref="T288">IFERROR(IF(D288="SET",_xlfn.TEXTJOIN(", ",TRUE,_xlfn._xlws.FILTER(TRANSPOSE(TRIM(_xlfn.TEXTSPLIT(N288,","))),COUNTIFS(B$3:B$650,TRANSPOSE(TRIM(_xlfn.TEXTSPLIT(N288,","))),O$3:O$650,"&lt;="&amp;$T$1))),""),"")</f>
        <v/>
      </c>
    </row>
    <row r="289" spans="1:20" ht="14.4" x14ac:dyDescent="0.3">
      <c r="A289" s="1">
        <v>39855</v>
      </c>
      <c r="B289" s="55" t="s">
        <v>838</v>
      </c>
      <c r="C289" s="1" t="s">
        <v>1260</v>
      </c>
      <c r="D289" s="1" t="s">
        <v>624</v>
      </c>
      <c r="E289" s="1" t="s">
        <v>686</v>
      </c>
      <c r="F289" s="9"/>
      <c r="G289" s="9"/>
      <c r="H289" s="16" t="s">
        <v>53</v>
      </c>
      <c r="I289" s="9" t="b">
        <f t="shared" si="6"/>
        <v>0</v>
      </c>
      <c r="J289" s="1" t="s">
        <v>399</v>
      </c>
      <c r="K289" s="1" t="s">
        <v>272</v>
      </c>
      <c r="L289" s="1" t="s">
        <v>272</v>
      </c>
      <c r="M289" s="9"/>
      <c r="N289" s="35"/>
      <c r="O289" s="24">
        <v>16</v>
      </c>
      <c r="P289" s="2" cm="1">
        <f t="array" ref="P289">_xlfn.XLOOKUP(TRIM(B289),TRIM('[1]wc-product-export-16-3-2026-177'!$A:$A),'[1]wc-product-export-16-3-2026-177'!$D:$D,0,0)</f>
        <v>0</v>
      </c>
      <c r="Q289" s="2" cm="1">
        <f t="array" ref="Q289">IF(TRIM($D289)="SET",IF($K289="Steak Set1",ROUNDDOWN(IFERROR(MIN(_xlfn._xlws.FILTER(O$3:O$650,ISNUMBER(MATCH(TRIM($B$3:$B$650),TRIM(_xlfn.TEXTSPLIT($N289,",")),0)))),0)/4,0)+P289,IF(IFERROR(MIN(_xlfn._xlws.FILTER(O$3:O$650,ISNUMBER(MATCH(TRIM($B$3:$B$650),TRIM(_xlfn.TEXTSPLIT($N289,",")),0)))),0)&gt;=$E$1,IFERROR(MIN(_xlfn._xlws.FILTER(O$3:O$650,ISNUMBER(MATCH(TRIM($B$3:$B$650),TRIM(_xlfn.TEXTSPLIT($N289,",")),0)))),0)+P289,P289)),IF(TRIM($D289)="EA",IF(TRIM($E289)="M",ROUNDUP(O289*0.85,0),IF(TRIM($E289)="P",O289,P289)),P289))</f>
        <v>14</v>
      </c>
      <c r="T289" t="str" cm="1">
        <f t="array" ref="T289">IFERROR(IF(D289="SET",_xlfn.TEXTJOIN(", ",TRUE,_xlfn._xlws.FILTER(TRANSPOSE(TRIM(_xlfn.TEXTSPLIT(N289,","))),COUNTIFS(B$3:B$650,TRANSPOSE(TRIM(_xlfn.TEXTSPLIT(N289,","))),O$3:O$650,"&lt;="&amp;$T$1))),""),"")</f>
        <v/>
      </c>
    </row>
    <row r="290" spans="1:20" ht="14.4" x14ac:dyDescent="0.3">
      <c r="A290" s="1">
        <v>39857</v>
      </c>
      <c r="B290" s="55" t="s">
        <v>839</v>
      </c>
      <c r="C290" s="1" t="s">
        <v>1260</v>
      </c>
      <c r="D290" s="1" t="s">
        <v>624</v>
      </c>
      <c r="E290" s="1" t="s">
        <v>686</v>
      </c>
      <c r="F290" s="9"/>
      <c r="G290" s="9"/>
      <c r="H290" s="16" t="s">
        <v>54</v>
      </c>
      <c r="I290" s="9" t="b">
        <f t="shared" si="6"/>
        <v>0</v>
      </c>
      <c r="J290" s="1" t="s">
        <v>399</v>
      </c>
      <c r="K290" s="1" t="s">
        <v>272</v>
      </c>
      <c r="L290" s="1" t="s">
        <v>272</v>
      </c>
      <c r="M290" s="9"/>
      <c r="N290" s="35"/>
      <c r="O290" s="24">
        <v>0</v>
      </c>
      <c r="P290" s="2" cm="1">
        <f t="array" ref="P290">_xlfn.XLOOKUP(TRIM(B290),TRIM('[1]wc-product-export-16-3-2026-177'!$A:$A),'[1]wc-product-export-16-3-2026-177'!$D:$D,0,0)</f>
        <v>0</v>
      </c>
      <c r="Q290" s="2" cm="1">
        <f t="array" ref="Q290">IF(TRIM($D290)="SET",IF($K290="Steak Set1",ROUNDDOWN(IFERROR(MIN(_xlfn._xlws.FILTER(O$3:O$650,ISNUMBER(MATCH(TRIM($B$3:$B$650),TRIM(_xlfn.TEXTSPLIT($N290,",")),0)))),0)/4,0)+P290,IF(IFERROR(MIN(_xlfn._xlws.FILTER(O$3:O$650,ISNUMBER(MATCH(TRIM($B$3:$B$650),TRIM(_xlfn.TEXTSPLIT($N290,",")),0)))),0)&gt;=$E$1,IFERROR(MIN(_xlfn._xlws.FILTER(O$3:O$650,ISNUMBER(MATCH(TRIM($B$3:$B$650),TRIM(_xlfn.TEXTSPLIT($N290,",")),0)))),0)+P290,P290)),IF(TRIM($D290)="EA",IF(TRIM($E290)="M",ROUNDUP(O290*0.85,0),IF(TRIM($E290)="P",O290,P290)),P290))</f>
        <v>0</v>
      </c>
      <c r="T290" t="str" cm="1">
        <f t="array" ref="T290">IFERROR(IF(D290="SET",_xlfn.TEXTJOIN(", ",TRUE,_xlfn._xlws.FILTER(TRANSPOSE(TRIM(_xlfn.TEXTSPLIT(N290,","))),COUNTIFS(B$3:B$650,TRANSPOSE(TRIM(_xlfn.TEXTSPLIT(N290,","))),O$3:O$650,"&lt;="&amp;$T$1))),""),"")</f>
        <v/>
      </c>
    </row>
    <row r="291" spans="1:20" ht="14.4" x14ac:dyDescent="0.3">
      <c r="A291" s="1">
        <v>39858</v>
      </c>
      <c r="B291" s="55" t="s">
        <v>840</v>
      </c>
      <c r="C291" s="1" t="s">
        <v>1260</v>
      </c>
      <c r="D291" s="1" t="s">
        <v>624</v>
      </c>
      <c r="E291" s="1" t="s">
        <v>686</v>
      </c>
      <c r="F291" s="9"/>
      <c r="G291" s="9"/>
      <c r="H291" s="16" t="s">
        <v>199</v>
      </c>
      <c r="I291" s="9" t="b">
        <f t="shared" si="6"/>
        <v>0</v>
      </c>
      <c r="J291" s="1" t="s">
        <v>399</v>
      </c>
      <c r="K291" s="1" t="s">
        <v>269</v>
      </c>
      <c r="L291" s="1" t="s">
        <v>1724</v>
      </c>
      <c r="M291" s="9"/>
      <c r="N291" s="35"/>
      <c r="O291" s="24">
        <v>26</v>
      </c>
      <c r="P291" s="2" cm="1">
        <f t="array" ref="P291">_xlfn.XLOOKUP(TRIM(B291),TRIM('[1]wc-product-export-16-3-2026-177'!$A:$A),'[1]wc-product-export-16-3-2026-177'!$D:$D,0,0)</f>
        <v>0</v>
      </c>
      <c r="Q291" s="2" cm="1">
        <f t="array" ref="Q291">IF(TRIM($D291)="SET",IF($K291="Steak Set1",ROUNDDOWN(IFERROR(MIN(_xlfn._xlws.FILTER(O$3:O$650,ISNUMBER(MATCH(TRIM($B$3:$B$650),TRIM(_xlfn.TEXTSPLIT($N291,",")),0)))),0)/4,0)+P291,IF(IFERROR(MIN(_xlfn._xlws.FILTER(O$3:O$650,ISNUMBER(MATCH(TRIM($B$3:$B$650),TRIM(_xlfn.TEXTSPLIT($N291,",")),0)))),0)&gt;=$E$1,IFERROR(MIN(_xlfn._xlws.FILTER(O$3:O$650,ISNUMBER(MATCH(TRIM($B$3:$B$650),TRIM(_xlfn.TEXTSPLIT($N291,",")),0)))),0)+P291,P291)),IF(TRIM($D291)="EA",IF(TRIM($E291)="M",ROUNDUP(O291*0.85,0),IF(TRIM($E291)="P",O291,P291)),P291))</f>
        <v>23</v>
      </c>
      <c r="T291" t="str" cm="1">
        <f t="array" ref="T291">IFERROR(IF(D291="SET",_xlfn.TEXTJOIN(", ",TRUE,_xlfn._xlws.FILTER(TRANSPOSE(TRIM(_xlfn.TEXTSPLIT(N291,","))),COUNTIFS(B$3:B$650,TRANSPOSE(TRIM(_xlfn.TEXTSPLIT(N291,","))),O$3:O$650,"&lt;="&amp;$T$1))),""),"")</f>
        <v/>
      </c>
    </row>
    <row r="292" spans="1:20" ht="14.4" x14ac:dyDescent="0.3">
      <c r="A292" s="1">
        <v>39859</v>
      </c>
      <c r="B292" s="56" t="s">
        <v>841</v>
      </c>
      <c r="C292" s="1" t="s">
        <v>1260</v>
      </c>
      <c r="D292" s="1" t="s">
        <v>624</v>
      </c>
      <c r="E292" s="1" t="s">
        <v>686</v>
      </c>
      <c r="F292" s="9"/>
      <c r="G292" s="9"/>
      <c r="H292" s="16" t="s">
        <v>89</v>
      </c>
      <c r="I292" s="9" t="b">
        <f t="shared" si="6"/>
        <v>0</v>
      </c>
      <c r="J292" s="1" t="s">
        <v>399</v>
      </c>
      <c r="K292" s="1" t="s">
        <v>273</v>
      </c>
      <c r="L292" s="1" t="s">
        <v>1734</v>
      </c>
      <c r="M292" s="9"/>
      <c r="N292" s="35"/>
      <c r="O292" s="24">
        <v>28</v>
      </c>
      <c r="P292" s="2" cm="1">
        <f t="array" ref="P292">_xlfn.XLOOKUP(TRIM(B292),TRIM('[1]wc-product-export-16-3-2026-177'!$A:$A),'[1]wc-product-export-16-3-2026-177'!$D:$D,0,0)</f>
        <v>0</v>
      </c>
      <c r="Q292" s="2" cm="1">
        <f t="array" ref="Q292">IF(TRIM($D292)="SET",IF($K292="Steak Set1",ROUNDDOWN(IFERROR(MIN(_xlfn._xlws.FILTER(O$3:O$650,ISNUMBER(MATCH(TRIM($B$3:$B$650),TRIM(_xlfn.TEXTSPLIT($N292,",")),0)))),0)/4,0)+P292,IF(IFERROR(MIN(_xlfn._xlws.FILTER(O$3:O$650,ISNUMBER(MATCH(TRIM($B$3:$B$650),TRIM(_xlfn.TEXTSPLIT($N292,",")),0)))),0)&gt;=$E$1,IFERROR(MIN(_xlfn._xlws.FILTER(O$3:O$650,ISNUMBER(MATCH(TRIM($B$3:$B$650),TRIM(_xlfn.TEXTSPLIT($N292,",")),0)))),0)+P292,P292)),IF(TRIM($D292)="EA",IF(TRIM($E292)="M",ROUNDUP(O292*0.85,0),IF(TRIM($E292)="P",O292,P292)),P292))</f>
        <v>24</v>
      </c>
      <c r="T292" t="str" cm="1">
        <f t="array" ref="T292">IFERROR(IF(D292="SET",_xlfn.TEXTJOIN(", ",TRUE,_xlfn._xlws.FILTER(TRANSPOSE(TRIM(_xlfn.TEXTSPLIT(N292,","))),COUNTIFS(B$3:B$650,TRANSPOSE(TRIM(_xlfn.TEXTSPLIT(N292,","))),O$3:O$650,"&lt;="&amp;$T$1))),""),"")</f>
        <v/>
      </c>
    </row>
    <row r="293" spans="1:20" ht="14.4" x14ac:dyDescent="0.3">
      <c r="A293" s="1">
        <v>39860</v>
      </c>
      <c r="B293" s="55" t="s">
        <v>842</v>
      </c>
      <c r="C293" s="1" t="s">
        <v>1260</v>
      </c>
      <c r="D293" s="1" t="s">
        <v>624</v>
      </c>
      <c r="E293" s="1" t="s">
        <v>686</v>
      </c>
      <c r="F293" s="9"/>
      <c r="G293" s="9"/>
      <c r="H293" s="16" t="s">
        <v>262</v>
      </c>
      <c r="I293" s="9" t="b">
        <f t="shared" si="6"/>
        <v>0</v>
      </c>
      <c r="J293" s="1" t="s">
        <v>399</v>
      </c>
      <c r="K293" s="1" t="s">
        <v>276</v>
      </c>
      <c r="L293" s="1" t="s">
        <v>276</v>
      </c>
      <c r="M293" s="9"/>
      <c r="N293" s="35"/>
      <c r="O293" s="24">
        <v>29</v>
      </c>
      <c r="P293" s="2" cm="1">
        <f t="array" ref="P293">_xlfn.XLOOKUP(TRIM(B293),TRIM('[1]wc-product-export-16-3-2026-177'!$A:$A),'[1]wc-product-export-16-3-2026-177'!$D:$D,0,0)</f>
        <v>0</v>
      </c>
      <c r="Q293" s="2" cm="1">
        <f t="array" ref="Q293">IF(TRIM($D293)="SET",IF($K293="Steak Set1",ROUNDDOWN(IFERROR(MIN(_xlfn._xlws.FILTER(O$3:O$650,ISNUMBER(MATCH(TRIM($B$3:$B$650),TRIM(_xlfn.TEXTSPLIT($N293,",")),0)))),0)/4,0)+P293,IF(IFERROR(MIN(_xlfn._xlws.FILTER(O$3:O$650,ISNUMBER(MATCH(TRIM($B$3:$B$650),TRIM(_xlfn.TEXTSPLIT($N293,",")),0)))),0)&gt;=$E$1,IFERROR(MIN(_xlfn._xlws.FILTER(O$3:O$650,ISNUMBER(MATCH(TRIM($B$3:$B$650),TRIM(_xlfn.TEXTSPLIT($N293,",")),0)))),0)+P293,P293)),IF(TRIM($D293)="EA",IF(TRIM($E293)="M",ROUNDUP(O293*0.85,0),IF(TRIM($E293)="P",O293,P293)),P293))</f>
        <v>25</v>
      </c>
      <c r="T293" t="str" cm="1">
        <f t="array" ref="T293">IFERROR(IF(D293="SET",_xlfn.TEXTJOIN(", ",TRUE,_xlfn._xlws.FILTER(TRANSPOSE(TRIM(_xlfn.TEXTSPLIT(N293,","))),COUNTIFS(B$3:B$650,TRANSPOSE(TRIM(_xlfn.TEXTSPLIT(N293,","))),O$3:O$650,"&lt;="&amp;$T$1))),""),"")</f>
        <v/>
      </c>
    </row>
    <row r="294" spans="1:20" ht="14.4" x14ac:dyDescent="0.3">
      <c r="A294" s="1">
        <v>39863</v>
      </c>
      <c r="B294" s="55" t="s">
        <v>843</v>
      </c>
      <c r="C294" s="1" t="s">
        <v>1260</v>
      </c>
      <c r="D294" s="1" t="s">
        <v>628</v>
      </c>
      <c r="E294" s="1" t="s">
        <v>686</v>
      </c>
      <c r="F294" s="9"/>
      <c r="G294" s="9"/>
      <c r="H294" s="16" t="s">
        <v>131</v>
      </c>
      <c r="I294" s="9" t="b">
        <f t="shared" si="6"/>
        <v>0</v>
      </c>
      <c r="J294" s="1" t="s">
        <v>399</v>
      </c>
      <c r="K294" s="1" t="s">
        <v>278</v>
      </c>
      <c r="L294" s="1" t="s">
        <v>1735</v>
      </c>
      <c r="M294" s="9"/>
      <c r="N294" s="35" t="s">
        <v>1606</v>
      </c>
      <c r="O294" s="24">
        <v>2</v>
      </c>
      <c r="P294" s="2" cm="1">
        <f t="array" ref="P294">_xlfn.XLOOKUP(TRIM(B294),TRIM('[1]wc-product-export-16-3-2026-177'!$A:$A),'[1]wc-product-export-16-3-2026-177'!$D:$D,0,0)</f>
        <v>0</v>
      </c>
      <c r="Q294" s="2" cm="1">
        <f t="array" ref="Q294">IF(TRIM($D294)="SET",IF($K294="Steak Set1",ROUNDDOWN(IFERROR(MIN(_xlfn._xlws.FILTER(O$3:O$650,ISNUMBER(MATCH(TRIM($B$3:$B$650),TRIM(_xlfn.TEXTSPLIT($N294,",")),0)))),0)/4,0)+P294,IF(IFERROR(MIN(_xlfn._xlws.FILTER(O$3:O$650,ISNUMBER(MATCH(TRIM($B$3:$B$650),TRIM(_xlfn.TEXTSPLIT($N294,",")),0)))),0)&gt;=$E$1,IFERROR(MIN(_xlfn._xlws.FILTER(O$3:O$650,ISNUMBER(MATCH(TRIM($B$3:$B$650),TRIM(_xlfn.TEXTSPLIT($N294,",")),0)))),0)+P294,P294)),IF(TRIM($D294)="EA",IF(TRIM($E294)="M",ROUNDUP(O294*0.85,0),IF(TRIM($E294)="P",O294,P294)),P294))</f>
        <v>0</v>
      </c>
      <c r="T294" t="str" cm="1">
        <f t="array" ref="T294">IFERROR(IF(D294="SET",_xlfn.TEXTJOIN(", ",TRUE,_xlfn._xlws.FILTER(TRANSPOSE(TRIM(_xlfn.TEXTSPLIT(N294,","))),COUNTIFS(B$3:B$650,TRANSPOSE(TRIM(_xlfn.TEXTSPLIT(N294,","))),O$3:O$650,"&lt;="&amp;$T$1))),""),"")</f>
        <v>39835</v>
      </c>
    </row>
    <row r="295" spans="1:20" ht="14.4" x14ac:dyDescent="0.3">
      <c r="A295" s="1">
        <v>39864</v>
      </c>
      <c r="B295" s="55" t="s">
        <v>844</v>
      </c>
      <c r="C295" s="1" t="s">
        <v>1260</v>
      </c>
      <c r="D295" s="1" t="s">
        <v>628</v>
      </c>
      <c r="E295" s="1" t="s">
        <v>686</v>
      </c>
      <c r="F295" s="9"/>
      <c r="G295" s="9"/>
      <c r="H295" s="16" t="s">
        <v>133</v>
      </c>
      <c r="I295" s="9" t="b">
        <f t="shared" si="6"/>
        <v>0</v>
      </c>
      <c r="J295" s="1" t="s">
        <v>399</v>
      </c>
      <c r="K295" s="1" t="s">
        <v>278</v>
      </c>
      <c r="L295" s="1" t="s">
        <v>1736</v>
      </c>
      <c r="M295" s="9"/>
      <c r="N295" s="35" t="s">
        <v>1592</v>
      </c>
      <c r="O295" s="24">
        <v>7</v>
      </c>
      <c r="P295" s="2" cm="1">
        <f t="array" ref="P295">_xlfn.XLOOKUP(TRIM(B295),TRIM('[1]wc-product-export-16-3-2026-177'!$A:$A),'[1]wc-product-export-16-3-2026-177'!$D:$D,0,0)</f>
        <v>0</v>
      </c>
      <c r="Q295" s="2" cm="1">
        <f t="array" ref="Q295">IF(TRIM($D295)="SET",IF($K295="Steak Set1",ROUNDDOWN(IFERROR(MIN(_xlfn._xlws.FILTER(O$3:O$650,ISNUMBER(MATCH(TRIM($B$3:$B$650),TRIM(_xlfn.TEXTSPLIT($N295,",")),0)))),0)/4,0)+P295,IF(IFERROR(MIN(_xlfn._xlws.FILTER(O$3:O$650,ISNUMBER(MATCH(TRIM($B$3:$B$650),TRIM(_xlfn.TEXTSPLIT($N295,",")),0)))),0)&gt;=$E$1,IFERROR(MIN(_xlfn._xlws.FILTER(O$3:O$650,ISNUMBER(MATCH(TRIM($B$3:$B$650),TRIM(_xlfn.TEXTSPLIT($N295,",")),0)))),0)+P295,P295)),IF(TRIM($D295)="EA",IF(TRIM($E295)="M",ROUNDUP(O295*0.85,0),IF(TRIM($E295)="P",O295,P295)),P295))</f>
        <v>7</v>
      </c>
      <c r="T295" t="str" cm="1">
        <f t="array" ref="T295">IFERROR(IF(D295="SET",_xlfn.TEXTJOIN(", ",TRUE,_xlfn._xlws.FILTER(TRANSPOSE(TRIM(_xlfn.TEXTSPLIT(N295,","))),COUNTIFS(B$3:B$650,TRANSPOSE(TRIM(_xlfn.TEXTSPLIT(N295,","))),O$3:O$650,"&lt;="&amp;$T$1))),""),"")</f>
        <v/>
      </c>
    </row>
    <row r="296" spans="1:20" ht="14.4" x14ac:dyDescent="0.3">
      <c r="A296" s="1">
        <v>39868</v>
      </c>
      <c r="B296" s="55" t="s">
        <v>845</v>
      </c>
      <c r="C296" s="1" t="s">
        <v>1260</v>
      </c>
      <c r="D296" s="1" t="s">
        <v>628</v>
      </c>
      <c r="E296" s="1" t="s">
        <v>686</v>
      </c>
      <c r="F296" s="9"/>
      <c r="G296" s="9"/>
      <c r="H296" s="16" t="s">
        <v>55</v>
      </c>
      <c r="I296" s="9" t="b">
        <f t="shared" si="6"/>
        <v>0</v>
      </c>
      <c r="J296" s="1" t="s">
        <v>399</v>
      </c>
      <c r="K296" s="1" t="s">
        <v>1712</v>
      </c>
      <c r="L296" s="1" t="s">
        <v>1737</v>
      </c>
      <c r="M296" s="9"/>
      <c r="N296" s="35" t="s">
        <v>821</v>
      </c>
      <c r="O296" s="24">
        <v>6</v>
      </c>
      <c r="P296" s="2" cm="1">
        <f t="array" ref="P296">_xlfn.XLOOKUP(TRIM(B296),TRIM('[1]wc-product-export-16-3-2026-177'!$A:$A),'[1]wc-product-export-16-3-2026-177'!$D:$D,0,0)</f>
        <v>2</v>
      </c>
      <c r="Q296" s="2" cm="1">
        <f t="array" ref="Q296">IF(TRIM($D296)="SET",IF($K296="Steak Set1",ROUNDDOWN(IFERROR(MIN(_xlfn._xlws.FILTER(O$3:O$650,ISNUMBER(MATCH(TRIM($B$3:$B$650),TRIM(_xlfn.TEXTSPLIT($N296,",")),0)))),0)/4,0)+P296,IF(IFERROR(MIN(_xlfn._xlws.FILTER(O$3:O$650,ISNUMBER(MATCH(TRIM($B$3:$B$650),TRIM(_xlfn.TEXTSPLIT($N296,",")),0)))),0)&gt;=$E$1,IFERROR(MIN(_xlfn._xlws.FILTER(O$3:O$650,ISNUMBER(MATCH(TRIM($B$3:$B$650),TRIM(_xlfn.TEXTSPLIT($N296,",")),0)))),0)+P296,P296)),IF(TRIM($D296)="EA",IF(TRIM($E296)="M",ROUNDUP(O296*0.85,0),IF(TRIM($E296)="P",O296,P296)),P296))</f>
        <v>5</v>
      </c>
      <c r="T296" t="str" cm="1">
        <f t="array" ref="T296">IFERROR(IF(D296="SET",_xlfn.TEXTJOIN(", ",TRUE,_xlfn._xlws.FILTER(TRANSPOSE(TRIM(_xlfn.TEXTSPLIT(N296,","))),COUNTIFS(B$3:B$650,TRANSPOSE(TRIM(_xlfn.TEXTSPLIT(N296,","))),O$3:O$650,"&lt;="&amp;$T$1))),""),"")</f>
        <v/>
      </c>
    </row>
    <row r="297" spans="1:20" ht="14.4" hidden="1" x14ac:dyDescent="0.3">
      <c r="A297" s="1">
        <v>6216</v>
      </c>
      <c r="B297" s="1" t="s">
        <v>643</v>
      </c>
      <c r="C297" s="1" t="s">
        <v>1259</v>
      </c>
      <c r="D297" s="1" t="s">
        <v>624</v>
      </c>
      <c r="E297" s="1" t="s">
        <v>623</v>
      </c>
      <c r="F297" s="9" t="s">
        <v>1688</v>
      </c>
      <c r="G297" s="9"/>
      <c r="H297" s="53" t="s">
        <v>146</v>
      </c>
      <c r="I297" s="9" t="b">
        <f t="shared" si="6"/>
        <v>0</v>
      </c>
      <c r="J297" s="1" t="s">
        <v>119</v>
      </c>
      <c r="K297" s="1" t="s">
        <v>435</v>
      </c>
      <c r="L297" s="1" t="s">
        <v>435</v>
      </c>
      <c r="M297" s="9"/>
      <c r="N297" s="35"/>
      <c r="O297" s="2" t="s">
        <v>458</v>
      </c>
      <c r="P297" s="2" cm="1">
        <f t="array" ref="P297">_xlfn.XLOOKUP(TRIM(B297),TRIM('[1]wc-product-export-16-3-2026-177'!$A:$A),'[1]wc-product-export-16-3-2026-177'!$D:$D,0,0)</f>
        <v>0</v>
      </c>
      <c r="Q297" s="2" t="str" cm="1">
        <f t="array" ref="Q297">IF(TRIM($D297)="SET",IF($K297="Steak Set1",ROUNDDOWN(IFERROR(MIN(_xlfn._xlws.FILTER(O$3:O$650,ISNUMBER(MATCH(TRIM($B$3:$B$650),TRIM(_xlfn.TEXTSPLIT($N297,",")),0)))),0)/4,0)+P297,IF(IFERROR(MIN(_xlfn._xlws.FILTER(O$3:O$650,ISNUMBER(MATCH(TRIM($B$3:$B$650),TRIM(_xlfn.TEXTSPLIT($N297,",")),0)))),0)&gt;=$E$1,IFERROR(MIN(_xlfn._xlws.FILTER(O$3:O$650,ISNUMBER(MATCH(TRIM($B$3:$B$650),TRIM(_xlfn.TEXTSPLIT($N297,",")),0)))),0)+P297,P297)),IF(TRIM($D297)="EA",IF(TRIM($E297)="M",ROUNDUP(O297*0.85,0),IF(TRIM($E297)="P",O297,P297)),P297))</f>
        <v>N/A</v>
      </c>
      <c r="T297" t="str" cm="1">
        <f t="array" ref="T297">IFERROR(IF(D297="SET",_xlfn.TEXTJOIN(", ",TRUE,_xlfn._xlws.FILTER(TRANSPOSE(TRIM(_xlfn.TEXTSPLIT(N297,","))),COUNTIFS(B$3:B$650,TRANSPOSE(TRIM(_xlfn.TEXTSPLIT(N297,","))),O$3:O$650,"&lt;="&amp;$T$1))),""),"")</f>
        <v/>
      </c>
    </row>
    <row r="298" spans="1:20" ht="14.4" x14ac:dyDescent="0.3">
      <c r="A298" s="1">
        <v>39869</v>
      </c>
      <c r="B298" s="55" t="s">
        <v>846</v>
      </c>
      <c r="C298" s="1" t="s">
        <v>1260</v>
      </c>
      <c r="D298" s="1" t="s">
        <v>628</v>
      </c>
      <c r="E298" s="1" t="s">
        <v>686</v>
      </c>
      <c r="F298" s="9"/>
      <c r="G298" s="9"/>
      <c r="H298" s="16" t="s">
        <v>181</v>
      </c>
      <c r="I298" s="9" t="b">
        <f t="shared" si="6"/>
        <v>0</v>
      </c>
      <c r="J298" s="1" t="s">
        <v>399</v>
      </c>
      <c r="K298" s="1" t="s">
        <v>277</v>
      </c>
      <c r="L298" s="1" t="s">
        <v>1738</v>
      </c>
      <c r="M298" s="9"/>
      <c r="N298" s="35" t="s">
        <v>1585</v>
      </c>
      <c r="O298" s="24">
        <v>10</v>
      </c>
      <c r="P298" s="2" cm="1">
        <f t="array" ref="P298">_xlfn.XLOOKUP(TRIM(B298),TRIM('[1]wc-product-export-16-3-2026-177'!$A:$A),'[1]wc-product-export-16-3-2026-177'!$D:$D,0,0)</f>
        <v>2</v>
      </c>
      <c r="Q298" s="2" cm="1">
        <f t="array" ref="Q298">IF(TRIM($D298)="SET",IF($K298="Steak Set1",ROUNDDOWN(IFERROR(MIN(_xlfn._xlws.FILTER(O$3:O$650,ISNUMBER(MATCH(TRIM($B$3:$B$650),TRIM(_xlfn.TEXTSPLIT($N298,",")),0)))),0)/4,0)+P298,IF(IFERROR(MIN(_xlfn._xlws.FILTER(O$3:O$650,ISNUMBER(MATCH(TRIM($B$3:$B$650),TRIM(_xlfn.TEXTSPLIT($N298,",")),0)))),0)&gt;=$E$1,IFERROR(MIN(_xlfn._xlws.FILTER(O$3:O$650,ISNUMBER(MATCH(TRIM($B$3:$B$650),TRIM(_xlfn.TEXTSPLIT($N298,",")),0)))),0)+P298,P298)),IF(TRIM($D298)="EA",IF(TRIM($E298)="M",ROUNDUP(O298*0.85,0),IF(TRIM($E298)="P",O298,P298)),P298))</f>
        <v>10</v>
      </c>
      <c r="T298" t="str" cm="1">
        <f t="array" ref="T298">IFERROR(IF(D298="SET",_xlfn.TEXTJOIN(", ",TRUE,_xlfn._xlws.FILTER(TRANSPOSE(TRIM(_xlfn.TEXTSPLIT(N298,","))),COUNTIFS(B$3:B$650,TRANSPOSE(TRIM(_xlfn.TEXTSPLIT(N298,","))),O$3:O$650,"&lt;="&amp;$T$1))),""),"")</f>
        <v/>
      </c>
    </row>
    <row r="299" spans="1:20" ht="14.4" x14ac:dyDescent="0.3">
      <c r="A299" s="1">
        <v>39873</v>
      </c>
      <c r="B299" s="55" t="s">
        <v>847</v>
      </c>
      <c r="C299" s="1" t="s">
        <v>1260</v>
      </c>
      <c r="D299" s="1" t="s">
        <v>628</v>
      </c>
      <c r="E299" s="1" t="s">
        <v>686</v>
      </c>
      <c r="F299" s="9"/>
      <c r="G299" s="9"/>
      <c r="H299" s="16" t="s">
        <v>132</v>
      </c>
      <c r="I299" s="9" t="b">
        <f t="shared" si="6"/>
        <v>0</v>
      </c>
      <c r="J299" s="1" t="s">
        <v>399</v>
      </c>
      <c r="K299" s="1" t="s">
        <v>278</v>
      </c>
      <c r="L299" s="1" t="s">
        <v>1735</v>
      </c>
      <c r="M299" s="9"/>
      <c r="N299" s="35" t="s">
        <v>1607</v>
      </c>
      <c r="O299" s="24">
        <v>15</v>
      </c>
      <c r="P299" s="2" cm="1">
        <f t="array" ref="P299">_xlfn.XLOOKUP(TRIM(B299),TRIM('[1]wc-product-export-16-3-2026-177'!$A:$A),'[1]wc-product-export-16-3-2026-177'!$D:$D,0,0)</f>
        <v>0</v>
      </c>
      <c r="Q299" s="2" cm="1">
        <f t="array" ref="Q299">IF(TRIM($D299)="SET",IF($K299="Steak Set1",ROUNDDOWN(IFERROR(MIN(_xlfn._xlws.FILTER(O$3:O$650,ISNUMBER(MATCH(TRIM($B$3:$B$650),TRIM(_xlfn.TEXTSPLIT($N299,",")),0)))),0)/4,0)+P299,IF(IFERROR(MIN(_xlfn._xlws.FILTER(O$3:O$650,ISNUMBER(MATCH(TRIM($B$3:$B$650),TRIM(_xlfn.TEXTSPLIT($N299,",")),0)))),0)&gt;=$E$1,IFERROR(MIN(_xlfn._xlws.FILTER(O$3:O$650,ISNUMBER(MATCH(TRIM($B$3:$B$650),TRIM(_xlfn.TEXTSPLIT($N299,",")),0)))),0)+P299,P299)),IF(TRIM($D299)="EA",IF(TRIM($E299)="M",ROUNDUP(O299*0.85,0),IF(TRIM($E299)="P",O299,P299)),P299))</f>
        <v>11</v>
      </c>
      <c r="T299" t="str" cm="1">
        <f t="array" ref="T299">IFERROR(IF(D299="SET",_xlfn.TEXTJOIN(", ",TRUE,_xlfn._xlws.FILTER(TRANSPOSE(TRIM(_xlfn.TEXTSPLIT(N299,","))),COUNTIFS(B$3:B$650,TRANSPOSE(TRIM(_xlfn.TEXTSPLIT(N299,","))),O$3:O$650,"&lt;="&amp;$T$1))),""),"")</f>
        <v/>
      </c>
    </row>
    <row r="300" spans="1:20" ht="14.4" x14ac:dyDescent="0.3">
      <c r="A300" s="1">
        <v>39874</v>
      </c>
      <c r="B300" s="55" t="s">
        <v>848</v>
      </c>
      <c r="C300" s="1" t="s">
        <v>1260</v>
      </c>
      <c r="D300" s="1" t="s">
        <v>628</v>
      </c>
      <c r="E300" s="1" t="s">
        <v>686</v>
      </c>
      <c r="F300" s="9"/>
      <c r="G300" s="9"/>
      <c r="H300" s="16" t="s">
        <v>182</v>
      </c>
      <c r="I300" s="9" t="b">
        <f t="shared" si="6"/>
        <v>0</v>
      </c>
      <c r="J300" s="1" t="s">
        <v>399</v>
      </c>
      <c r="K300" s="1" t="s">
        <v>277</v>
      </c>
      <c r="L300" s="1" t="s">
        <v>1739</v>
      </c>
      <c r="M300" s="9"/>
      <c r="N300" s="35" t="s">
        <v>1586</v>
      </c>
      <c r="O300" s="24">
        <v>29</v>
      </c>
      <c r="P300" s="2" cm="1">
        <f t="array" ref="P300">_xlfn.XLOOKUP(TRIM(B300),TRIM('[1]wc-product-export-16-3-2026-177'!$A:$A),'[1]wc-product-export-16-3-2026-177'!$D:$D,0,0)</f>
        <v>4</v>
      </c>
      <c r="Q300" s="2" cm="1">
        <f t="array" ref="Q300">IF(TRIM($D300)="SET",IF($K300="Steak Set1",ROUNDDOWN(IFERROR(MIN(_xlfn._xlws.FILTER(O$3:O$650,ISNUMBER(MATCH(TRIM($B$3:$B$650),TRIM(_xlfn.TEXTSPLIT($N300,",")),0)))),0)/4,0)+P300,IF(IFERROR(MIN(_xlfn._xlws.FILTER(O$3:O$650,ISNUMBER(MATCH(TRIM($B$3:$B$650),TRIM(_xlfn.TEXTSPLIT($N300,",")),0)))),0)&gt;=$E$1,IFERROR(MIN(_xlfn._xlws.FILTER(O$3:O$650,ISNUMBER(MATCH(TRIM($B$3:$B$650),TRIM(_xlfn.TEXTSPLIT($N300,",")),0)))),0)+P300,P300)),IF(TRIM($D300)="EA",IF(TRIM($E300)="M",ROUNDUP(O300*0.85,0),IF(TRIM($E300)="P",O300,P300)),P300))</f>
        <v>32</v>
      </c>
      <c r="T300" t="str" cm="1">
        <f t="array" ref="T300">IFERROR(IF(D300="SET",_xlfn.TEXTJOIN(", ",TRUE,_xlfn._xlws.FILTER(TRANSPOSE(TRIM(_xlfn.TEXTSPLIT(N300,","))),COUNTIFS(B$3:B$650,TRANSPOSE(TRIM(_xlfn.TEXTSPLIT(N300,","))),O$3:O$650,"&lt;="&amp;$T$1))),""),"")</f>
        <v/>
      </c>
    </row>
    <row r="301" spans="1:20" ht="14.4" x14ac:dyDescent="0.3">
      <c r="A301" s="1">
        <v>39883</v>
      </c>
      <c r="B301" s="55" t="s">
        <v>849</v>
      </c>
      <c r="C301" s="1" t="s">
        <v>1260</v>
      </c>
      <c r="D301" s="1" t="s">
        <v>628</v>
      </c>
      <c r="E301" s="1" t="s">
        <v>686</v>
      </c>
      <c r="F301" s="9"/>
      <c r="G301" s="9"/>
      <c r="H301" s="16" t="s">
        <v>555</v>
      </c>
      <c r="I301" s="9" t="b">
        <f t="shared" si="6"/>
        <v>0</v>
      </c>
      <c r="J301" s="1" t="s">
        <v>399</v>
      </c>
      <c r="K301" s="1" t="s">
        <v>1715</v>
      </c>
      <c r="L301" s="1" t="s">
        <v>1715</v>
      </c>
      <c r="M301" s="9"/>
      <c r="N301" s="35" t="s">
        <v>1599</v>
      </c>
      <c r="O301" s="24">
        <v>2</v>
      </c>
      <c r="P301" s="2" cm="1">
        <f t="array" ref="P301">_xlfn.XLOOKUP(TRIM(B301),TRIM('[1]wc-product-export-16-3-2026-177'!$A:$A),'[1]wc-product-export-16-3-2026-177'!$D:$D,0,0)</f>
        <v>0</v>
      </c>
      <c r="Q301" s="2" cm="1">
        <f t="array" ref="Q301">IF(TRIM($D301)="SET",IF($K301="Steak Set1",ROUNDDOWN(IFERROR(MIN(_xlfn._xlws.FILTER(O$3:O$650,ISNUMBER(MATCH(TRIM($B$3:$B$650),TRIM(_xlfn.TEXTSPLIT($N301,",")),0)))),0)/4,0)+P301,IF(IFERROR(MIN(_xlfn._xlws.FILTER(O$3:O$650,ISNUMBER(MATCH(TRIM($B$3:$B$650),TRIM(_xlfn.TEXTSPLIT($N301,",")),0)))),0)&gt;=$E$1,IFERROR(MIN(_xlfn._xlws.FILTER(O$3:O$650,ISNUMBER(MATCH(TRIM($B$3:$B$650),TRIM(_xlfn.TEXTSPLIT($N301,",")),0)))),0)+P301,P301)),IF(TRIM($D301)="EA",IF(TRIM($E301)="M",ROUNDUP(O301*0.85,0),IF(TRIM($E301)="P",O301,P301)),P301))</f>
        <v>0</v>
      </c>
      <c r="T301" t="str" cm="1">
        <f t="array" ref="T301">IFERROR(IF(D301="SET",_xlfn.TEXTJOIN(", ",TRUE,_xlfn._xlws.FILTER(TRANSPOSE(TRIM(_xlfn.TEXTSPLIT(N301,","))),COUNTIFS(B$3:B$650,TRANSPOSE(TRIM(_xlfn.TEXTSPLIT(N301,","))),O$3:O$650,"&lt;="&amp;$T$1))),""),"")</f>
        <v>39835</v>
      </c>
    </row>
    <row r="302" spans="1:20" ht="14.4" x14ac:dyDescent="0.3">
      <c r="A302" s="1">
        <v>39884</v>
      </c>
      <c r="B302" s="55" t="s">
        <v>850</v>
      </c>
      <c r="C302" s="1" t="s">
        <v>1260</v>
      </c>
      <c r="D302" s="1" t="s">
        <v>628</v>
      </c>
      <c r="E302" s="1" t="s">
        <v>686</v>
      </c>
      <c r="F302" s="9"/>
      <c r="G302" s="9"/>
      <c r="H302" s="16" t="s">
        <v>556</v>
      </c>
      <c r="I302" s="9" t="b">
        <f t="shared" si="6"/>
        <v>0</v>
      </c>
      <c r="J302" s="1" t="s">
        <v>399</v>
      </c>
      <c r="K302" s="1" t="s">
        <v>1716</v>
      </c>
      <c r="L302" s="1" t="s">
        <v>1716</v>
      </c>
      <c r="M302" s="9"/>
      <c r="N302" s="35" t="s">
        <v>1590</v>
      </c>
      <c r="O302" s="24">
        <v>2</v>
      </c>
      <c r="P302" s="2" cm="1">
        <f t="array" ref="P302">_xlfn.XLOOKUP(TRIM(B302),TRIM('[1]wc-product-export-16-3-2026-177'!$A:$A),'[1]wc-product-export-16-3-2026-177'!$D:$D,0,0)</f>
        <v>0</v>
      </c>
      <c r="Q302" s="2" cm="1">
        <f t="array" ref="Q302">IF(TRIM($D302)="SET",IF($K302="Steak Set1",ROUNDDOWN(IFERROR(MIN(_xlfn._xlws.FILTER(O$3:O$650,ISNUMBER(MATCH(TRIM($B$3:$B$650),TRIM(_xlfn.TEXTSPLIT($N302,",")),0)))),0)/4,0)+P302,IF(IFERROR(MIN(_xlfn._xlws.FILTER(O$3:O$650,ISNUMBER(MATCH(TRIM($B$3:$B$650),TRIM(_xlfn.TEXTSPLIT($N302,",")),0)))),0)&gt;=$E$1,IFERROR(MIN(_xlfn._xlws.FILTER(O$3:O$650,ISNUMBER(MATCH(TRIM($B$3:$B$650),TRIM(_xlfn.TEXTSPLIT($N302,",")),0)))),0)+P302,P302)),IF(TRIM($D302)="EA",IF(TRIM($E302)="M",ROUNDUP(O302*0.85,0),IF(TRIM($E302)="P",O302,P302)),P302))</f>
        <v>0</v>
      </c>
      <c r="T302" t="str" cm="1">
        <f t="array" ref="T302">IFERROR(IF(D302="SET",_xlfn.TEXTJOIN(", ",TRUE,_xlfn._xlws.FILTER(TRANSPOSE(TRIM(_xlfn.TEXTSPLIT(N302,","))),COUNTIFS(B$3:B$650,TRANSPOSE(TRIM(_xlfn.TEXTSPLIT(N302,","))),O$3:O$650,"&lt;="&amp;$T$1))),""),"")</f>
        <v>39835</v>
      </c>
    </row>
    <row r="303" spans="1:20" ht="24" x14ac:dyDescent="0.3">
      <c r="A303" s="1">
        <v>39885</v>
      </c>
      <c r="B303" s="55" t="s">
        <v>851</v>
      </c>
      <c r="C303" s="1" t="s">
        <v>1260</v>
      </c>
      <c r="D303" s="1" t="s">
        <v>628</v>
      </c>
      <c r="E303" s="1" t="s">
        <v>686</v>
      </c>
      <c r="F303" s="9" t="s">
        <v>1608</v>
      </c>
      <c r="G303" s="9"/>
      <c r="H303" s="16" t="s">
        <v>583</v>
      </c>
      <c r="I303" s="9" t="b">
        <f t="shared" si="6"/>
        <v>0</v>
      </c>
      <c r="J303" s="1" t="s">
        <v>399</v>
      </c>
      <c r="K303" s="1" t="s">
        <v>1714</v>
      </c>
      <c r="L303" s="1" t="s">
        <v>1720</v>
      </c>
      <c r="M303" s="9">
        <v>2</v>
      </c>
      <c r="N303" s="35" t="s">
        <v>1572</v>
      </c>
      <c r="O303" s="24">
        <v>2</v>
      </c>
      <c r="P303" s="2" cm="1">
        <f t="array" ref="P303">_xlfn.XLOOKUP(TRIM(B303),TRIM('[1]wc-product-export-16-3-2026-177'!$A:$A),'[1]wc-product-export-16-3-2026-177'!$D:$D,0,0)</f>
        <v>0</v>
      </c>
      <c r="Q303" s="66" cm="1">
        <f t="array" ref="Q303">_xlfn.LET(_xlpm.items,TRIM(_xlfn.TEXTSPLIT($N303,",")),_xlpm.codes,TRIM($B$3:$B$650),_xlpm.qty,$O$3:$O$650,_xlpm.setMask,ISNUMBER(MATCH(_xlpm.codes,_xlpm.items,0)),_xlpm.knifeType,IF(ISNUMBER(SEARCH("fine",$H303)),"15",IF(ISNUMBER(SEARCH("serr",$H303)),"20","")),_xlpm.knifeStock,IFERROR(MIN(IF(_xlpm.setMask*(RIGHT(_xlpm.codes,2)=_xlpm.knifeType),_xlpm.qty)),0),_xlpm.otherStock,IFERROR(MIN(IF(_xlpm.setMask*(RIGHT(_xlpm.codes,2)&lt;&gt;_xlpm.knifeType),_xlpm.qty)),0),IF(_xlpm.knifeStock&gt;=8,MIN(ROUNDDOWN(_xlpm.knifeStock/8,0),_xlpm.otherStock),0)+P303)</f>
        <v>0</v>
      </c>
      <c r="T303" t="str" cm="1">
        <f t="array" ref="T303">IFERROR(IF(D303="SET",_xlfn.TEXTJOIN(", ",TRUE,_xlfn._xlws.FILTER(TRANSPOSE(TRIM(_xlfn.TEXTSPLIT(N303,","))),COUNTIFS(B$3:B$650,TRANSPOSE(TRIM(_xlfn.TEXTSPLIT(N303,","))),O$3:O$650,"&lt;="&amp;$T$1))),""),"")</f>
        <v>39835</v>
      </c>
    </row>
    <row r="304" spans="1:20" ht="24" x14ac:dyDescent="0.3">
      <c r="A304" s="1">
        <v>39886</v>
      </c>
      <c r="B304" s="55" t="s">
        <v>852</v>
      </c>
      <c r="C304" s="1" t="s">
        <v>1260</v>
      </c>
      <c r="D304" s="1" t="s">
        <v>628</v>
      </c>
      <c r="E304" s="1" t="s">
        <v>686</v>
      </c>
      <c r="F304" s="9"/>
      <c r="G304" s="9"/>
      <c r="H304" s="16" t="s">
        <v>557</v>
      </c>
      <c r="I304" s="9" t="b">
        <f t="shared" si="6"/>
        <v>0</v>
      </c>
      <c r="J304" s="1" t="s">
        <v>399</v>
      </c>
      <c r="K304" s="1" t="s">
        <v>1714</v>
      </c>
      <c r="L304" s="1" t="s">
        <v>1720</v>
      </c>
      <c r="M304" s="9">
        <v>2</v>
      </c>
      <c r="N304" s="35" t="s">
        <v>1544</v>
      </c>
      <c r="O304" s="24">
        <v>0</v>
      </c>
      <c r="P304" s="2" cm="1">
        <f t="array" ref="P304">_xlfn.XLOOKUP(TRIM(B304),TRIM('[1]wc-product-export-16-3-2026-177'!$A:$A),'[1]wc-product-export-16-3-2026-177'!$D:$D,0,0)</f>
        <v>0</v>
      </c>
      <c r="Q304" s="66" cm="1">
        <f t="array" ref="Q304">_xlfn.LET(_xlpm.items,TRIM(_xlfn.TEXTSPLIT($N304,",")),_xlpm.codes,TRIM($B$3:$B$650),_xlpm.qty,$O$3:$O$650,_xlpm.setMask,ISNUMBER(MATCH(_xlpm.codes,_xlpm.items,0)),_xlpm.knifeType,IF(ISNUMBER(SEARCH("fine",$H304)),"15",IF(ISNUMBER(SEARCH("serr",$H304)),"20","")),_xlpm.knifeStock,IFERROR(MIN(IF(_xlpm.setMask*(RIGHT(_xlpm.codes,2)=_xlpm.knifeType),_xlpm.qty)),0),_xlpm.otherStock,IFERROR(MIN(IF(_xlpm.setMask*(RIGHT(_xlpm.codes,2)&lt;&gt;_xlpm.knifeType),_xlpm.qty)),0),IF(_xlpm.knifeStock&gt;=8,MIN(ROUNDDOWN(_xlpm.knifeStock/8,0),_xlpm.otherStock),0)+P304)</f>
        <v>0</v>
      </c>
      <c r="T304" t="str" cm="1">
        <f t="array" ref="T304">IFERROR(IF(D304="SET",_xlfn.TEXTJOIN(", ",TRUE,_xlfn._xlws.FILTER(TRANSPOSE(TRIM(_xlfn.TEXTSPLIT(N304,","))),COUNTIFS(B$3:B$650,TRANSPOSE(TRIM(_xlfn.TEXTSPLIT(N304,","))),O$3:O$650,"&lt;="&amp;$T$1))),""),"")</f>
        <v>39815, 39835</v>
      </c>
    </row>
    <row r="305" spans="1:20" ht="24" x14ac:dyDescent="0.3">
      <c r="A305" s="1">
        <v>39887</v>
      </c>
      <c r="B305" s="55" t="s">
        <v>853</v>
      </c>
      <c r="C305" s="1" t="s">
        <v>1260</v>
      </c>
      <c r="D305" s="1" t="s">
        <v>628</v>
      </c>
      <c r="E305" s="1" t="s">
        <v>686</v>
      </c>
      <c r="F305" s="9" t="s">
        <v>1608</v>
      </c>
      <c r="G305" s="9"/>
      <c r="H305" s="16" t="s">
        <v>584</v>
      </c>
      <c r="I305" s="9" t="b">
        <f t="shared" si="6"/>
        <v>0</v>
      </c>
      <c r="J305" s="1" t="s">
        <v>399</v>
      </c>
      <c r="K305" s="1" t="s">
        <v>1714</v>
      </c>
      <c r="L305" s="1" t="s">
        <v>1719</v>
      </c>
      <c r="M305" s="9">
        <v>2</v>
      </c>
      <c r="N305" s="35" t="s">
        <v>1548</v>
      </c>
      <c r="O305" s="24">
        <v>0</v>
      </c>
      <c r="P305" s="2" cm="1">
        <f t="array" ref="P305">_xlfn.XLOOKUP(TRIM(B305),TRIM('[1]wc-product-export-16-3-2026-177'!$A:$A),'[1]wc-product-export-16-3-2026-177'!$D:$D,0,0)</f>
        <v>0</v>
      </c>
      <c r="Q305" s="66" cm="1">
        <f t="array" ref="Q305">_xlfn.LET(_xlpm.items,TRIM(_xlfn.TEXTSPLIT($N305,",")),_xlpm.codes,TRIM($B$3:$B$650),_xlpm.qty,$O$3:$O$650,_xlpm.setMask,ISNUMBER(MATCH(_xlpm.codes,_xlpm.items,0)),_xlpm.knifeType,IF(ISNUMBER(SEARCH("fine",$H305)),"15",IF(ISNUMBER(SEARCH("serr",$H305)),"20","")),_xlpm.knifeStock,IFERROR(MIN(IF(_xlpm.setMask*(RIGHT(_xlpm.codes,2)=_xlpm.knifeType),_xlpm.qty)),0),_xlpm.otherStock,IFERROR(MIN(IF(_xlpm.setMask*(RIGHT(_xlpm.codes,2)&lt;&gt;_xlpm.knifeType),_xlpm.qty)),0),IF(_xlpm.knifeStock&gt;=8,MIN(ROUNDDOWN(_xlpm.knifeStock/8,0),_xlpm.otherStock),0)+P305)</f>
        <v>0</v>
      </c>
      <c r="T305" t="str" cm="1">
        <f t="array" ref="T305">IFERROR(IF(D305="SET",_xlfn.TEXTJOIN(", ",TRUE,_xlfn._xlws.FILTER(TRANSPOSE(TRIM(_xlfn.TEXTSPLIT(N305,","))),COUNTIFS(B$3:B$650,TRANSPOSE(TRIM(_xlfn.TEXTSPLIT(N305,","))),O$3:O$650,"&lt;="&amp;$T$1))),""),"")</f>
        <v>39835, 39838</v>
      </c>
    </row>
    <row r="306" spans="1:20" ht="24" x14ac:dyDescent="0.3">
      <c r="A306" s="1">
        <v>39888</v>
      </c>
      <c r="B306" s="55" t="s">
        <v>854</v>
      </c>
      <c r="C306" s="1" t="s">
        <v>1260</v>
      </c>
      <c r="D306" s="1" t="s">
        <v>628</v>
      </c>
      <c r="E306" s="1" t="s">
        <v>686</v>
      </c>
      <c r="F306" s="9" t="s">
        <v>1608</v>
      </c>
      <c r="G306" s="9"/>
      <c r="H306" s="16" t="s">
        <v>558</v>
      </c>
      <c r="I306" s="9" t="b">
        <f t="shared" si="6"/>
        <v>0</v>
      </c>
      <c r="J306" s="1" t="s">
        <v>399</v>
      </c>
      <c r="K306" s="1" t="s">
        <v>1714</v>
      </c>
      <c r="L306" s="1" t="s">
        <v>1719</v>
      </c>
      <c r="M306" s="9">
        <v>2</v>
      </c>
      <c r="N306" s="35" t="s">
        <v>1706</v>
      </c>
      <c r="O306" s="24">
        <v>0</v>
      </c>
      <c r="P306" s="2" cm="1">
        <f t="array" ref="P306">_xlfn.XLOOKUP(TRIM(B306),TRIM('[1]wc-product-export-16-3-2026-177'!$A:$A),'[1]wc-product-export-16-3-2026-177'!$D:$D,0,0)</f>
        <v>0</v>
      </c>
      <c r="Q306" s="66" cm="1">
        <f t="array" ref="Q306">_xlfn.LET(_xlpm.items,TRIM(_xlfn.TEXTSPLIT($N306,",")),_xlpm.codes,TRIM($B$3:$B$650),_xlpm.qty,$O$3:$O$650,_xlpm.setMask,ISNUMBER(MATCH(_xlpm.codes,_xlpm.items,0)),_xlpm.knifeType,IF(ISNUMBER(SEARCH("fine",$H306)),"15",IF(ISNUMBER(SEARCH("serr",$H306)),"20","")),_xlpm.knifeStock,IFERROR(MIN(IF(_xlpm.setMask*(RIGHT(_xlpm.codes,2)=_xlpm.knifeType),_xlpm.qty)),0),_xlpm.otherStock,IFERROR(MIN(IF(_xlpm.setMask*(RIGHT(_xlpm.codes,2)&lt;&gt;_xlpm.knifeType),_xlpm.qty)),0),IF(_xlpm.knifeStock&gt;=8,MIN(ROUNDDOWN(_xlpm.knifeStock/8,0),_xlpm.otherStock),0)+P306)</f>
        <v>0</v>
      </c>
      <c r="T306" t="str" cm="1">
        <f t="array" ref="T306">IFERROR(IF(D306="SET",_xlfn.TEXTJOIN(", ",TRUE,_xlfn._xlws.FILTER(TRANSPOSE(TRIM(_xlfn.TEXTSPLIT(N306,","))),COUNTIFS(B$3:B$650,TRANSPOSE(TRIM(_xlfn.TEXTSPLIT(N306,","))),O$3:O$650,"&lt;="&amp;$T$1))),""),"")</f>
        <v>39835, 39838, 39815</v>
      </c>
    </row>
    <row r="307" spans="1:20" ht="14.4" x14ac:dyDescent="0.3">
      <c r="A307" s="1">
        <v>39889</v>
      </c>
      <c r="B307" s="55" t="s">
        <v>855</v>
      </c>
      <c r="C307" s="1" t="s">
        <v>1260</v>
      </c>
      <c r="D307" s="1" t="s">
        <v>628</v>
      </c>
      <c r="E307" s="1" t="s">
        <v>686</v>
      </c>
      <c r="F307" s="9"/>
      <c r="G307" s="9"/>
      <c r="H307" s="16" t="s">
        <v>250</v>
      </c>
      <c r="I307" s="9" t="b">
        <f t="shared" si="6"/>
        <v>0</v>
      </c>
      <c r="J307" s="1" t="s">
        <v>399</v>
      </c>
      <c r="K307" s="1" t="s">
        <v>1715</v>
      </c>
      <c r="L307" s="1" t="s">
        <v>1715</v>
      </c>
      <c r="M307" s="9"/>
      <c r="N307" s="35" t="s">
        <v>1599</v>
      </c>
      <c r="O307" s="24">
        <v>2</v>
      </c>
      <c r="P307" s="2" cm="1">
        <f t="array" ref="P307">_xlfn.XLOOKUP(TRIM(B307),TRIM('[1]wc-product-export-16-3-2026-177'!$A:$A),'[1]wc-product-export-16-3-2026-177'!$D:$D,0,0)</f>
        <v>0</v>
      </c>
      <c r="Q307" s="2" cm="1">
        <f t="array" ref="Q307">IF(TRIM($D307)="SET",IF($K307="Steak Set1",ROUNDDOWN(IFERROR(MIN(_xlfn._xlws.FILTER(O$3:O$650,ISNUMBER(MATCH(TRIM($B$3:$B$650),TRIM(_xlfn.TEXTSPLIT($N307,",")),0)))),0)/4,0)+P307,IF(IFERROR(MIN(_xlfn._xlws.FILTER(O$3:O$650,ISNUMBER(MATCH(TRIM($B$3:$B$650),TRIM(_xlfn.TEXTSPLIT($N307,",")),0)))),0)&gt;=$E$1,IFERROR(MIN(_xlfn._xlws.FILTER(O$3:O$650,ISNUMBER(MATCH(TRIM($B$3:$B$650),TRIM(_xlfn.TEXTSPLIT($N307,",")),0)))),0)+P307,P307)),IF(TRIM($D307)="EA",IF(TRIM($E307)="M",ROUNDUP(O307*0.85,0),IF(TRIM($E307)="P",O307,P307)),P307))</f>
        <v>0</v>
      </c>
      <c r="T307" t="str" cm="1">
        <f t="array" ref="T307">IFERROR(IF(D307="SET",_xlfn.TEXTJOIN(", ",TRUE,_xlfn._xlws.FILTER(TRANSPOSE(TRIM(_xlfn.TEXTSPLIT(N307,","))),COUNTIFS(B$3:B$650,TRANSPOSE(TRIM(_xlfn.TEXTSPLIT(N307,","))),O$3:O$650,"&lt;="&amp;$T$1))),""),"")</f>
        <v>39835</v>
      </c>
    </row>
    <row r="308" spans="1:20" ht="14.4" x14ac:dyDescent="0.3">
      <c r="A308" s="1">
        <v>39890</v>
      </c>
      <c r="B308" s="55" t="s">
        <v>856</v>
      </c>
      <c r="C308" s="1" t="s">
        <v>1260</v>
      </c>
      <c r="D308" s="1" t="s">
        <v>628</v>
      </c>
      <c r="E308" s="1" t="s">
        <v>686</v>
      </c>
      <c r="F308" s="9"/>
      <c r="G308" s="9"/>
      <c r="H308" s="16" t="s">
        <v>251</v>
      </c>
      <c r="I308" s="9" t="b">
        <f t="shared" si="6"/>
        <v>0</v>
      </c>
      <c r="J308" s="1" t="s">
        <v>399</v>
      </c>
      <c r="K308" s="1" t="s">
        <v>1716</v>
      </c>
      <c r="L308" s="1" t="s">
        <v>1716</v>
      </c>
      <c r="M308" s="9"/>
      <c r="N308" s="35" t="s">
        <v>1590</v>
      </c>
      <c r="O308" s="24">
        <v>2</v>
      </c>
      <c r="P308" s="2" cm="1">
        <f t="array" ref="P308">_xlfn.XLOOKUP(TRIM(B308),TRIM('[1]wc-product-export-16-3-2026-177'!$A:$A),'[1]wc-product-export-16-3-2026-177'!$D:$D,0,0)</f>
        <v>0</v>
      </c>
      <c r="Q308" s="2" cm="1">
        <f t="array" ref="Q308">IF(TRIM($D308)="SET",IF($K308="Steak Set1",ROUNDDOWN(IFERROR(MIN(_xlfn._xlws.FILTER(O$3:O$650,ISNUMBER(MATCH(TRIM($B$3:$B$650),TRIM(_xlfn.TEXTSPLIT($N308,",")),0)))),0)/4,0)+P308,IF(IFERROR(MIN(_xlfn._xlws.FILTER(O$3:O$650,ISNUMBER(MATCH(TRIM($B$3:$B$650),TRIM(_xlfn.TEXTSPLIT($N308,",")),0)))),0)&gt;=$E$1,IFERROR(MIN(_xlfn._xlws.FILTER(O$3:O$650,ISNUMBER(MATCH(TRIM($B$3:$B$650),TRIM(_xlfn.TEXTSPLIT($N308,",")),0)))),0)+P308,P308)),IF(TRIM($D308)="EA",IF(TRIM($E308)="M",ROUNDUP(O308*0.85,0),IF(TRIM($E308)="P",O308,P308)),P308))</f>
        <v>0</v>
      </c>
      <c r="T308" t="str" cm="1">
        <f t="array" ref="T308">IFERROR(IF(D308="SET",_xlfn.TEXTJOIN(", ",TRUE,_xlfn._xlws.FILTER(TRANSPOSE(TRIM(_xlfn.TEXTSPLIT(N308,","))),COUNTIFS(B$3:B$650,TRANSPOSE(TRIM(_xlfn.TEXTSPLIT(N308,","))),O$3:O$650,"&lt;="&amp;$T$1))),""),"")</f>
        <v>39835</v>
      </c>
    </row>
    <row r="309" spans="1:20" ht="14.4" x14ac:dyDescent="0.3">
      <c r="A309" s="1">
        <v>39892</v>
      </c>
      <c r="B309" s="55" t="s">
        <v>857</v>
      </c>
      <c r="C309" s="1" t="s">
        <v>1260</v>
      </c>
      <c r="D309" s="1" t="s">
        <v>628</v>
      </c>
      <c r="E309" s="1" t="s">
        <v>686</v>
      </c>
      <c r="F309" s="9"/>
      <c r="G309" s="9"/>
      <c r="H309" s="16" t="s">
        <v>56</v>
      </c>
      <c r="I309" s="9" t="b">
        <f t="shared" si="6"/>
        <v>0</v>
      </c>
      <c r="J309" s="1" t="s">
        <v>399</v>
      </c>
      <c r="K309" s="1" t="s">
        <v>1712</v>
      </c>
      <c r="L309" s="1" t="s">
        <v>1737</v>
      </c>
      <c r="M309" s="9"/>
      <c r="N309" s="35" t="s">
        <v>819</v>
      </c>
      <c r="O309" s="24">
        <v>12</v>
      </c>
      <c r="P309" s="2" cm="1">
        <f t="array" ref="P309">_xlfn.XLOOKUP(TRIM(B309),TRIM('[1]wc-product-export-16-3-2026-177'!$A:$A),'[1]wc-product-export-16-3-2026-177'!$D:$D,0,0)</f>
        <v>12</v>
      </c>
      <c r="Q309" s="2" cm="1">
        <f t="array" ref="Q309">IF(TRIM($D309)="SET",IF($K309="Steak Set1",ROUNDDOWN(IFERROR(MIN(_xlfn._xlws.FILTER(O$3:O$650,ISNUMBER(MATCH(TRIM($B$3:$B$650),TRIM(_xlfn.TEXTSPLIT($N309,",")),0)))),0)/4,0)+P309,IF(IFERROR(MIN(_xlfn._xlws.FILTER(O$3:O$650,ISNUMBER(MATCH(TRIM($B$3:$B$650),TRIM(_xlfn.TEXTSPLIT($N309,",")),0)))),0)&gt;=$E$1,IFERROR(MIN(_xlfn._xlws.FILTER(O$3:O$650,ISNUMBER(MATCH(TRIM($B$3:$B$650),TRIM(_xlfn.TEXTSPLIT($N309,",")),0)))),0)+P309,P309)),IF(TRIM($D309)="EA",IF(TRIM($E309)="M",ROUNDUP(O309*0.85,0),IF(TRIM($E309)="P",O309,P309)),P309))</f>
        <v>12</v>
      </c>
      <c r="T309" t="str" cm="1">
        <f t="array" ref="T309">IFERROR(IF(D309="SET",_xlfn.TEXTJOIN(", ",TRUE,_xlfn._xlws.FILTER(TRANSPOSE(TRIM(_xlfn.TEXTSPLIT(N309,","))),COUNTIFS(B$3:B$650,TRANSPOSE(TRIM(_xlfn.TEXTSPLIT(N309,","))),O$3:O$650,"&lt;="&amp;$T$1))),""),"")</f>
        <v>39815</v>
      </c>
    </row>
    <row r="310" spans="1:20" ht="24" x14ac:dyDescent="0.3">
      <c r="A310" s="1">
        <v>39895</v>
      </c>
      <c r="B310" s="55" t="s">
        <v>858</v>
      </c>
      <c r="C310" s="1" t="s">
        <v>1260</v>
      </c>
      <c r="D310" s="1" t="s">
        <v>628</v>
      </c>
      <c r="E310" s="1" t="s">
        <v>686</v>
      </c>
      <c r="F310" s="9" t="s">
        <v>1608</v>
      </c>
      <c r="G310" s="9"/>
      <c r="H310" s="16" t="s">
        <v>585</v>
      </c>
      <c r="I310" s="9" t="b">
        <f t="shared" si="6"/>
        <v>0</v>
      </c>
      <c r="J310" s="1" t="s">
        <v>399</v>
      </c>
      <c r="K310" s="1" t="s">
        <v>1714</v>
      </c>
      <c r="L310" s="1" t="s">
        <v>1720</v>
      </c>
      <c r="M310" s="9">
        <v>2</v>
      </c>
      <c r="N310" s="35" t="s">
        <v>1572</v>
      </c>
      <c r="O310" s="24">
        <v>4</v>
      </c>
      <c r="P310" s="2" cm="1">
        <f t="array" ref="P310">_xlfn.XLOOKUP(TRIM(B310),TRIM('[1]wc-product-export-16-3-2026-177'!$A:$A),'[1]wc-product-export-16-3-2026-177'!$D:$D,0,0)</f>
        <v>2</v>
      </c>
      <c r="Q310" s="66" cm="1">
        <f t="array" ref="Q310">_xlfn.LET(_xlpm.items,TRIM(_xlfn.TEXTSPLIT($N310,",")),_xlpm.codes,TRIM($B$3:$B$650),_xlpm.qty,$O$3:$O$650,_xlpm.setMask,ISNUMBER(MATCH(_xlpm.codes,_xlpm.items,0)),_xlpm.knifeType,IF(ISNUMBER(SEARCH("fine",$H310)),"15",IF(ISNUMBER(SEARCH("serr",$H310)),"20","")),_xlpm.knifeStock,IFERROR(MIN(IF(_xlpm.setMask*(RIGHT(_xlpm.codes,2)=_xlpm.knifeType),_xlpm.qty)),0),_xlpm.otherStock,IFERROR(MIN(IF(_xlpm.setMask*(RIGHT(_xlpm.codes,2)&lt;&gt;_xlpm.knifeType),_xlpm.qty)),0),IF(_xlpm.knifeStock&gt;=8,MIN(ROUNDDOWN(_xlpm.knifeStock/8,0),_xlpm.otherStock),0)+P310)</f>
        <v>2</v>
      </c>
      <c r="T310" t="str" cm="1">
        <f t="array" ref="T310">IFERROR(IF(D310="SET",_xlfn.TEXTJOIN(", ",TRUE,_xlfn._xlws.FILTER(TRANSPOSE(TRIM(_xlfn.TEXTSPLIT(N310,","))),COUNTIFS(B$3:B$650,TRANSPOSE(TRIM(_xlfn.TEXTSPLIT(N310,","))),O$3:O$650,"&lt;="&amp;$T$1))),""),"")</f>
        <v>39835</v>
      </c>
    </row>
    <row r="311" spans="1:20" ht="24" x14ac:dyDescent="0.3">
      <c r="A311" s="1">
        <v>39896</v>
      </c>
      <c r="B311" s="55" t="s">
        <v>859</v>
      </c>
      <c r="C311" s="1" t="s">
        <v>1260</v>
      </c>
      <c r="D311" s="1" t="s">
        <v>628</v>
      </c>
      <c r="E311" s="1" t="s">
        <v>686</v>
      </c>
      <c r="F311" s="9"/>
      <c r="G311" s="9"/>
      <c r="H311" s="16" t="s">
        <v>252</v>
      </c>
      <c r="I311" s="9" t="b">
        <f t="shared" si="6"/>
        <v>0</v>
      </c>
      <c r="J311" s="1" t="s">
        <v>399</v>
      </c>
      <c r="K311" s="1" t="s">
        <v>1714</v>
      </c>
      <c r="L311" s="1" t="s">
        <v>1720</v>
      </c>
      <c r="M311" s="9">
        <v>2</v>
      </c>
      <c r="N311" s="35" t="s">
        <v>1544</v>
      </c>
      <c r="O311" s="24">
        <v>0</v>
      </c>
      <c r="P311" s="2" cm="1">
        <f t="array" ref="P311">_xlfn.XLOOKUP(TRIM(B311),TRIM('[1]wc-product-export-16-3-2026-177'!$A:$A),'[1]wc-product-export-16-3-2026-177'!$D:$D,0,0)</f>
        <v>0</v>
      </c>
      <c r="Q311" s="66" cm="1">
        <f t="array" ref="Q311">_xlfn.LET(_xlpm.items,TRIM(_xlfn.TEXTSPLIT($N311,",")),_xlpm.codes,TRIM($B$3:$B$650),_xlpm.qty,$O$3:$O$650,_xlpm.setMask,ISNUMBER(MATCH(_xlpm.codes,_xlpm.items,0)),_xlpm.knifeType,IF(ISNUMBER(SEARCH("fine",$H311)),"15",IF(ISNUMBER(SEARCH("serr",$H311)),"20","")),_xlpm.knifeStock,IFERROR(MIN(IF(_xlpm.setMask*(RIGHT(_xlpm.codes,2)=_xlpm.knifeType),_xlpm.qty)),0),_xlpm.otherStock,IFERROR(MIN(IF(_xlpm.setMask*(RIGHT(_xlpm.codes,2)&lt;&gt;_xlpm.knifeType),_xlpm.qty)),0),IF(_xlpm.knifeStock&gt;=8,MIN(ROUNDDOWN(_xlpm.knifeStock/8,0),_xlpm.otherStock),0)+P311)</f>
        <v>0</v>
      </c>
      <c r="T311" t="str" cm="1">
        <f t="array" ref="T311">IFERROR(IF(D311="SET",_xlfn.TEXTJOIN(", ",TRUE,_xlfn._xlws.FILTER(TRANSPOSE(TRIM(_xlfn.TEXTSPLIT(N311,","))),COUNTIFS(B$3:B$650,TRANSPOSE(TRIM(_xlfn.TEXTSPLIT(N311,","))),O$3:O$650,"&lt;="&amp;$T$1))),""),"")</f>
        <v>39815, 39835</v>
      </c>
    </row>
    <row r="312" spans="1:20" ht="24" x14ac:dyDescent="0.3">
      <c r="A312" s="1">
        <v>39897</v>
      </c>
      <c r="B312" s="55" t="s">
        <v>860</v>
      </c>
      <c r="C312" s="1" t="s">
        <v>1260</v>
      </c>
      <c r="D312" s="1" t="s">
        <v>628</v>
      </c>
      <c r="E312" s="1" t="s">
        <v>686</v>
      </c>
      <c r="F312" s="9"/>
      <c r="G312" s="9"/>
      <c r="H312" s="16" t="s">
        <v>586</v>
      </c>
      <c r="I312" s="9" t="b">
        <f t="shared" si="6"/>
        <v>0</v>
      </c>
      <c r="J312" s="1" t="s">
        <v>399</v>
      </c>
      <c r="K312" s="1" t="s">
        <v>1714</v>
      </c>
      <c r="L312" s="1" t="s">
        <v>1719</v>
      </c>
      <c r="M312" s="9">
        <v>2</v>
      </c>
      <c r="N312" s="35" t="s">
        <v>1548</v>
      </c>
      <c r="O312" s="24">
        <v>0</v>
      </c>
      <c r="P312" s="2" cm="1">
        <f t="array" ref="P312">_xlfn.XLOOKUP(TRIM(B312),TRIM('[1]wc-product-export-16-3-2026-177'!$A:$A),'[1]wc-product-export-16-3-2026-177'!$D:$D,0,0)</f>
        <v>0</v>
      </c>
      <c r="Q312" s="66" cm="1">
        <f t="array" ref="Q312">_xlfn.LET(_xlpm.items,TRIM(_xlfn.TEXTSPLIT($N312,",")),_xlpm.codes,TRIM($B$3:$B$650),_xlpm.qty,$O$3:$O$650,_xlpm.setMask,ISNUMBER(MATCH(_xlpm.codes,_xlpm.items,0)),_xlpm.knifeType,IF(ISNUMBER(SEARCH("fine",$H312)),"15",IF(ISNUMBER(SEARCH("serr",$H312)),"20","")),_xlpm.knifeStock,IFERROR(MIN(IF(_xlpm.setMask*(RIGHT(_xlpm.codes,2)=_xlpm.knifeType),_xlpm.qty)),0),_xlpm.otherStock,IFERROR(MIN(IF(_xlpm.setMask*(RIGHT(_xlpm.codes,2)&lt;&gt;_xlpm.knifeType),_xlpm.qty)),0),IF(_xlpm.knifeStock&gt;=8,MIN(ROUNDDOWN(_xlpm.knifeStock/8,0),_xlpm.otherStock),0)+P312)</f>
        <v>0</v>
      </c>
      <c r="T312" t="str" cm="1">
        <f t="array" ref="T312">IFERROR(IF(D312="SET",_xlfn.TEXTJOIN(", ",TRUE,_xlfn._xlws.FILTER(TRANSPOSE(TRIM(_xlfn.TEXTSPLIT(N312,","))),COUNTIFS(B$3:B$650,TRANSPOSE(TRIM(_xlfn.TEXTSPLIT(N312,","))),O$3:O$650,"&lt;="&amp;$T$1))),""),"")</f>
        <v>39835, 39838</v>
      </c>
    </row>
    <row r="313" spans="1:20" ht="24" x14ac:dyDescent="0.3">
      <c r="A313" s="1">
        <v>39898</v>
      </c>
      <c r="B313" s="55" t="s">
        <v>861</v>
      </c>
      <c r="C313" s="1" t="s">
        <v>1260</v>
      </c>
      <c r="D313" s="1" t="s">
        <v>628</v>
      </c>
      <c r="E313" s="1" t="s">
        <v>686</v>
      </c>
      <c r="F313" s="9"/>
      <c r="G313" s="9"/>
      <c r="H313" s="16" t="s">
        <v>253</v>
      </c>
      <c r="I313" s="9" t="b">
        <f t="shared" si="6"/>
        <v>0</v>
      </c>
      <c r="J313" s="1" t="s">
        <v>399</v>
      </c>
      <c r="K313" s="1" t="s">
        <v>1714</v>
      </c>
      <c r="L313" s="1" t="s">
        <v>1719</v>
      </c>
      <c r="M313" s="9">
        <v>2</v>
      </c>
      <c r="N313" s="35" t="s">
        <v>1706</v>
      </c>
      <c r="O313" s="24">
        <v>0</v>
      </c>
      <c r="P313" s="2" cm="1">
        <f t="array" ref="P313">_xlfn.XLOOKUP(TRIM(B313),TRIM('[1]wc-product-export-16-3-2026-177'!$A:$A),'[1]wc-product-export-16-3-2026-177'!$D:$D,0,0)</f>
        <v>0</v>
      </c>
      <c r="Q313" s="66" cm="1">
        <f t="array" ref="Q313">_xlfn.LET(_xlpm.items,TRIM(_xlfn.TEXTSPLIT($N313,",")),_xlpm.codes,TRIM($B$3:$B$650),_xlpm.qty,$O$3:$O$650,_xlpm.setMask,ISNUMBER(MATCH(_xlpm.codes,_xlpm.items,0)),_xlpm.knifeType,IF(ISNUMBER(SEARCH("fine",$H313)),"15",IF(ISNUMBER(SEARCH("serr",$H313)),"20","")),_xlpm.knifeStock,IFERROR(MIN(IF(_xlpm.setMask*(RIGHT(_xlpm.codes,2)=_xlpm.knifeType),_xlpm.qty)),0),_xlpm.otherStock,IFERROR(MIN(IF(_xlpm.setMask*(RIGHT(_xlpm.codes,2)&lt;&gt;_xlpm.knifeType),_xlpm.qty)),0),IF(_xlpm.knifeStock&gt;=8,MIN(ROUNDDOWN(_xlpm.knifeStock/8,0),_xlpm.otherStock),0)+P313)</f>
        <v>0</v>
      </c>
      <c r="T313" t="str" cm="1">
        <f t="array" ref="T313">IFERROR(IF(D313="SET",_xlfn.TEXTJOIN(", ",TRUE,_xlfn._xlws.FILTER(TRANSPOSE(TRIM(_xlfn.TEXTSPLIT(N313,","))),COUNTIFS(B$3:B$650,TRANSPOSE(TRIM(_xlfn.TEXTSPLIT(N313,","))),O$3:O$650,"&lt;="&amp;$T$1))),""),"")</f>
        <v>39835, 39838, 39815</v>
      </c>
    </row>
    <row r="314" spans="1:20" ht="14.4" hidden="1" x14ac:dyDescent="0.3">
      <c r="A314" s="1" t="s">
        <v>1436</v>
      </c>
      <c r="B314" s="1" t="s">
        <v>1436</v>
      </c>
      <c r="C314" s="1" t="s">
        <v>1259</v>
      </c>
      <c r="D314" s="14" t="s">
        <v>624</v>
      </c>
      <c r="E314" s="2" t="s">
        <v>686</v>
      </c>
      <c r="F314" s="9"/>
      <c r="H314" s="53" t="s">
        <v>1487</v>
      </c>
      <c r="I314" s="9" t="b">
        <f t="shared" si="6"/>
        <v>0</v>
      </c>
      <c r="J314" s="1" t="s">
        <v>1529</v>
      </c>
      <c r="K314" s="1" t="s">
        <v>1529</v>
      </c>
      <c r="L314" s="1" t="s">
        <v>1529</v>
      </c>
      <c r="N314" s="35"/>
      <c r="O314" s="2" t="s">
        <v>458</v>
      </c>
      <c r="P314" s="2" cm="1">
        <f t="array" ref="P314">_xlfn.XLOOKUP(TRIM(B314),TRIM('[1]wc-product-export-16-3-2026-177'!$A:$A),'[1]wc-product-export-16-3-2026-177'!$D:$D,0,0)</f>
        <v>0</v>
      </c>
      <c r="Q314" s="2" t="e" cm="1">
        <f t="array" ref="Q314">IF(TRIM($D314)="SET",IF($K314="Steak Set1",ROUNDDOWN(IFERROR(MIN(_xlfn._xlws.FILTER(O$3:O$650,ISNUMBER(MATCH(TRIM($B$3:$B$650),TRIM(_xlfn.TEXTSPLIT($N314,",")),0)))),0)/4,0)+P314,IF(IFERROR(MIN(_xlfn._xlws.FILTER(O$3:O$650,ISNUMBER(MATCH(TRIM($B$3:$B$650),TRIM(_xlfn.TEXTSPLIT($N314,",")),0)))),0)&gt;=$E$1,IFERROR(MIN(_xlfn._xlws.FILTER(O$3:O$650,ISNUMBER(MATCH(TRIM($B$3:$B$650),TRIM(_xlfn.TEXTSPLIT($N314,",")),0)))),0)+P314,P314)),IF(TRIM($D314)="EA",IF(TRIM($E314)="M",ROUNDUP(O314*0.85,0),IF(TRIM($E314)="P",O314,P314)),P314))</f>
        <v>#VALUE!</v>
      </c>
      <c r="T314" t="str" cm="1">
        <f t="array" ref="T314">IFERROR(IF(D314="SET",_xlfn.TEXTJOIN(", ",TRUE,_xlfn._xlws.FILTER(TRANSPOSE(TRIM(_xlfn.TEXTSPLIT(N314,","))),COUNTIFS(B$3:B$650,TRANSPOSE(TRIM(_xlfn.TEXTSPLIT(N314,","))),O$3:O$650,"&lt;="&amp;$T$1))),""),"")</f>
        <v/>
      </c>
    </row>
    <row r="315" spans="1:20" ht="14.4" hidden="1" x14ac:dyDescent="0.3">
      <c r="A315" s="1" t="s">
        <v>1475</v>
      </c>
      <c r="B315" s="1" t="s">
        <v>1475</v>
      </c>
      <c r="C315" s="1" t="s">
        <v>1259</v>
      </c>
      <c r="D315" s="14" t="s">
        <v>624</v>
      </c>
      <c r="E315" s="2" t="s">
        <v>686</v>
      </c>
      <c r="F315" s="9" t="s">
        <v>1608</v>
      </c>
      <c r="H315" s="16" t="s">
        <v>1526</v>
      </c>
      <c r="I315" s="9" t="b">
        <f t="shared" si="6"/>
        <v>0</v>
      </c>
      <c r="J315" s="1" t="s">
        <v>1529</v>
      </c>
      <c r="K315" s="1" t="s">
        <v>1529</v>
      </c>
      <c r="L315" s="1" t="s">
        <v>1529</v>
      </c>
      <c r="N315" s="35"/>
      <c r="O315" s="2" t="s">
        <v>458</v>
      </c>
      <c r="P315" s="2" cm="1">
        <f t="array" ref="P315">_xlfn.XLOOKUP(TRIM(B315),TRIM('[1]wc-product-export-16-3-2026-177'!$A:$A),'[1]wc-product-export-16-3-2026-177'!$D:$D,0,0)</f>
        <v>0</v>
      </c>
      <c r="Q315" s="2" t="e" cm="1">
        <f t="array" ref="Q315">IF(TRIM($D315)="SET",IF($K315="Steak Set1",ROUNDDOWN(IFERROR(MIN(_xlfn._xlws.FILTER(O$3:O$650,ISNUMBER(MATCH(TRIM($B$3:$B$650),TRIM(_xlfn.TEXTSPLIT($N315,",")),0)))),0)/4,0)+P315,IF(IFERROR(MIN(_xlfn._xlws.FILTER(O$3:O$650,ISNUMBER(MATCH(TRIM($B$3:$B$650),TRIM(_xlfn.TEXTSPLIT($N315,",")),0)))),0)&gt;=$E$1,IFERROR(MIN(_xlfn._xlws.FILTER(O$3:O$650,ISNUMBER(MATCH(TRIM($B$3:$B$650),TRIM(_xlfn.TEXTSPLIT($N315,",")),0)))),0)+P315,P315)),IF(TRIM($D315)="EA",IF(TRIM($E315)="M",ROUNDUP(O315*0.85,0),IF(TRIM($E315)="P",O315,P315)),P315))</f>
        <v>#VALUE!</v>
      </c>
      <c r="T315" t="str" cm="1">
        <f t="array" ref="T315">IFERROR(IF(D315="SET",_xlfn.TEXTJOIN(", ",TRUE,_xlfn._xlws.FILTER(TRANSPOSE(TRIM(_xlfn.TEXTSPLIT(N315,","))),COUNTIFS(B$3:B$650,TRANSPOSE(TRIM(_xlfn.TEXTSPLIT(N315,","))),O$3:O$650,"&lt;="&amp;$T$1))),""),"")</f>
        <v/>
      </c>
    </row>
    <row r="316" spans="1:20" ht="14.4" hidden="1" x14ac:dyDescent="0.3">
      <c r="A316" s="1" t="s">
        <v>1445</v>
      </c>
      <c r="B316" s="1" t="s">
        <v>1445</v>
      </c>
      <c r="C316" s="1" t="s">
        <v>1259</v>
      </c>
      <c r="D316" s="14" t="s">
        <v>624</v>
      </c>
      <c r="E316" s="2" t="s">
        <v>686</v>
      </c>
      <c r="F316" s="9" t="s">
        <v>1608</v>
      </c>
      <c r="H316" s="16" t="s">
        <v>1496</v>
      </c>
      <c r="I316" s="9" t="b">
        <f t="shared" si="6"/>
        <v>0</v>
      </c>
      <c r="J316" s="1" t="s">
        <v>1529</v>
      </c>
      <c r="K316" s="1" t="s">
        <v>1529</v>
      </c>
      <c r="L316" s="1" t="s">
        <v>1529</v>
      </c>
      <c r="N316" s="35"/>
      <c r="O316" s="2" t="s">
        <v>458</v>
      </c>
      <c r="P316" s="2" cm="1">
        <f t="array" ref="P316">_xlfn.XLOOKUP(TRIM(B316),TRIM('[1]wc-product-export-16-3-2026-177'!$A:$A),'[1]wc-product-export-16-3-2026-177'!$D:$D,0,0)</f>
        <v>0</v>
      </c>
      <c r="Q316" s="2" t="e" cm="1">
        <f t="array" ref="Q316">IF(TRIM($D316)="SET",IF($K316="Steak Set1",ROUNDDOWN(IFERROR(MIN(_xlfn._xlws.FILTER(O$3:O$650,ISNUMBER(MATCH(TRIM($B$3:$B$650),TRIM(_xlfn.TEXTSPLIT($N316,",")),0)))),0)/4,0)+P316,IF(IFERROR(MIN(_xlfn._xlws.FILTER(O$3:O$650,ISNUMBER(MATCH(TRIM($B$3:$B$650),TRIM(_xlfn.TEXTSPLIT($N316,",")),0)))),0)&gt;=$E$1,IFERROR(MIN(_xlfn._xlws.FILTER(O$3:O$650,ISNUMBER(MATCH(TRIM($B$3:$B$650),TRIM(_xlfn.TEXTSPLIT($N316,",")),0)))),0)+P316,P316)),IF(TRIM($D316)="EA",IF(TRIM($E316)="M",ROUNDUP(O316*0.85,0),IF(TRIM($E316)="P",O316,P316)),P316))</f>
        <v>#VALUE!</v>
      </c>
      <c r="T316" t="str" cm="1">
        <f t="array" ref="T316">IFERROR(IF(D316="SET",_xlfn.TEXTJOIN(", ",TRUE,_xlfn._xlws.FILTER(TRANSPOSE(TRIM(_xlfn.TEXTSPLIT(N316,","))),COUNTIFS(B$3:B$650,TRANSPOSE(TRIM(_xlfn.TEXTSPLIT(N316,","))),O$3:O$650,"&lt;="&amp;$T$1))),""),"")</f>
        <v/>
      </c>
    </row>
    <row r="317" spans="1:20" ht="14.4" hidden="1" x14ac:dyDescent="0.3">
      <c r="A317" s="1" t="s">
        <v>1463</v>
      </c>
      <c r="B317" s="1" t="s">
        <v>1463</v>
      </c>
      <c r="C317" s="1" t="s">
        <v>1259</v>
      </c>
      <c r="D317" s="14" t="s">
        <v>624</v>
      </c>
      <c r="E317" s="2" t="s">
        <v>686</v>
      </c>
      <c r="F317" s="9" t="s">
        <v>1608</v>
      </c>
      <c r="H317" s="16" t="s">
        <v>1514</v>
      </c>
      <c r="I317" s="9" t="b">
        <f t="shared" si="6"/>
        <v>0</v>
      </c>
      <c r="J317" s="1" t="s">
        <v>1529</v>
      </c>
      <c r="K317" s="1" t="s">
        <v>1529</v>
      </c>
      <c r="L317" s="1" t="s">
        <v>1529</v>
      </c>
      <c r="N317" s="35"/>
      <c r="O317" s="2" t="s">
        <v>458</v>
      </c>
      <c r="P317" s="2" cm="1">
        <f t="array" ref="P317">_xlfn.XLOOKUP(TRIM(B317),TRIM('[1]wc-product-export-16-3-2026-177'!$A:$A),'[1]wc-product-export-16-3-2026-177'!$D:$D,0,0)</f>
        <v>0</v>
      </c>
      <c r="Q317" s="2" t="e" cm="1">
        <f t="array" ref="Q317">IF(TRIM($D317)="SET",IF($K317="Steak Set1",ROUNDDOWN(IFERROR(MIN(_xlfn._xlws.FILTER(O$3:O$650,ISNUMBER(MATCH(TRIM($B$3:$B$650),TRIM(_xlfn.TEXTSPLIT($N317,",")),0)))),0)/4,0)+P317,IF(IFERROR(MIN(_xlfn._xlws.FILTER(O$3:O$650,ISNUMBER(MATCH(TRIM($B$3:$B$650),TRIM(_xlfn.TEXTSPLIT($N317,",")),0)))),0)&gt;=$E$1,IFERROR(MIN(_xlfn._xlws.FILTER(O$3:O$650,ISNUMBER(MATCH(TRIM($B$3:$B$650),TRIM(_xlfn.TEXTSPLIT($N317,",")),0)))),0)+P317,P317)),IF(TRIM($D317)="EA",IF(TRIM($E317)="M",ROUNDUP(O317*0.85,0),IF(TRIM($E317)="P",O317,P317)),P317))</f>
        <v>#VALUE!</v>
      </c>
      <c r="T317" t="str" cm="1">
        <f t="array" ref="T317">IFERROR(IF(D317="SET",_xlfn.TEXTJOIN(", ",TRUE,_xlfn._xlws.FILTER(TRANSPOSE(TRIM(_xlfn.TEXTSPLIT(N317,","))),COUNTIFS(B$3:B$650,TRANSPOSE(TRIM(_xlfn.TEXTSPLIT(N317,","))),O$3:O$650,"&lt;="&amp;$T$1))),""),"")</f>
        <v/>
      </c>
    </row>
    <row r="318" spans="1:20" ht="14.4" x14ac:dyDescent="0.3">
      <c r="A318" s="1">
        <v>39758</v>
      </c>
      <c r="B318" s="1" t="s">
        <v>808</v>
      </c>
      <c r="C318" s="1" t="s">
        <v>1259</v>
      </c>
      <c r="D318" s="1" t="s">
        <v>624</v>
      </c>
      <c r="E318" s="1" t="s">
        <v>623</v>
      </c>
      <c r="F318" s="9"/>
      <c r="G318" s="9"/>
      <c r="H318" s="16" t="s">
        <v>259</v>
      </c>
      <c r="I318" s="9" t="b">
        <f t="shared" si="6"/>
        <v>0</v>
      </c>
      <c r="J318" s="1" t="s">
        <v>405</v>
      </c>
      <c r="K318" s="1" t="s">
        <v>10</v>
      </c>
      <c r="L318" s="1" t="s">
        <v>10</v>
      </c>
      <c r="M318" s="9"/>
      <c r="N318" s="35"/>
      <c r="O318" s="2">
        <v>252</v>
      </c>
      <c r="P318" s="2" cm="1">
        <f t="array" ref="P318">_xlfn.XLOOKUP(TRIM(B318),TRIM('[1]wc-product-export-16-3-2026-177'!$A:$A),'[1]wc-product-export-16-3-2026-177'!$D:$D,0,0)</f>
        <v>0</v>
      </c>
      <c r="Q318" s="2" cm="1">
        <f t="array" ref="Q318">IF(TRIM($D318)="SET",IF($K318="Steak Set1",ROUNDDOWN(IFERROR(MIN(_xlfn._xlws.FILTER(O$3:O$650,ISNUMBER(MATCH(TRIM($B$3:$B$650),TRIM(_xlfn.TEXTSPLIT($N318,",")),0)))),0)/4,0)+P318,IF(IFERROR(MIN(_xlfn._xlws.FILTER(O$3:O$650,ISNUMBER(MATCH(TRIM($B$3:$B$650),TRIM(_xlfn.TEXTSPLIT($N318,",")),0)))),0)&gt;=$E$1,IFERROR(MIN(_xlfn._xlws.FILTER(O$3:O$650,ISNUMBER(MATCH(TRIM($B$3:$B$650),TRIM(_xlfn.TEXTSPLIT($N318,",")),0)))),0)+P318,P318)),IF(TRIM($D318)="EA",IF(TRIM($E318)="M",ROUNDUP(O318*0.85,0),IF(TRIM($E318)="P",O318,P318)),P318))</f>
        <v>252</v>
      </c>
      <c r="T318" t="str" cm="1">
        <f t="array" ref="T318">IFERROR(IF(D318="SET",_xlfn.TEXTJOIN(", ",TRUE,_xlfn._xlws.FILTER(TRANSPOSE(TRIM(_xlfn.TEXTSPLIT(N318,","))),COUNTIFS(B$3:B$650,TRANSPOSE(TRIM(_xlfn.TEXTSPLIT(N318,","))),O$3:O$650,"&lt;="&amp;$T$1))),""),"")</f>
        <v/>
      </c>
    </row>
    <row r="319" spans="1:20" ht="14.4" hidden="1" x14ac:dyDescent="0.3">
      <c r="A319" s="1" t="s">
        <v>1464</v>
      </c>
      <c r="B319" s="1" t="s">
        <v>1464</v>
      </c>
      <c r="C319" s="1" t="s">
        <v>1259</v>
      </c>
      <c r="D319" s="14" t="s">
        <v>624</v>
      </c>
      <c r="E319" s="2" t="s">
        <v>686</v>
      </c>
      <c r="F319" s="9" t="s">
        <v>1608</v>
      </c>
      <c r="H319" s="16" t="s">
        <v>1515</v>
      </c>
      <c r="I319" s="9" t="b">
        <f t="shared" si="6"/>
        <v>0</v>
      </c>
      <c r="J319" s="1" t="s">
        <v>1529</v>
      </c>
      <c r="K319" s="1" t="s">
        <v>1529</v>
      </c>
      <c r="L319" s="1" t="s">
        <v>1529</v>
      </c>
      <c r="N319" s="35"/>
      <c r="O319" s="2" t="s">
        <v>458</v>
      </c>
      <c r="P319" s="2" cm="1">
        <f t="array" ref="P319">_xlfn.XLOOKUP(TRIM(B319),TRIM('[1]wc-product-export-16-3-2026-177'!$A:$A),'[1]wc-product-export-16-3-2026-177'!$D:$D,0,0)</f>
        <v>0</v>
      </c>
      <c r="Q319" s="2" t="e" cm="1">
        <f t="array" ref="Q319">IF(TRIM($D319)="SET",IF($K319="Steak Set1",ROUNDDOWN(IFERROR(MIN(_xlfn._xlws.FILTER(O$3:O$650,ISNUMBER(MATCH(TRIM($B$3:$B$650),TRIM(_xlfn.TEXTSPLIT($N319,",")),0)))),0)/4,0)+P319,IF(IFERROR(MIN(_xlfn._xlws.FILTER(O$3:O$650,ISNUMBER(MATCH(TRIM($B$3:$B$650),TRIM(_xlfn.TEXTSPLIT($N319,",")),0)))),0)&gt;=$E$1,IFERROR(MIN(_xlfn._xlws.FILTER(O$3:O$650,ISNUMBER(MATCH(TRIM($B$3:$B$650),TRIM(_xlfn.TEXTSPLIT($N319,",")),0)))),0)+P319,P319)),IF(TRIM($D319)="EA",IF(TRIM($E319)="M",ROUNDUP(O319*0.85,0),IF(TRIM($E319)="P",O319,P319)),P319))</f>
        <v>#VALUE!</v>
      </c>
      <c r="T319" t="str" cm="1">
        <f t="array" ref="T319">IFERROR(IF(D319="SET",_xlfn.TEXTJOIN(", ",TRUE,_xlfn._xlws.FILTER(TRANSPOSE(TRIM(_xlfn.TEXTSPLIT(N319,","))),COUNTIFS(B$3:B$650,TRANSPOSE(TRIM(_xlfn.TEXTSPLIT(N319,","))),O$3:O$650,"&lt;="&amp;$T$1))),""),"")</f>
        <v/>
      </c>
    </row>
    <row r="320" spans="1:20" ht="14.4" hidden="1" x14ac:dyDescent="0.3">
      <c r="A320" s="1" t="s">
        <v>1433</v>
      </c>
      <c r="B320" s="1" t="s">
        <v>1433</v>
      </c>
      <c r="C320" s="1" t="s">
        <v>1259</v>
      </c>
      <c r="D320" s="14" t="s">
        <v>624</v>
      </c>
      <c r="E320" s="2" t="s">
        <v>686</v>
      </c>
      <c r="F320" s="9"/>
      <c r="H320" s="16" t="s">
        <v>1484</v>
      </c>
      <c r="I320" s="9" t="b">
        <f t="shared" si="6"/>
        <v>0</v>
      </c>
      <c r="J320" s="1" t="s">
        <v>1529</v>
      </c>
      <c r="K320" s="1" t="s">
        <v>1529</v>
      </c>
      <c r="L320" s="1" t="s">
        <v>1529</v>
      </c>
      <c r="N320" s="35"/>
      <c r="O320" s="2" t="s">
        <v>458</v>
      </c>
      <c r="P320" s="2" cm="1">
        <f t="array" ref="P320">_xlfn.XLOOKUP(TRIM(B320),TRIM('[1]wc-product-export-16-3-2026-177'!$A:$A),'[1]wc-product-export-16-3-2026-177'!$D:$D,0,0)</f>
        <v>0</v>
      </c>
      <c r="Q320" s="2" t="e" cm="1">
        <f t="array" ref="Q320">IF(TRIM($D320)="SET",IF($K320="Steak Set1",ROUNDDOWN(IFERROR(MIN(_xlfn._xlws.FILTER(O$3:O$650,ISNUMBER(MATCH(TRIM($B$3:$B$650),TRIM(_xlfn.TEXTSPLIT($N320,",")),0)))),0)/4,0)+P320,IF(IFERROR(MIN(_xlfn._xlws.FILTER(O$3:O$650,ISNUMBER(MATCH(TRIM($B$3:$B$650),TRIM(_xlfn.TEXTSPLIT($N320,",")),0)))),0)&gt;=$E$1,IFERROR(MIN(_xlfn._xlws.FILTER(O$3:O$650,ISNUMBER(MATCH(TRIM($B$3:$B$650),TRIM(_xlfn.TEXTSPLIT($N320,",")),0)))),0)+P320,P320)),IF(TRIM($D320)="EA",IF(TRIM($E320)="M",ROUNDUP(O320*0.85,0),IF(TRIM($E320)="P",O320,P320)),P320))</f>
        <v>#VALUE!</v>
      </c>
      <c r="T320" t="str" cm="1">
        <f t="array" ref="T320">IFERROR(IF(D320="SET",_xlfn.TEXTJOIN(", ",TRUE,_xlfn._xlws.FILTER(TRANSPOSE(TRIM(_xlfn.TEXTSPLIT(N320,","))),COUNTIFS(B$3:B$650,TRANSPOSE(TRIM(_xlfn.TEXTSPLIT(N320,","))),O$3:O$650,"&lt;="&amp;$T$1))),""),"")</f>
        <v/>
      </c>
    </row>
    <row r="321" spans="1:20" ht="14.4" hidden="1" x14ac:dyDescent="0.3">
      <c r="A321" s="1" t="s">
        <v>1450</v>
      </c>
      <c r="B321" s="1" t="s">
        <v>1450</v>
      </c>
      <c r="C321" s="1" t="s">
        <v>1259</v>
      </c>
      <c r="D321" s="14" t="s">
        <v>624</v>
      </c>
      <c r="E321" s="2" t="s">
        <v>686</v>
      </c>
      <c r="F321" s="9" t="s">
        <v>1690</v>
      </c>
      <c r="H321" s="16" t="s">
        <v>1501</v>
      </c>
      <c r="I321" s="9" t="b">
        <f t="shared" si="6"/>
        <v>0</v>
      </c>
      <c r="J321" s="1" t="s">
        <v>1529</v>
      </c>
      <c r="K321" s="1" t="s">
        <v>1529</v>
      </c>
      <c r="L321" s="1" t="s">
        <v>1529</v>
      </c>
      <c r="N321" s="35"/>
      <c r="O321" s="2" t="s">
        <v>458</v>
      </c>
      <c r="P321" s="2" cm="1">
        <f t="array" ref="P321">_xlfn.XLOOKUP(TRIM(B321),TRIM('[1]wc-product-export-16-3-2026-177'!$A:$A),'[1]wc-product-export-16-3-2026-177'!$D:$D,0,0)</f>
        <v>0</v>
      </c>
      <c r="Q321" s="2" t="e" cm="1">
        <f t="array" ref="Q321">IF(TRIM($D321)="SET",IF($K321="Steak Set1",ROUNDDOWN(IFERROR(MIN(_xlfn._xlws.FILTER(O$3:O$650,ISNUMBER(MATCH(TRIM($B$3:$B$650),TRIM(_xlfn.TEXTSPLIT($N321,",")),0)))),0)/4,0)+P321,IF(IFERROR(MIN(_xlfn._xlws.FILTER(O$3:O$650,ISNUMBER(MATCH(TRIM($B$3:$B$650),TRIM(_xlfn.TEXTSPLIT($N321,",")),0)))),0)&gt;=$E$1,IFERROR(MIN(_xlfn._xlws.FILTER(O$3:O$650,ISNUMBER(MATCH(TRIM($B$3:$B$650),TRIM(_xlfn.TEXTSPLIT($N321,",")),0)))),0)+P321,P321)),IF(TRIM($D321)="EA",IF(TRIM($E321)="M",ROUNDUP(O321*0.85,0),IF(TRIM($E321)="P",O321,P321)),P321))</f>
        <v>#VALUE!</v>
      </c>
      <c r="T321" t="str" cm="1">
        <f t="array" ref="T321">IFERROR(IF(D321="SET",_xlfn.TEXTJOIN(", ",TRUE,_xlfn._xlws.FILTER(TRANSPOSE(TRIM(_xlfn.TEXTSPLIT(N321,","))),COUNTIFS(B$3:B$650,TRANSPOSE(TRIM(_xlfn.TEXTSPLIT(N321,","))),O$3:O$650,"&lt;="&amp;$T$1))),""),"")</f>
        <v/>
      </c>
    </row>
    <row r="322" spans="1:20" ht="14.4" hidden="1" x14ac:dyDescent="0.3">
      <c r="A322" s="1" t="s">
        <v>1443</v>
      </c>
      <c r="B322" s="1" t="s">
        <v>1443</v>
      </c>
      <c r="C322" s="1" t="s">
        <v>1259</v>
      </c>
      <c r="D322" s="14" t="s">
        <v>624</v>
      </c>
      <c r="E322" s="2" t="s">
        <v>686</v>
      </c>
      <c r="F322" s="9"/>
      <c r="H322" s="16" t="s">
        <v>1494</v>
      </c>
      <c r="I322" s="9" t="b">
        <f t="shared" si="6"/>
        <v>0</v>
      </c>
      <c r="J322" s="1" t="s">
        <v>1529</v>
      </c>
      <c r="K322" s="1" t="s">
        <v>1529</v>
      </c>
      <c r="L322" s="1" t="s">
        <v>1529</v>
      </c>
      <c r="N322" s="35"/>
      <c r="O322" s="2" t="s">
        <v>458</v>
      </c>
      <c r="P322" s="2" cm="1">
        <f t="array" ref="P322">_xlfn.XLOOKUP(TRIM(B322),TRIM('[1]wc-product-export-16-3-2026-177'!$A:$A),'[1]wc-product-export-16-3-2026-177'!$D:$D,0,0)</f>
        <v>0</v>
      </c>
      <c r="Q322" s="2" t="e" cm="1">
        <f t="array" ref="Q322">IF(TRIM($D322)="SET",IF($K322="Steak Set1",ROUNDDOWN(IFERROR(MIN(_xlfn._xlws.FILTER(O$3:O$650,ISNUMBER(MATCH(TRIM($B$3:$B$650),TRIM(_xlfn.TEXTSPLIT($N322,",")),0)))),0)/4,0)+P322,IF(IFERROR(MIN(_xlfn._xlws.FILTER(O$3:O$650,ISNUMBER(MATCH(TRIM($B$3:$B$650),TRIM(_xlfn.TEXTSPLIT($N322,",")),0)))),0)&gt;=$E$1,IFERROR(MIN(_xlfn._xlws.FILTER(O$3:O$650,ISNUMBER(MATCH(TRIM($B$3:$B$650),TRIM(_xlfn.TEXTSPLIT($N322,",")),0)))),0)+P322,P322)),IF(TRIM($D322)="EA",IF(TRIM($E322)="M",ROUNDUP(O322*0.85,0),IF(TRIM($E322)="P",O322,P322)),P322))</f>
        <v>#VALUE!</v>
      </c>
      <c r="T322" t="str" cm="1">
        <f t="array" ref="T322">IFERROR(IF(D322="SET",_xlfn.TEXTJOIN(", ",TRUE,_xlfn._xlws.FILTER(TRANSPOSE(TRIM(_xlfn.TEXTSPLIT(N322,","))),COUNTIFS(B$3:B$650,TRANSPOSE(TRIM(_xlfn.TEXTSPLIT(N322,","))),O$3:O$650,"&lt;="&amp;$T$1))),""),"")</f>
        <v/>
      </c>
    </row>
    <row r="323" spans="1:20" ht="14.4" hidden="1" x14ac:dyDescent="0.3">
      <c r="A323" s="1" t="s">
        <v>1465</v>
      </c>
      <c r="B323" s="1" t="s">
        <v>1465</v>
      </c>
      <c r="C323" s="1" t="s">
        <v>1259</v>
      </c>
      <c r="D323" s="14" t="s">
        <v>624</v>
      </c>
      <c r="E323" s="2" t="s">
        <v>686</v>
      </c>
      <c r="F323" s="9" t="s">
        <v>1608</v>
      </c>
      <c r="H323" s="16" t="s">
        <v>1516</v>
      </c>
      <c r="I323" s="9" t="b">
        <f t="shared" si="6"/>
        <v>0</v>
      </c>
      <c r="J323" s="1" t="s">
        <v>1529</v>
      </c>
      <c r="K323" s="1" t="s">
        <v>1529</v>
      </c>
      <c r="L323" s="1" t="s">
        <v>1529</v>
      </c>
      <c r="N323" s="35"/>
      <c r="O323" s="2" t="s">
        <v>458</v>
      </c>
      <c r="P323" s="2" cm="1">
        <f t="array" ref="P323">_xlfn.XLOOKUP(TRIM(B323),TRIM('[1]wc-product-export-16-3-2026-177'!$A:$A),'[1]wc-product-export-16-3-2026-177'!$D:$D,0,0)</f>
        <v>0</v>
      </c>
      <c r="Q323" s="2" t="e" cm="1">
        <f t="array" ref="Q323">IF(TRIM($D323)="SET",IF($K323="Steak Set1",ROUNDDOWN(IFERROR(MIN(_xlfn._xlws.FILTER(O$3:O$650,ISNUMBER(MATCH(TRIM($B$3:$B$650),TRIM(_xlfn.TEXTSPLIT($N323,",")),0)))),0)/4,0)+P323,IF(IFERROR(MIN(_xlfn._xlws.FILTER(O$3:O$650,ISNUMBER(MATCH(TRIM($B$3:$B$650),TRIM(_xlfn.TEXTSPLIT($N323,",")),0)))),0)&gt;=$E$1,IFERROR(MIN(_xlfn._xlws.FILTER(O$3:O$650,ISNUMBER(MATCH(TRIM($B$3:$B$650),TRIM(_xlfn.TEXTSPLIT($N323,",")),0)))),0)+P323,P323)),IF(TRIM($D323)="EA",IF(TRIM($E323)="M",ROUNDUP(O323*0.85,0),IF(TRIM($E323)="P",O323,P323)),P323))</f>
        <v>#VALUE!</v>
      </c>
      <c r="T323" t="str" cm="1">
        <f t="array" ref="T323">IFERROR(IF(D323="SET",_xlfn.TEXTJOIN(", ",TRUE,_xlfn._xlws.FILTER(TRANSPOSE(TRIM(_xlfn.TEXTSPLIT(N323,","))),COUNTIFS(B$3:B$650,TRANSPOSE(TRIM(_xlfn.TEXTSPLIT(N323,","))),O$3:O$650,"&lt;="&amp;$T$1))),""),"")</f>
        <v/>
      </c>
    </row>
    <row r="324" spans="1:20" ht="14.4" hidden="1" x14ac:dyDescent="0.3">
      <c r="A324" s="1" t="s">
        <v>1439</v>
      </c>
      <c r="B324" s="1" t="s">
        <v>1439</v>
      </c>
      <c r="C324" s="1" t="s">
        <v>1259</v>
      </c>
      <c r="D324" s="14" t="s">
        <v>624</v>
      </c>
      <c r="E324" s="2" t="s">
        <v>686</v>
      </c>
      <c r="F324" s="9"/>
      <c r="H324" s="16" t="s">
        <v>1490</v>
      </c>
      <c r="I324" s="9" t="b">
        <f t="shared" ref="I324:I387" si="7">ISNUMBER(SEARCH($I$2,H324))</f>
        <v>0</v>
      </c>
      <c r="J324" s="1" t="s">
        <v>1529</v>
      </c>
      <c r="K324" s="1" t="s">
        <v>1529</v>
      </c>
      <c r="L324" s="1" t="s">
        <v>1529</v>
      </c>
      <c r="N324" s="35"/>
      <c r="O324" s="2" t="s">
        <v>458</v>
      </c>
      <c r="P324" s="2" cm="1">
        <f t="array" ref="P324">_xlfn.XLOOKUP(TRIM(B324),TRIM('[1]wc-product-export-16-3-2026-177'!$A:$A),'[1]wc-product-export-16-3-2026-177'!$D:$D,0,0)</f>
        <v>0</v>
      </c>
      <c r="Q324" s="2" t="e" cm="1">
        <f t="array" ref="Q324">IF(TRIM($D324)="SET",IF($K324="Steak Set1",ROUNDDOWN(IFERROR(MIN(_xlfn._xlws.FILTER(O$3:O$650,ISNUMBER(MATCH(TRIM($B$3:$B$650),TRIM(_xlfn.TEXTSPLIT($N324,",")),0)))),0)/4,0)+P324,IF(IFERROR(MIN(_xlfn._xlws.FILTER(O$3:O$650,ISNUMBER(MATCH(TRIM($B$3:$B$650),TRIM(_xlfn.TEXTSPLIT($N324,",")),0)))),0)&gt;=$E$1,IFERROR(MIN(_xlfn._xlws.FILTER(O$3:O$650,ISNUMBER(MATCH(TRIM($B$3:$B$650),TRIM(_xlfn.TEXTSPLIT($N324,",")),0)))),0)+P324,P324)),IF(TRIM($D324)="EA",IF(TRIM($E324)="M",ROUNDUP(O324*0.85,0),IF(TRIM($E324)="P",O324,P324)),P324))</f>
        <v>#VALUE!</v>
      </c>
      <c r="T324" t="str" cm="1">
        <f t="array" ref="T324">IFERROR(IF(D324="SET",_xlfn.TEXTJOIN(", ",TRUE,_xlfn._xlws.FILTER(TRANSPOSE(TRIM(_xlfn.TEXTSPLIT(N324,","))),COUNTIFS(B$3:B$650,TRANSPOSE(TRIM(_xlfn.TEXTSPLIT(N324,","))),O$3:O$650,"&lt;="&amp;$T$1))),""),"")</f>
        <v/>
      </c>
    </row>
    <row r="325" spans="1:20" ht="14.4" hidden="1" x14ac:dyDescent="0.3">
      <c r="A325" s="1" t="s">
        <v>1435</v>
      </c>
      <c r="B325" s="1" t="s">
        <v>1435</v>
      </c>
      <c r="C325" s="1" t="s">
        <v>1259</v>
      </c>
      <c r="D325" s="14" t="s">
        <v>624</v>
      </c>
      <c r="E325" s="2" t="s">
        <v>686</v>
      </c>
      <c r="F325" s="9"/>
      <c r="H325" s="16" t="s">
        <v>1486</v>
      </c>
      <c r="I325" s="9" t="b">
        <f t="shared" si="7"/>
        <v>0</v>
      </c>
      <c r="J325" s="1" t="s">
        <v>1529</v>
      </c>
      <c r="K325" s="1" t="s">
        <v>1529</v>
      </c>
      <c r="L325" s="1" t="s">
        <v>1529</v>
      </c>
      <c r="N325" s="35"/>
      <c r="O325" s="2" t="s">
        <v>458</v>
      </c>
      <c r="P325" s="2" cm="1">
        <f t="array" ref="P325">_xlfn.XLOOKUP(TRIM(B325),TRIM('[1]wc-product-export-16-3-2026-177'!$A:$A),'[1]wc-product-export-16-3-2026-177'!$D:$D,0,0)</f>
        <v>0</v>
      </c>
      <c r="Q325" s="2" t="e" cm="1">
        <f t="array" ref="Q325">IF(TRIM($D325)="SET",IF($K325="Steak Set1",ROUNDDOWN(IFERROR(MIN(_xlfn._xlws.FILTER(O$3:O$650,ISNUMBER(MATCH(TRIM($B$3:$B$650),TRIM(_xlfn.TEXTSPLIT($N325,",")),0)))),0)/4,0)+P325,IF(IFERROR(MIN(_xlfn._xlws.FILTER(O$3:O$650,ISNUMBER(MATCH(TRIM($B$3:$B$650),TRIM(_xlfn.TEXTSPLIT($N325,",")),0)))),0)&gt;=$E$1,IFERROR(MIN(_xlfn._xlws.FILTER(O$3:O$650,ISNUMBER(MATCH(TRIM($B$3:$B$650),TRIM(_xlfn.TEXTSPLIT($N325,",")),0)))),0)+P325,P325)),IF(TRIM($D325)="EA",IF(TRIM($E325)="M",ROUNDUP(O325*0.85,0),IF(TRIM($E325)="P",O325,P325)),P325))</f>
        <v>#VALUE!</v>
      </c>
      <c r="T325" t="str" cm="1">
        <f t="array" ref="T325">IFERROR(IF(D325="SET",_xlfn.TEXTJOIN(", ",TRUE,_xlfn._xlws.FILTER(TRANSPOSE(TRIM(_xlfn.TEXTSPLIT(N325,","))),COUNTIFS(B$3:B$650,TRANSPOSE(TRIM(_xlfn.TEXTSPLIT(N325,","))),O$3:O$650,"&lt;="&amp;$T$1))),""),"")</f>
        <v/>
      </c>
    </row>
    <row r="326" spans="1:20" ht="14.4" hidden="1" x14ac:dyDescent="0.3">
      <c r="A326" s="1" t="s">
        <v>1466</v>
      </c>
      <c r="B326" s="1" t="s">
        <v>1466</v>
      </c>
      <c r="C326" s="1" t="s">
        <v>1259</v>
      </c>
      <c r="D326" s="14" t="s">
        <v>624</v>
      </c>
      <c r="E326" s="2" t="s">
        <v>686</v>
      </c>
      <c r="F326" s="9" t="s">
        <v>1608</v>
      </c>
      <c r="H326" s="16" t="s">
        <v>1517</v>
      </c>
      <c r="I326" s="9" t="b">
        <f t="shared" si="7"/>
        <v>0</v>
      </c>
      <c r="J326" s="1" t="s">
        <v>1529</v>
      </c>
      <c r="K326" s="1" t="s">
        <v>1529</v>
      </c>
      <c r="L326" s="1" t="s">
        <v>1529</v>
      </c>
      <c r="N326" s="35"/>
      <c r="O326" s="2" t="s">
        <v>458</v>
      </c>
      <c r="P326" s="2" cm="1">
        <f t="array" ref="P326">_xlfn.XLOOKUP(TRIM(B326),TRIM('[1]wc-product-export-16-3-2026-177'!$A:$A),'[1]wc-product-export-16-3-2026-177'!$D:$D,0,0)</f>
        <v>0</v>
      </c>
      <c r="Q326" s="2" t="e" cm="1">
        <f t="array" ref="Q326">IF(TRIM($D326)="SET",IF($K326="Steak Set1",ROUNDDOWN(IFERROR(MIN(_xlfn._xlws.FILTER(O$3:O$650,ISNUMBER(MATCH(TRIM($B$3:$B$650),TRIM(_xlfn.TEXTSPLIT($N326,",")),0)))),0)/4,0)+P326,IF(IFERROR(MIN(_xlfn._xlws.FILTER(O$3:O$650,ISNUMBER(MATCH(TRIM($B$3:$B$650),TRIM(_xlfn.TEXTSPLIT($N326,",")),0)))),0)&gt;=$E$1,IFERROR(MIN(_xlfn._xlws.FILTER(O$3:O$650,ISNUMBER(MATCH(TRIM($B$3:$B$650),TRIM(_xlfn.TEXTSPLIT($N326,",")),0)))),0)+P326,P326)),IF(TRIM($D326)="EA",IF(TRIM($E326)="M",ROUNDUP(O326*0.85,0),IF(TRIM($E326)="P",O326,P326)),P326))</f>
        <v>#VALUE!</v>
      </c>
      <c r="T326" t="str" cm="1">
        <f t="array" ref="T326">IFERROR(IF(D326="SET",_xlfn.TEXTJOIN(", ",TRUE,_xlfn._xlws.FILTER(TRANSPOSE(TRIM(_xlfn.TEXTSPLIT(N326,","))),COUNTIFS(B$3:B$650,TRANSPOSE(TRIM(_xlfn.TEXTSPLIT(N326,","))),O$3:O$650,"&lt;="&amp;$T$1))),""),"")</f>
        <v/>
      </c>
    </row>
    <row r="327" spans="1:20" ht="14.4" hidden="1" x14ac:dyDescent="0.3">
      <c r="A327" s="1" t="s">
        <v>1467</v>
      </c>
      <c r="B327" s="1" t="s">
        <v>1467</v>
      </c>
      <c r="C327" s="1" t="s">
        <v>1259</v>
      </c>
      <c r="D327" s="14" t="s">
        <v>624</v>
      </c>
      <c r="E327" s="2" t="s">
        <v>686</v>
      </c>
      <c r="F327" s="9" t="s">
        <v>1608</v>
      </c>
      <c r="H327" s="16" t="s">
        <v>1518</v>
      </c>
      <c r="I327" s="9" t="b">
        <f t="shared" si="7"/>
        <v>0</v>
      </c>
      <c r="J327" s="1" t="s">
        <v>1529</v>
      </c>
      <c r="K327" s="1" t="s">
        <v>1529</v>
      </c>
      <c r="L327" s="1" t="s">
        <v>1529</v>
      </c>
      <c r="N327" s="35"/>
      <c r="O327" s="2" t="s">
        <v>458</v>
      </c>
      <c r="P327" s="2" cm="1">
        <f t="array" ref="P327">_xlfn.XLOOKUP(TRIM(B327),TRIM('[1]wc-product-export-16-3-2026-177'!$A:$A),'[1]wc-product-export-16-3-2026-177'!$D:$D,0,0)</f>
        <v>0</v>
      </c>
      <c r="Q327" s="2" t="e" cm="1">
        <f t="array" ref="Q327">IF(TRIM($D327)="SET",IF($K327="Steak Set1",ROUNDDOWN(IFERROR(MIN(_xlfn._xlws.FILTER(O$3:O$650,ISNUMBER(MATCH(TRIM($B$3:$B$650),TRIM(_xlfn.TEXTSPLIT($N327,",")),0)))),0)/4,0)+P327,IF(IFERROR(MIN(_xlfn._xlws.FILTER(O$3:O$650,ISNUMBER(MATCH(TRIM($B$3:$B$650),TRIM(_xlfn.TEXTSPLIT($N327,",")),0)))),0)&gt;=$E$1,IFERROR(MIN(_xlfn._xlws.FILTER(O$3:O$650,ISNUMBER(MATCH(TRIM($B$3:$B$650),TRIM(_xlfn.TEXTSPLIT($N327,",")),0)))),0)+P327,P327)),IF(TRIM($D327)="EA",IF(TRIM($E327)="M",ROUNDUP(O327*0.85,0),IF(TRIM($E327)="P",O327,P327)),P327))</f>
        <v>#VALUE!</v>
      </c>
      <c r="T327" t="str" cm="1">
        <f t="array" ref="T327">IFERROR(IF(D327="SET",_xlfn.TEXTJOIN(", ",TRUE,_xlfn._xlws.FILTER(TRANSPOSE(TRIM(_xlfn.TEXTSPLIT(N327,","))),COUNTIFS(B$3:B$650,TRANSPOSE(TRIM(_xlfn.TEXTSPLIT(N327,","))),O$3:O$650,"&lt;="&amp;$T$1))),""),"")</f>
        <v/>
      </c>
    </row>
    <row r="328" spans="1:20" ht="14.4" hidden="1" x14ac:dyDescent="0.3">
      <c r="A328" s="1" t="s">
        <v>1449</v>
      </c>
      <c r="B328" s="1" t="s">
        <v>1449</v>
      </c>
      <c r="C328" s="1" t="s">
        <v>1259</v>
      </c>
      <c r="D328" s="14" t="s">
        <v>624</v>
      </c>
      <c r="E328" s="2" t="s">
        <v>686</v>
      </c>
      <c r="F328" s="9" t="s">
        <v>1690</v>
      </c>
      <c r="H328" s="16" t="s">
        <v>1500</v>
      </c>
      <c r="I328" s="9" t="b">
        <f t="shared" si="7"/>
        <v>0</v>
      </c>
      <c r="J328" s="1" t="s">
        <v>1529</v>
      </c>
      <c r="K328" s="1" t="s">
        <v>1529</v>
      </c>
      <c r="L328" s="1" t="s">
        <v>1529</v>
      </c>
      <c r="N328" s="35"/>
      <c r="O328" s="2" t="s">
        <v>458</v>
      </c>
      <c r="P328" s="2" cm="1">
        <f t="array" ref="P328">_xlfn.XLOOKUP(TRIM(B328),TRIM('[1]wc-product-export-16-3-2026-177'!$A:$A),'[1]wc-product-export-16-3-2026-177'!$D:$D,0,0)</f>
        <v>0</v>
      </c>
      <c r="Q328" s="2" t="e" cm="1">
        <f t="array" ref="Q328">IF(TRIM($D328)="SET",IF($K328="Steak Set1",ROUNDDOWN(IFERROR(MIN(_xlfn._xlws.FILTER(O$3:O$650,ISNUMBER(MATCH(TRIM($B$3:$B$650),TRIM(_xlfn.TEXTSPLIT($N328,",")),0)))),0)/4,0)+P328,IF(IFERROR(MIN(_xlfn._xlws.FILTER(O$3:O$650,ISNUMBER(MATCH(TRIM($B$3:$B$650),TRIM(_xlfn.TEXTSPLIT($N328,",")),0)))),0)&gt;=$E$1,IFERROR(MIN(_xlfn._xlws.FILTER(O$3:O$650,ISNUMBER(MATCH(TRIM($B$3:$B$650),TRIM(_xlfn.TEXTSPLIT($N328,",")),0)))),0)+P328,P328)),IF(TRIM($D328)="EA",IF(TRIM($E328)="M",ROUNDUP(O328*0.85,0),IF(TRIM($E328)="P",O328,P328)),P328))</f>
        <v>#VALUE!</v>
      </c>
      <c r="T328" t="str" cm="1">
        <f t="array" ref="T328">IFERROR(IF(D328="SET",_xlfn.TEXTJOIN(", ",TRUE,_xlfn._xlws.FILTER(TRANSPOSE(TRIM(_xlfn.TEXTSPLIT(N328,","))),COUNTIFS(B$3:B$650,TRANSPOSE(TRIM(_xlfn.TEXTSPLIT(N328,","))),O$3:O$650,"&lt;="&amp;$T$1))),""),"")</f>
        <v/>
      </c>
    </row>
    <row r="329" spans="1:20" ht="14.4" hidden="1" x14ac:dyDescent="0.3">
      <c r="A329" s="1" t="s">
        <v>1468</v>
      </c>
      <c r="B329" s="1" t="s">
        <v>1468</v>
      </c>
      <c r="C329" s="1" t="s">
        <v>1259</v>
      </c>
      <c r="D329" s="14" t="s">
        <v>624</v>
      </c>
      <c r="E329" s="2" t="s">
        <v>686</v>
      </c>
      <c r="F329" s="9" t="s">
        <v>1608</v>
      </c>
      <c r="H329" s="16" t="s">
        <v>1519</v>
      </c>
      <c r="I329" s="9" t="b">
        <f t="shared" si="7"/>
        <v>0</v>
      </c>
      <c r="J329" s="1" t="s">
        <v>1529</v>
      </c>
      <c r="K329" s="1" t="s">
        <v>1529</v>
      </c>
      <c r="L329" s="1" t="s">
        <v>1529</v>
      </c>
      <c r="N329" s="35"/>
      <c r="O329" s="2" t="s">
        <v>458</v>
      </c>
      <c r="P329" s="2" cm="1">
        <f t="array" ref="P329">_xlfn.XLOOKUP(TRIM(B329),TRIM('[1]wc-product-export-16-3-2026-177'!$A:$A),'[1]wc-product-export-16-3-2026-177'!$D:$D,0,0)</f>
        <v>0</v>
      </c>
      <c r="Q329" s="2" t="e" cm="1">
        <f t="array" ref="Q329">IF(TRIM($D329)="SET",IF($K329="Steak Set1",ROUNDDOWN(IFERROR(MIN(_xlfn._xlws.FILTER(O$3:O$650,ISNUMBER(MATCH(TRIM($B$3:$B$650),TRIM(_xlfn.TEXTSPLIT($N329,",")),0)))),0)/4,0)+P329,IF(IFERROR(MIN(_xlfn._xlws.FILTER(O$3:O$650,ISNUMBER(MATCH(TRIM($B$3:$B$650),TRIM(_xlfn.TEXTSPLIT($N329,",")),0)))),0)&gt;=$E$1,IFERROR(MIN(_xlfn._xlws.FILTER(O$3:O$650,ISNUMBER(MATCH(TRIM($B$3:$B$650),TRIM(_xlfn.TEXTSPLIT($N329,",")),0)))),0)+P329,P329)),IF(TRIM($D329)="EA",IF(TRIM($E329)="M",ROUNDUP(O329*0.85,0),IF(TRIM($E329)="P",O329,P329)),P329))</f>
        <v>#VALUE!</v>
      </c>
      <c r="T329" t="str" cm="1">
        <f t="array" ref="T329">IFERROR(IF(D329="SET",_xlfn.TEXTJOIN(", ",TRUE,_xlfn._xlws.FILTER(TRANSPOSE(TRIM(_xlfn.TEXTSPLIT(N329,","))),COUNTIFS(B$3:B$650,TRANSPOSE(TRIM(_xlfn.TEXTSPLIT(N329,","))),O$3:O$650,"&lt;="&amp;$T$1))),""),"")</f>
        <v/>
      </c>
    </row>
    <row r="330" spans="1:20" ht="14.4" hidden="1" x14ac:dyDescent="0.3">
      <c r="A330" s="1" t="s">
        <v>1442</v>
      </c>
      <c r="B330" s="1" t="s">
        <v>1442</v>
      </c>
      <c r="C330" s="1" t="s">
        <v>1259</v>
      </c>
      <c r="D330" s="14" t="s">
        <v>624</v>
      </c>
      <c r="E330" s="2" t="s">
        <v>686</v>
      </c>
      <c r="F330" s="9"/>
      <c r="H330" s="16" t="s">
        <v>1493</v>
      </c>
      <c r="I330" s="9" t="b">
        <f t="shared" si="7"/>
        <v>0</v>
      </c>
      <c r="J330" s="1" t="s">
        <v>1529</v>
      </c>
      <c r="K330" s="1" t="s">
        <v>1529</v>
      </c>
      <c r="L330" s="1" t="s">
        <v>1529</v>
      </c>
      <c r="N330" s="35"/>
      <c r="O330" s="2" t="s">
        <v>458</v>
      </c>
      <c r="P330" s="2" cm="1">
        <f t="array" ref="P330">_xlfn.XLOOKUP(TRIM(B330),TRIM('[1]wc-product-export-16-3-2026-177'!$A:$A),'[1]wc-product-export-16-3-2026-177'!$D:$D,0,0)</f>
        <v>0</v>
      </c>
      <c r="Q330" s="2" t="e" cm="1">
        <f t="array" ref="Q330">IF(TRIM($D330)="SET",IF($K330="Steak Set1",ROUNDDOWN(IFERROR(MIN(_xlfn._xlws.FILTER(O$3:O$650,ISNUMBER(MATCH(TRIM($B$3:$B$650),TRIM(_xlfn.TEXTSPLIT($N330,",")),0)))),0)/4,0)+P330,IF(IFERROR(MIN(_xlfn._xlws.FILTER(O$3:O$650,ISNUMBER(MATCH(TRIM($B$3:$B$650),TRIM(_xlfn.TEXTSPLIT($N330,",")),0)))),0)&gt;=$E$1,IFERROR(MIN(_xlfn._xlws.FILTER(O$3:O$650,ISNUMBER(MATCH(TRIM($B$3:$B$650),TRIM(_xlfn.TEXTSPLIT($N330,",")),0)))),0)+P330,P330)),IF(TRIM($D330)="EA",IF(TRIM($E330)="M",ROUNDUP(O330*0.85,0),IF(TRIM($E330)="P",O330,P330)),P330))</f>
        <v>#VALUE!</v>
      </c>
      <c r="T330" t="str" cm="1">
        <f t="array" ref="T330">IFERROR(IF(D330="SET",_xlfn.TEXTJOIN(", ",TRUE,_xlfn._xlws.FILTER(TRANSPOSE(TRIM(_xlfn.TEXTSPLIT(N330,","))),COUNTIFS(B$3:B$650,TRANSPOSE(TRIM(_xlfn.TEXTSPLIT(N330,","))),O$3:O$650,"&lt;="&amp;$T$1))),""),"")</f>
        <v/>
      </c>
    </row>
    <row r="331" spans="1:20" ht="14.4" hidden="1" x14ac:dyDescent="0.3">
      <c r="A331" s="1" t="s">
        <v>1434</v>
      </c>
      <c r="B331" s="1" t="s">
        <v>1434</v>
      </c>
      <c r="C331" s="1" t="s">
        <v>1259</v>
      </c>
      <c r="D331" s="14" t="s">
        <v>624</v>
      </c>
      <c r="E331" s="2" t="s">
        <v>686</v>
      </c>
      <c r="F331" s="9" t="s">
        <v>1690</v>
      </c>
      <c r="H331" s="16" t="s">
        <v>1485</v>
      </c>
      <c r="I331" s="9" t="b">
        <f t="shared" si="7"/>
        <v>0</v>
      </c>
      <c r="J331" s="1" t="s">
        <v>1529</v>
      </c>
      <c r="K331" s="1" t="s">
        <v>1529</v>
      </c>
      <c r="L331" s="1" t="s">
        <v>1529</v>
      </c>
      <c r="N331" s="35"/>
      <c r="O331" s="2" t="s">
        <v>458</v>
      </c>
      <c r="P331" s="2" cm="1">
        <f t="array" ref="P331">_xlfn.XLOOKUP(TRIM(B331),TRIM('[1]wc-product-export-16-3-2026-177'!$A:$A),'[1]wc-product-export-16-3-2026-177'!$D:$D,0,0)</f>
        <v>0</v>
      </c>
      <c r="Q331" s="2" t="e" cm="1">
        <f t="array" ref="Q331">IF(TRIM($D331)="SET",IF($K331="Steak Set1",ROUNDDOWN(IFERROR(MIN(_xlfn._xlws.FILTER(O$3:O$650,ISNUMBER(MATCH(TRIM($B$3:$B$650),TRIM(_xlfn.TEXTSPLIT($N331,",")),0)))),0)/4,0)+P331,IF(IFERROR(MIN(_xlfn._xlws.FILTER(O$3:O$650,ISNUMBER(MATCH(TRIM($B$3:$B$650),TRIM(_xlfn.TEXTSPLIT($N331,",")),0)))),0)&gt;=$E$1,IFERROR(MIN(_xlfn._xlws.FILTER(O$3:O$650,ISNUMBER(MATCH(TRIM($B$3:$B$650),TRIM(_xlfn.TEXTSPLIT($N331,",")),0)))),0)+P331,P331)),IF(TRIM($D331)="EA",IF(TRIM($E331)="M",ROUNDUP(O331*0.85,0),IF(TRIM($E331)="P",O331,P331)),P331))</f>
        <v>#VALUE!</v>
      </c>
      <c r="T331" t="str" cm="1">
        <f t="array" ref="T331">IFERROR(IF(D331="SET",_xlfn.TEXTJOIN(", ",TRUE,_xlfn._xlws.FILTER(TRANSPOSE(TRIM(_xlfn.TEXTSPLIT(N331,","))),COUNTIFS(B$3:B$650,TRANSPOSE(TRIM(_xlfn.TEXTSPLIT(N331,","))),O$3:O$650,"&lt;="&amp;$T$1))),""),"")</f>
        <v/>
      </c>
    </row>
    <row r="332" spans="1:20" ht="14.4" hidden="1" x14ac:dyDescent="0.3">
      <c r="A332" s="1" t="s">
        <v>1447</v>
      </c>
      <c r="B332" s="1" t="s">
        <v>1447</v>
      </c>
      <c r="C332" s="1" t="s">
        <v>1259</v>
      </c>
      <c r="D332" s="14" t="s">
        <v>624</v>
      </c>
      <c r="E332" s="2" t="s">
        <v>686</v>
      </c>
      <c r="F332" s="9" t="s">
        <v>1690</v>
      </c>
      <c r="H332" s="16" t="s">
        <v>1498</v>
      </c>
      <c r="I332" s="9" t="b">
        <f t="shared" si="7"/>
        <v>0</v>
      </c>
      <c r="J332" s="1" t="s">
        <v>1529</v>
      </c>
      <c r="K332" s="1" t="s">
        <v>1529</v>
      </c>
      <c r="L332" s="1" t="s">
        <v>1529</v>
      </c>
      <c r="N332" s="35"/>
      <c r="O332" s="2" t="s">
        <v>458</v>
      </c>
      <c r="P332" s="2" cm="1">
        <f t="array" ref="P332">_xlfn.XLOOKUP(TRIM(B332),TRIM('[1]wc-product-export-16-3-2026-177'!$A:$A),'[1]wc-product-export-16-3-2026-177'!$D:$D,0,0)</f>
        <v>0</v>
      </c>
      <c r="Q332" s="2" t="e" cm="1">
        <f t="array" ref="Q332">IF(TRIM($D332)="SET",IF($K332="Steak Set1",ROUNDDOWN(IFERROR(MIN(_xlfn._xlws.FILTER(O$3:O$650,ISNUMBER(MATCH(TRIM($B$3:$B$650),TRIM(_xlfn.TEXTSPLIT($N332,",")),0)))),0)/4,0)+P332,IF(IFERROR(MIN(_xlfn._xlws.FILTER(O$3:O$650,ISNUMBER(MATCH(TRIM($B$3:$B$650),TRIM(_xlfn.TEXTSPLIT($N332,",")),0)))),0)&gt;=$E$1,IFERROR(MIN(_xlfn._xlws.FILTER(O$3:O$650,ISNUMBER(MATCH(TRIM($B$3:$B$650),TRIM(_xlfn.TEXTSPLIT($N332,",")),0)))),0)+P332,P332)),IF(TRIM($D332)="EA",IF(TRIM($E332)="M",ROUNDUP(O332*0.85,0),IF(TRIM($E332)="P",O332,P332)),P332))</f>
        <v>#VALUE!</v>
      </c>
      <c r="T332" t="str" cm="1">
        <f t="array" ref="T332">IFERROR(IF(D332="SET",_xlfn.TEXTJOIN(", ",TRUE,_xlfn._xlws.FILTER(TRANSPOSE(TRIM(_xlfn.TEXTSPLIT(N332,","))),COUNTIFS(B$3:B$650,TRANSPOSE(TRIM(_xlfn.TEXTSPLIT(N332,","))),O$3:O$650,"&lt;="&amp;$T$1))),""),"")</f>
        <v/>
      </c>
    </row>
    <row r="333" spans="1:20" ht="14.4" hidden="1" x14ac:dyDescent="0.3">
      <c r="A333" s="1" t="s">
        <v>1438</v>
      </c>
      <c r="B333" s="1" t="s">
        <v>1438</v>
      </c>
      <c r="C333" s="1" t="s">
        <v>1259</v>
      </c>
      <c r="D333" s="14" t="s">
        <v>624</v>
      </c>
      <c r="E333" s="2" t="s">
        <v>686</v>
      </c>
      <c r="F333" s="9"/>
      <c r="H333" s="16" t="s">
        <v>1489</v>
      </c>
      <c r="I333" s="9" t="b">
        <f t="shared" si="7"/>
        <v>0</v>
      </c>
      <c r="J333" s="1" t="s">
        <v>1529</v>
      </c>
      <c r="K333" s="1" t="s">
        <v>1529</v>
      </c>
      <c r="L333" s="1" t="s">
        <v>1529</v>
      </c>
      <c r="N333" s="35"/>
      <c r="O333" s="2" t="s">
        <v>458</v>
      </c>
      <c r="P333" s="2" cm="1">
        <f t="array" ref="P333">_xlfn.XLOOKUP(TRIM(B333),TRIM('[1]wc-product-export-16-3-2026-177'!$A:$A),'[1]wc-product-export-16-3-2026-177'!$D:$D,0,0)</f>
        <v>0</v>
      </c>
      <c r="Q333" s="2" t="e" cm="1">
        <f t="array" ref="Q333">IF(TRIM($D333)="SET",IF($K333="Steak Set1",ROUNDDOWN(IFERROR(MIN(_xlfn._xlws.FILTER(O$3:O$650,ISNUMBER(MATCH(TRIM($B$3:$B$650),TRIM(_xlfn.TEXTSPLIT($N333,",")),0)))),0)/4,0)+P333,IF(IFERROR(MIN(_xlfn._xlws.FILTER(O$3:O$650,ISNUMBER(MATCH(TRIM($B$3:$B$650),TRIM(_xlfn.TEXTSPLIT($N333,",")),0)))),0)&gt;=$E$1,IFERROR(MIN(_xlfn._xlws.FILTER(O$3:O$650,ISNUMBER(MATCH(TRIM($B$3:$B$650),TRIM(_xlfn.TEXTSPLIT($N333,",")),0)))),0)+P333,P333)),IF(TRIM($D333)="EA",IF(TRIM($E333)="M",ROUNDUP(O333*0.85,0),IF(TRIM($E333)="P",O333,P333)),P333))</f>
        <v>#VALUE!</v>
      </c>
      <c r="T333" t="str" cm="1">
        <f t="array" ref="T333">IFERROR(IF(D333="SET",_xlfn.TEXTJOIN(", ",TRUE,_xlfn._xlws.FILTER(TRANSPOSE(TRIM(_xlfn.TEXTSPLIT(N333,","))),COUNTIFS(B$3:B$650,TRANSPOSE(TRIM(_xlfn.TEXTSPLIT(N333,","))),O$3:O$650,"&lt;="&amp;$T$1))),""),"")</f>
        <v/>
      </c>
    </row>
    <row r="334" spans="1:20" ht="14.4" hidden="1" x14ac:dyDescent="0.3">
      <c r="A334" s="1" t="s">
        <v>1469</v>
      </c>
      <c r="B334" s="1" t="s">
        <v>1469</v>
      </c>
      <c r="C334" s="1" t="s">
        <v>1259</v>
      </c>
      <c r="D334" s="14" t="s">
        <v>624</v>
      </c>
      <c r="E334" s="2" t="s">
        <v>686</v>
      </c>
      <c r="F334" s="9" t="s">
        <v>1690</v>
      </c>
      <c r="H334" s="16" t="s">
        <v>1520</v>
      </c>
      <c r="I334" s="9" t="b">
        <f t="shared" si="7"/>
        <v>0</v>
      </c>
      <c r="J334" s="1" t="s">
        <v>1529</v>
      </c>
      <c r="K334" s="1" t="s">
        <v>1529</v>
      </c>
      <c r="L334" s="1" t="s">
        <v>1529</v>
      </c>
      <c r="N334" s="35"/>
      <c r="O334" s="2" t="s">
        <v>458</v>
      </c>
      <c r="P334" s="2" cm="1">
        <f t="array" ref="P334">_xlfn.XLOOKUP(TRIM(B334),TRIM('[1]wc-product-export-16-3-2026-177'!$A:$A),'[1]wc-product-export-16-3-2026-177'!$D:$D,0,0)</f>
        <v>0</v>
      </c>
      <c r="Q334" s="2" t="e" cm="1">
        <f t="array" ref="Q334">IF(TRIM($D334)="SET",IF($K334="Steak Set1",ROUNDDOWN(IFERROR(MIN(_xlfn._xlws.FILTER(O$3:O$650,ISNUMBER(MATCH(TRIM($B$3:$B$650),TRIM(_xlfn.TEXTSPLIT($N334,",")),0)))),0)/4,0)+P334,IF(IFERROR(MIN(_xlfn._xlws.FILTER(O$3:O$650,ISNUMBER(MATCH(TRIM($B$3:$B$650),TRIM(_xlfn.TEXTSPLIT($N334,",")),0)))),0)&gt;=$E$1,IFERROR(MIN(_xlfn._xlws.FILTER(O$3:O$650,ISNUMBER(MATCH(TRIM($B$3:$B$650),TRIM(_xlfn.TEXTSPLIT($N334,",")),0)))),0)+P334,P334)),IF(TRIM($D334)="EA",IF(TRIM($E334)="M",ROUNDUP(O334*0.85,0),IF(TRIM($E334)="P",O334,P334)),P334))</f>
        <v>#VALUE!</v>
      </c>
      <c r="T334" t="str" cm="1">
        <f t="array" ref="T334">IFERROR(IF(D334="SET",_xlfn.TEXTJOIN(", ",TRUE,_xlfn._xlws.FILTER(TRANSPOSE(TRIM(_xlfn.TEXTSPLIT(N334,","))),COUNTIFS(B$3:B$650,TRANSPOSE(TRIM(_xlfn.TEXTSPLIT(N334,","))),O$3:O$650,"&lt;="&amp;$T$1))),""),"")</f>
        <v/>
      </c>
    </row>
    <row r="335" spans="1:20" ht="14.4" hidden="1" x14ac:dyDescent="0.3">
      <c r="A335" s="1" t="s">
        <v>1470</v>
      </c>
      <c r="B335" s="1" t="s">
        <v>1470</v>
      </c>
      <c r="C335" s="1" t="s">
        <v>1259</v>
      </c>
      <c r="D335" s="14" t="s">
        <v>624</v>
      </c>
      <c r="E335" s="2" t="s">
        <v>686</v>
      </c>
      <c r="F335" s="9" t="s">
        <v>1690</v>
      </c>
      <c r="H335" s="16" t="s">
        <v>1521</v>
      </c>
      <c r="I335" s="9" t="b">
        <f t="shared" si="7"/>
        <v>0</v>
      </c>
      <c r="J335" s="1" t="s">
        <v>1529</v>
      </c>
      <c r="K335" s="1" t="s">
        <v>1529</v>
      </c>
      <c r="L335" s="1" t="s">
        <v>1529</v>
      </c>
      <c r="N335" s="35"/>
      <c r="O335" s="2" t="s">
        <v>458</v>
      </c>
      <c r="P335" s="2" cm="1">
        <f t="array" ref="P335">_xlfn.XLOOKUP(TRIM(B335),TRIM('[1]wc-product-export-16-3-2026-177'!$A:$A),'[1]wc-product-export-16-3-2026-177'!$D:$D,0,0)</f>
        <v>0</v>
      </c>
      <c r="Q335" s="2" t="e" cm="1">
        <f t="array" ref="Q335">IF(TRIM($D335)="SET",IF($K335="Steak Set1",ROUNDDOWN(IFERROR(MIN(_xlfn._xlws.FILTER(O$3:O$650,ISNUMBER(MATCH(TRIM($B$3:$B$650),TRIM(_xlfn.TEXTSPLIT($N335,",")),0)))),0)/4,0)+P335,IF(IFERROR(MIN(_xlfn._xlws.FILTER(O$3:O$650,ISNUMBER(MATCH(TRIM($B$3:$B$650),TRIM(_xlfn.TEXTSPLIT($N335,",")),0)))),0)&gt;=$E$1,IFERROR(MIN(_xlfn._xlws.FILTER(O$3:O$650,ISNUMBER(MATCH(TRIM($B$3:$B$650),TRIM(_xlfn.TEXTSPLIT($N335,",")),0)))),0)+P335,P335)),IF(TRIM($D335)="EA",IF(TRIM($E335)="M",ROUNDUP(O335*0.85,0),IF(TRIM($E335)="P",O335,P335)),P335))</f>
        <v>#VALUE!</v>
      </c>
      <c r="T335" t="str" cm="1">
        <f t="array" ref="T335">IFERROR(IF(D335="SET",_xlfn.TEXTJOIN(", ",TRUE,_xlfn._xlws.FILTER(TRANSPOSE(TRIM(_xlfn.TEXTSPLIT(N335,","))),COUNTIFS(B$3:B$650,TRANSPOSE(TRIM(_xlfn.TEXTSPLIT(N335,","))),O$3:O$650,"&lt;="&amp;$T$1))),""),"")</f>
        <v/>
      </c>
    </row>
    <row r="336" spans="1:20" ht="14.4" hidden="1" x14ac:dyDescent="0.3">
      <c r="A336" s="1" t="s">
        <v>1382</v>
      </c>
      <c r="B336" s="1" t="s">
        <v>1382</v>
      </c>
      <c r="C336" s="1" t="s">
        <v>1259</v>
      </c>
      <c r="D336" s="14" t="s">
        <v>624</v>
      </c>
      <c r="E336" s="2" t="s">
        <v>686</v>
      </c>
      <c r="F336" s="9"/>
      <c r="H336" s="16" t="s">
        <v>1360</v>
      </c>
      <c r="I336" s="9" t="b">
        <f t="shared" si="7"/>
        <v>0</v>
      </c>
      <c r="J336" s="1" t="s">
        <v>1529</v>
      </c>
      <c r="K336" s="1" t="s">
        <v>1529</v>
      </c>
      <c r="L336" s="1" t="s">
        <v>1529</v>
      </c>
      <c r="N336" s="35"/>
      <c r="O336" s="2" t="s">
        <v>458</v>
      </c>
      <c r="P336" s="2" cm="1">
        <f t="array" ref="P336">_xlfn.XLOOKUP(TRIM(B336),TRIM('[1]wc-product-export-16-3-2026-177'!$A:$A),'[1]wc-product-export-16-3-2026-177'!$D:$D,0,0)</f>
        <v>0</v>
      </c>
      <c r="Q336" s="2" t="e" cm="1">
        <f t="array" ref="Q336">IF(TRIM($D336)="SET",IF($K336="Steak Set1",ROUNDDOWN(IFERROR(MIN(_xlfn._xlws.FILTER(O$3:O$650,ISNUMBER(MATCH(TRIM($B$3:$B$650),TRIM(_xlfn.TEXTSPLIT($N336,",")),0)))),0)/4,0)+P336,IF(IFERROR(MIN(_xlfn._xlws.FILTER(O$3:O$650,ISNUMBER(MATCH(TRIM($B$3:$B$650),TRIM(_xlfn.TEXTSPLIT($N336,",")),0)))),0)&gt;=$E$1,IFERROR(MIN(_xlfn._xlws.FILTER(O$3:O$650,ISNUMBER(MATCH(TRIM($B$3:$B$650),TRIM(_xlfn.TEXTSPLIT($N336,",")),0)))),0)+P336,P336)),IF(TRIM($D336)="EA",IF(TRIM($E336)="M",ROUNDUP(O336*0.85,0),IF(TRIM($E336)="P",O336,P336)),P336))</f>
        <v>#VALUE!</v>
      </c>
      <c r="T336" t="str" cm="1">
        <f t="array" ref="T336">IFERROR(IF(D336="SET",_xlfn.TEXTJOIN(", ",TRUE,_xlfn._xlws.FILTER(TRANSPOSE(TRIM(_xlfn.TEXTSPLIT(N336,","))),COUNTIFS(B$3:B$650,TRANSPOSE(TRIM(_xlfn.TEXTSPLIT(N336,","))),O$3:O$650,"&lt;="&amp;$T$1))),""),"")</f>
        <v/>
      </c>
    </row>
    <row r="337" spans="1:20" ht="14.4" hidden="1" x14ac:dyDescent="0.3">
      <c r="A337" s="1" t="s">
        <v>1476</v>
      </c>
      <c r="B337" s="1" t="s">
        <v>1476</v>
      </c>
      <c r="C337" s="1" t="s">
        <v>1259</v>
      </c>
      <c r="D337" s="14" t="s">
        <v>624</v>
      </c>
      <c r="E337" s="2" t="s">
        <v>686</v>
      </c>
      <c r="F337" s="9"/>
      <c r="H337" s="16" t="s">
        <v>1527</v>
      </c>
      <c r="I337" s="9" t="b">
        <f t="shared" si="7"/>
        <v>0</v>
      </c>
      <c r="J337" s="1" t="s">
        <v>1529</v>
      </c>
      <c r="K337" s="1" t="s">
        <v>1529</v>
      </c>
      <c r="L337" s="1" t="s">
        <v>1529</v>
      </c>
      <c r="N337" s="35"/>
      <c r="O337" s="2" t="s">
        <v>458</v>
      </c>
      <c r="P337" s="2" cm="1">
        <f t="array" ref="P337">_xlfn.XLOOKUP(TRIM(B337),TRIM('[1]wc-product-export-16-3-2026-177'!$A:$A),'[1]wc-product-export-16-3-2026-177'!$D:$D,0,0)</f>
        <v>0</v>
      </c>
      <c r="Q337" s="2" t="e" cm="1">
        <f t="array" ref="Q337">IF(TRIM($D337)="SET",IF($K337="Steak Set1",ROUNDDOWN(IFERROR(MIN(_xlfn._xlws.FILTER(O$3:O$650,ISNUMBER(MATCH(TRIM($B$3:$B$650),TRIM(_xlfn.TEXTSPLIT($N337,",")),0)))),0)/4,0)+P337,IF(IFERROR(MIN(_xlfn._xlws.FILTER(O$3:O$650,ISNUMBER(MATCH(TRIM($B$3:$B$650),TRIM(_xlfn.TEXTSPLIT($N337,",")),0)))),0)&gt;=$E$1,IFERROR(MIN(_xlfn._xlws.FILTER(O$3:O$650,ISNUMBER(MATCH(TRIM($B$3:$B$650),TRIM(_xlfn.TEXTSPLIT($N337,",")),0)))),0)+P337,P337)),IF(TRIM($D337)="EA",IF(TRIM($E337)="M",ROUNDUP(O337*0.85,0),IF(TRIM($E337)="P",O337,P337)),P337))</f>
        <v>#VALUE!</v>
      </c>
      <c r="T337" t="str" cm="1">
        <f t="array" ref="T337">IFERROR(IF(D337="SET",_xlfn.TEXTJOIN(", ",TRUE,_xlfn._xlws.FILTER(TRANSPOSE(TRIM(_xlfn.TEXTSPLIT(N337,","))),COUNTIFS(B$3:B$650,TRANSPOSE(TRIM(_xlfn.TEXTSPLIT(N337,","))),O$3:O$650,"&lt;="&amp;$T$1))),""),"")</f>
        <v/>
      </c>
    </row>
    <row r="338" spans="1:20" ht="14.4" hidden="1" x14ac:dyDescent="0.3">
      <c r="A338" s="1" t="s">
        <v>1471</v>
      </c>
      <c r="B338" s="1" t="s">
        <v>1471</v>
      </c>
      <c r="C338" s="1" t="s">
        <v>1259</v>
      </c>
      <c r="D338" s="14" t="s">
        <v>624</v>
      </c>
      <c r="E338" s="2" t="s">
        <v>686</v>
      </c>
      <c r="F338" s="9" t="s">
        <v>1690</v>
      </c>
      <c r="H338" s="16" t="s">
        <v>1522</v>
      </c>
      <c r="I338" s="9" t="b">
        <f t="shared" si="7"/>
        <v>0</v>
      </c>
      <c r="J338" s="1" t="s">
        <v>1529</v>
      </c>
      <c r="K338" s="1" t="s">
        <v>1529</v>
      </c>
      <c r="L338" s="1" t="s">
        <v>1529</v>
      </c>
      <c r="N338" s="35"/>
      <c r="O338" s="2" t="s">
        <v>458</v>
      </c>
      <c r="P338" s="2" cm="1">
        <f t="array" ref="P338">_xlfn.XLOOKUP(TRIM(B338),TRIM('[1]wc-product-export-16-3-2026-177'!$A:$A),'[1]wc-product-export-16-3-2026-177'!$D:$D,0,0)</f>
        <v>0</v>
      </c>
      <c r="Q338" s="2" t="e" cm="1">
        <f t="array" ref="Q338">IF(TRIM($D338)="SET",IF($K338="Steak Set1",ROUNDDOWN(IFERROR(MIN(_xlfn._xlws.FILTER(O$3:O$650,ISNUMBER(MATCH(TRIM($B$3:$B$650),TRIM(_xlfn.TEXTSPLIT($N338,",")),0)))),0)/4,0)+P338,IF(IFERROR(MIN(_xlfn._xlws.FILTER(O$3:O$650,ISNUMBER(MATCH(TRIM($B$3:$B$650),TRIM(_xlfn.TEXTSPLIT($N338,",")),0)))),0)&gt;=$E$1,IFERROR(MIN(_xlfn._xlws.FILTER(O$3:O$650,ISNUMBER(MATCH(TRIM($B$3:$B$650),TRIM(_xlfn.TEXTSPLIT($N338,",")),0)))),0)+P338,P338)),IF(TRIM($D338)="EA",IF(TRIM($E338)="M",ROUNDUP(O338*0.85,0),IF(TRIM($E338)="P",O338,P338)),P338))</f>
        <v>#VALUE!</v>
      </c>
      <c r="T338" t="str" cm="1">
        <f t="array" ref="T338">IFERROR(IF(D338="SET",_xlfn.TEXTJOIN(", ",TRUE,_xlfn._xlws.FILTER(TRANSPOSE(TRIM(_xlfn.TEXTSPLIT(N338,","))),COUNTIFS(B$3:B$650,TRANSPOSE(TRIM(_xlfn.TEXTSPLIT(N338,","))),O$3:O$650,"&lt;="&amp;$T$1))),""),"")</f>
        <v/>
      </c>
    </row>
    <row r="339" spans="1:20" ht="14.4" hidden="1" x14ac:dyDescent="0.3">
      <c r="A339" s="1" t="s">
        <v>1477</v>
      </c>
      <c r="B339" s="1" t="s">
        <v>1477</v>
      </c>
      <c r="C339" s="1" t="s">
        <v>1259</v>
      </c>
      <c r="D339" s="14" t="s">
        <v>624</v>
      </c>
      <c r="E339" s="2" t="s">
        <v>686</v>
      </c>
      <c r="F339" s="9" t="s">
        <v>1689</v>
      </c>
      <c r="H339" s="16" t="s">
        <v>1528</v>
      </c>
      <c r="I339" s="9" t="b">
        <f t="shared" si="7"/>
        <v>0</v>
      </c>
      <c r="J339" s="1" t="s">
        <v>1529</v>
      </c>
      <c r="K339" s="1" t="s">
        <v>1529</v>
      </c>
      <c r="L339" s="1" t="s">
        <v>1529</v>
      </c>
      <c r="N339" s="35"/>
      <c r="O339" s="2" t="s">
        <v>458</v>
      </c>
      <c r="P339" s="2" cm="1">
        <f t="array" ref="P339">_xlfn.XLOOKUP(TRIM(B339),TRIM('[1]wc-product-export-16-3-2026-177'!$A:$A),'[1]wc-product-export-16-3-2026-177'!$D:$D,0,0)</f>
        <v>0</v>
      </c>
      <c r="Q339" s="2" t="e" cm="1">
        <f t="array" ref="Q339">IF(TRIM($D339)="SET",IF($K339="Steak Set1",ROUNDDOWN(IFERROR(MIN(_xlfn._xlws.FILTER(O$3:O$650,ISNUMBER(MATCH(TRIM($B$3:$B$650),TRIM(_xlfn.TEXTSPLIT($N339,",")),0)))),0)/4,0)+P339,IF(IFERROR(MIN(_xlfn._xlws.FILTER(O$3:O$650,ISNUMBER(MATCH(TRIM($B$3:$B$650),TRIM(_xlfn.TEXTSPLIT($N339,",")),0)))),0)&gt;=$E$1,IFERROR(MIN(_xlfn._xlws.FILTER(O$3:O$650,ISNUMBER(MATCH(TRIM($B$3:$B$650),TRIM(_xlfn.TEXTSPLIT($N339,",")),0)))),0)+P339,P339)),IF(TRIM($D339)="EA",IF(TRIM($E339)="M",ROUNDUP(O339*0.85,0),IF(TRIM($E339)="P",O339,P339)),P339))</f>
        <v>#VALUE!</v>
      </c>
      <c r="T339" t="str" cm="1">
        <f t="array" ref="T339">IFERROR(IF(D339="SET",_xlfn.TEXTJOIN(", ",TRUE,_xlfn._xlws.FILTER(TRANSPOSE(TRIM(_xlfn.TEXTSPLIT(N339,","))),COUNTIFS(B$3:B$650,TRANSPOSE(TRIM(_xlfn.TEXTSPLIT(N339,","))),O$3:O$650,"&lt;="&amp;$T$1))),""),"")</f>
        <v/>
      </c>
    </row>
    <row r="340" spans="1:20" ht="14.4" hidden="1" x14ac:dyDescent="0.3">
      <c r="A340" s="1" t="s">
        <v>1446</v>
      </c>
      <c r="B340" s="1" t="s">
        <v>1446</v>
      </c>
      <c r="C340" s="1" t="s">
        <v>1259</v>
      </c>
      <c r="D340" s="14" t="s">
        <v>624</v>
      </c>
      <c r="E340" s="2" t="s">
        <v>686</v>
      </c>
      <c r="F340" s="9" t="s">
        <v>1689</v>
      </c>
      <c r="H340" s="16" t="s">
        <v>1497</v>
      </c>
      <c r="I340" s="9" t="b">
        <f t="shared" si="7"/>
        <v>0</v>
      </c>
      <c r="J340" s="1" t="s">
        <v>1529</v>
      </c>
      <c r="K340" s="1" t="s">
        <v>1529</v>
      </c>
      <c r="L340" s="1" t="s">
        <v>1529</v>
      </c>
      <c r="N340" s="35"/>
      <c r="O340" s="2" t="s">
        <v>458</v>
      </c>
      <c r="P340" s="2" cm="1">
        <f t="array" ref="P340">_xlfn.XLOOKUP(TRIM(B340),TRIM('[1]wc-product-export-16-3-2026-177'!$A:$A),'[1]wc-product-export-16-3-2026-177'!$D:$D,0,0)</f>
        <v>0</v>
      </c>
      <c r="Q340" s="2" t="e" cm="1">
        <f t="array" ref="Q340">IF(TRIM($D340)="SET",IF($K340="Steak Set1",ROUNDDOWN(IFERROR(MIN(_xlfn._xlws.FILTER(O$3:O$650,ISNUMBER(MATCH(TRIM($B$3:$B$650),TRIM(_xlfn.TEXTSPLIT($N340,",")),0)))),0)/4,0)+P340,IF(IFERROR(MIN(_xlfn._xlws.FILTER(O$3:O$650,ISNUMBER(MATCH(TRIM($B$3:$B$650),TRIM(_xlfn.TEXTSPLIT($N340,",")),0)))),0)&gt;=$E$1,IFERROR(MIN(_xlfn._xlws.FILTER(O$3:O$650,ISNUMBER(MATCH(TRIM($B$3:$B$650),TRIM(_xlfn.TEXTSPLIT($N340,",")),0)))),0)+P340,P340)),IF(TRIM($D340)="EA",IF(TRIM($E340)="M",ROUNDUP(O340*0.85,0),IF(TRIM($E340)="P",O340,P340)),P340))</f>
        <v>#VALUE!</v>
      </c>
      <c r="T340" t="str" cm="1">
        <f t="array" ref="T340">IFERROR(IF(D340="SET",_xlfn.TEXTJOIN(", ",TRUE,_xlfn._xlws.FILTER(TRANSPOSE(TRIM(_xlfn.TEXTSPLIT(N340,","))),COUNTIFS(B$3:B$650,TRANSPOSE(TRIM(_xlfn.TEXTSPLIT(N340,","))),O$3:O$650,"&lt;="&amp;$T$1))),""),"")</f>
        <v/>
      </c>
    </row>
    <row r="341" spans="1:20" ht="14.4" x14ac:dyDescent="0.3">
      <c r="A341" s="1">
        <v>52807</v>
      </c>
      <c r="B341" s="56" t="s">
        <v>862</v>
      </c>
      <c r="C341" s="1" t="s">
        <v>1259</v>
      </c>
      <c r="D341" s="1" t="s">
        <v>624</v>
      </c>
      <c r="E341" s="1" t="s">
        <v>623</v>
      </c>
      <c r="F341" s="9"/>
      <c r="G341" s="9"/>
      <c r="H341" s="16" t="s">
        <v>297</v>
      </c>
      <c r="I341" s="9" t="b">
        <f t="shared" si="7"/>
        <v>0</v>
      </c>
      <c r="J341" s="1" t="s">
        <v>397</v>
      </c>
      <c r="K341" s="1" t="s">
        <v>299</v>
      </c>
      <c r="L341" s="1" t="s">
        <v>299</v>
      </c>
      <c r="M341" s="9"/>
      <c r="N341" s="35"/>
      <c r="O341" s="24">
        <v>30</v>
      </c>
      <c r="P341" s="2" cm="1">
        <f t="array" ref="P341">_xlfn.XLOOKUP(TRIM(B341),TRIM('[1]wc-product-export-16-3-2026-177'!$A:$A),'[1]wc-product-export-16-3-2026-177'!$D:$D,0,0)</f>
        <v>0</v>
      </c>
      <c r="Q341" s="2" cm="1">
        <f t="array" ref="Q341">IF(TRIM($D341)="SET",IF($K341="Steak Set1",ROUNDDOWN(IFERROR(MIN(_xlfn._xlws.FILTER(O$3:O$650,ISNUMBER(MATCH(TRIM($B$3:$B$650),TRIM(_xlfn.TEXTSPLIT($N341,",")),0)))),0)/4,0)+P341,IF(IFERROR(MIN(_xlfn._xlws.FILTER(O$3:O$650,ISNUMBER(MATCH(TRIM($B$3:$B$650),TRIM(_xlfn.TEXTSPLIT($N341,",")),0)))),0)&gt;=$E$1,IFERROR(MIN(_xlfn._xlws.FILTER(O$3:O$650,ISNUMBER(MATCH(TRIM($B$3:$B$650),TRIM(_xlfn.TEXTSPLIT($N341,",")),0)))),0)+P341,P341)),IF(TRIM($D341)="EA",IF(TRIM($E341)="M",ROUNDUP(O341*0.85,0),IF(TRIM($E341)="P",O341,P341)),P341))</f>
        <v>30</v>
      </c>
      <c r="T341" t="str" cm="1">
        <f t="array" ref="T341">IFERROR(IF(D341="SET",_xlfn.TEXTJOIN(", ",TRUE,_xlfn._xlws.FILTER(TRANSPOSE(TRIM(_xlfn.TEXTSPLIT(N341,","))),COUNTIFS(B$3:B$650,TRANSPOSE(TRIM(_xlfn.TEXTSPLIT(N341,","))),O$3:O$650,"&lt;="&amp;$T$1))),""),"")</f>
        <v/>
      </c>
    </row>
    <row r="342" spans="1:20" ht="14.4" x14ac:dyDescent="0.3">
      <c r="A342" s="1">
        <v>52808</v>
      </c>
      <c r="B342" s="56" t="s">
        <v>863</v>
      </c>
      <c r="C342" s="2" t="s">
        <v>1263</v>
      </c>
      <c r="D342" s="1" t="s">
        <v>624</v>
      </c>
      <c r="E342" s="1" t="s">
        <v>623</v>
      </c>
      <c r="F342" s="9"/>
      <c r="G342" s="9"/>
      <c r="H342" s="16" t="s">
        <v>298</v>
      </c>
      <c r="I342" s="9" t="b">
        <f t="shared" si="7"/>
        <v>0</v>
      </c>
      <c r="J342" s="1" t="s">
        <v>396</v>
      </c>
      <c r="K342" s="1" t="s">
        <v>299</v>
      </c>
      <c r="L342" s="1" t="s">
        <v>299</v>
      </c>
      <c r="M342" s="9"/>
      <c r="N342" s="35"/>
      <c r="O342" s="24">
        <v>27</v>
      </c>
      <c r="P342" s="2" cm="1">
        <f t="array" ref="P342">_xlfn.XLOOKUP(TRIM(B342),TRIM('[1]wc-product-export-16-3-2026-177'!$A:$A),'[1]wc-product-export-16-3-2026-177'!$D:$D,0,0)</f>
        <v>0</v>
      </c>
      <c r="Q342" s="2" cm="1">
        <f t="array" ref="Q342">IF(TRIM($D342)="SET",IF($K342="Steak Set1",ROUNDDOWN(IFERROR(MIN(_xlfn._xlws.FILTER(O$3:O$650,ISNUMBER(MATCH(TRIM($B$3:$B$650),TRIM(_xlfn.TEXTSPLIT($N342,",")),0)))),0)/4,0)+P342,IF(IFERROR(MIN(_xlfn._xlws.FILTER(O$3:O$650,ISNUMBER(MATCH(TRIM($B$3:$B$650),TRIM(_xlfn.TEXTSPLIT($N342,",")),0)))),0)&gt;=$E$1,IFERROR(MIN(_xlfn._xlws.FILTER(O$3:O$650,ISNUMBER(MATCH(TRIM($B$3:$B$650),TRIM(_xlfn.TEXTSPLIT($N342,",")),0)))),0)+P342,P342)),IF(TRIM($D342)="EA",IF(TRIM($E342)="M",ROUNDUP(O342*0.85,0),IF(TRIM($E342)="P",O342,P342)),P342))</f>
        <v>27</v>
      </c>
      <c r="T342" t="str" cm="1">
        <f t="array" ref="T342">IFERROR(IF(D342="SET",_xlfn.TEXTJOIN(", ",TRUE,_xlfn._xlws.FILTER(TRANSPOSE(TRIM(_xlfn.TEXTSPLIT(N342,","))),COUNTIFS(B$3:B$650,TRANSPOSE(TRIM(_xlfn.TEXTSPLIT(N342,","))),O$3:O$650,"&lt;="&amp;$T$1))),""),"")</f>
        <v/>
      </c>
    </row>
    <row r="343" spans="1:20" ht="14.4" x14ac:dyDescent="0.3">
      <c r="A343" s="1">
        <v>52818</v>
      </c>
      <c r="B343" s="56" t="s">
        <v>866</v>
      </c>
      <c r="C343" s="1" t="s">
        <v>1259</v>
      </c>
      <c r="D343" s="1" t="s">
        <v>624</v>
      </c>
      <c r="E343" s="1" t="s">
        <v>623</v>
      </c>
      <c r="F343" s="9"/>
      <c r="G343" s="9"/>
      <c r="H343" s="16" t="s">
        <v>125</v>
      </c>
      <c r="I343" s="9" t="b">
        <f t="shared" si="7"/>
        <v>0</v>
      </c>
      <c r="J343" s="1" t="s">
        <v>405</v>
      </c>
      <c r="K343" s="1" t="s">
        <v>283</v>
      </c>
      <c r="L343" s="1" t="s">
        <v>283</v>
      </c>
      <c r="M343" s="9"/>
      <c r="N343" s="35"/>
      <c r="O343" s="24">
        <v>231</v>
      </c>
      <c r="P343" s="2" cm="1">
        <f t="array" ref="P343">_xlfn.XLOOKUP(TRIM(B343),TRIM('[1]wc-product-export-16-3-2026-177'!$A:$A),'[1]wc-product-export-16-3-2026-177'!$D:$D,0,0)</f>
        <v>0</v>
      </c>
      <c r="Q343" s="2" cm="1">
        <f t="array" ref="Q343">IF(TRIM($D343)="SET",IF($K343="Steak Set1",ROUNDDOWN(IFERROR(MIN(_xlfn._xlws.FILTER(O$3:O$650,ISNUMBER(MATCH(TRIM($B$3:$B$650),TRIM(_xlfn.TEXTSPLIT($N343,",")),0)))),0)/4,0)+P343,IF(IFERROR(MIN(_xlfn._xlws.FILTER(O$3:O$650,ISNUMBER(MATCH(TRIM($B$3:$B$650),TRIM(_xlfn.TEXTSPLIT($N343,",")),0)))),0)&gt;=$E$1,IFERROR(MIN(_xlfn._xlws.FILTER(O$3:O$650,ISNUMBER(MATCH(TRIM($B$3:$B$650),TRIM(_xlfn.TEXTSPLIT($N343,",")),0)))),0)+P343,P343)),IF(TRIM($D343)="EA",IF(TRIM($E343)="M",ROUNDUP(O343*0.85,0),IF(TRIM($E343)="P",O343,P343)),P343))</f>
        <v>231</v>
      </c>
      <c r="T343" t="str" cm="1">
        <f t="array" ref="T343">IFERROR(IF(D343="SET",_xlfn.TEXTJOIN(", ",TRUE,_xlfn._xlws.FILTER(TRANSPOSE(TRIM(_xlfn.TEXTSPLIT(N343,","))),COUNTIFS(B$3:B$650,TRANSPOSE(TRIM(_xlfn.TEXTSPLIT(N343,","))),O$3:O$650,"&lt;="&amp;$T$1))),""),"")</f>
        <v/>
      </c>
    </row>
    <row r="344" spans="1:20" ht="14.4" x14ac:dyDescent="0.3">
      <c r="A344" s="1">
        <v>52865</v>
      </c>
      <c r="B344" s="55" t="s">
        <v>872</v>
      </c>
      <c r="C344" s="2" t="s">
        <v>1263</v>
      </c>
      <c r="D344" s="1" t="s">
        <v>624</v>
      </c>
      <c r="E344" s="1" t="s">
        <v>686</v>
      </c>
      <c r="F344" s="9"/>
      <c r="G344" s="9"/>
      <c r="H344" s="16" t="s">
        <v>238</v>
      </c>
      <c r="I344" s="9" t="b">
        <f t="shared" si="7"/>
        <v>1</v>
      </c>
      <c r="J344" s="1" t="s">
        <v>409</v>
      </c>
      <c r="K344" s="1" t="s">
        <v>287</v>
      </c>
      <c r="L344" s="1" t="s">
        <v>287</v>
      </c>
      <c r="M344" s="9"/>
      <c r="N344" s="35"/>
      <c r="O344" s="24">
        <v>97</v>
      </c>
      <c r="P344" s="2" cm="1">
        <f t="array" ref="P344">_xlfn.XLOOKUP(TRIM(B344),TRIM('[1]wc-product-export-16-3-2026-177'!$A:$A),'[1]wc-product-export-16-3-2026-177'!$D:$D,0,0)</f>
        <v>0</v>
      </c>
      <c r="Q344" s="2" cm="1">
        <f t="array" ref="Q344">IF(TRIM($D344)="SET",IF($K344="Steak Set1",ROUNDDOWN(IFERROR(MIN(_xlfn._xlws.FILTER(O$3:O$650,ISNUMBER(MATCH(TRIM($B$3:$B$650),TRIM(_xlfn.TEXTSPLIT($N344,",")),0)))),0)/4,0)+P344,IF(IFERROR(MIN(_xlfn._xlws.FILTER(O$3:O$650,ISNUMBER(MATCH(TRIM($B$3:$B$650),TRIM(_xlfn.TEXTSPLIT($N344,",")),0)))),0)&gt;=$E$1,IFERROR(MIN(_xlfn._xlws.FILTER(O$3:O$650,ISNUMBER(MATCH(TRIM($B$3:$B$650),TRIM(_xlfn.TEXTSPLIT($N344,",")),0)))),0)+P344,P344)),IF(TRIM($D344)="EA",IF(TRIM($E344)="M",ROUNDUP(O344*0.85,0),IF(TRIM($E344)="P",O344,P344)),P344))</f>
        <v>83</v>
      </c>
      <c r="T344" t="str" cm="1">
        <f t="array" ref="T344">IFERROR(IF(D344="SET",_xlfn.TEXTJOIN(", ",TRUE,_xlfn._xlws.FILTER(TRANSPOSE(TRIM(_xlfn.TEXTSPLIT(N344,","))),COUNTIFS(B$3:B$650,TRANSPOSE(TRIM(_xlfn.TEXTSPLIT(N344,","))),O$3:O$650,"&lt;="&amp;$T$1))),""),"")</f>
        <v/>
      </c>
    </row>
    <row r="345" spans="1:20" ht="14.4" x14ac:dyDescent="0.3">
      <c r="A345" s="1">
        <v>56201</v>
      </c>
      <c r="B345" s="55" t="s">
        <v>1383</v>
      </c>
      <c r="C345" s="2" t="s">
        <v>1263</v>
      </c>
      <c r="D345" s="1" t="s">
        <v>624</v>
      </c>
      <c r="E345" s="1" t="s">
        <v>686</v>
      </c>
      <c r="F345" s="9" t="s">
        <v>1608</v>
      </c>
      <c r="G345" s="9"/>
      <c r="H345" s="16" t="s">
        <v>1669</v>
      </c>
      <c r="I345" s="9" t="b">
        <f t="shared" si="7"/>
        <v>0</v>
      </c>
      <c r="J345" s="1" t="s">
        <v>1670</v>
      </c>
      <c r="K345" s="1" t="s">
        <v>266</v>
      </c>
      <c r="L345" s="1" t="s">
        <v>266</v>
      </c>
      <c r="M345" s="9"/>
      <c r="N345" s="35"/>
      <c r="O345" s="24">
        <v>42</v>
      </c>
      <c r="P345" s="2" cm="1">
        <f t="array" ref="P345">_xlfn.XLOOKUP(TRIM(B345),TRIM('[1]wc-product-export-16-3-2026-177'!$A:$A),'[1]wc-product-export-16-3-2026-177'!$D:$D,0,0)</f>
        <v>0</v>
      </c>
      <c r="Q345" s="2" cm="1">
        <f t="array" ref="Q345">IF(TRIM($D345)="SET",IF($K345="Steak Set1",ROUNDDOWN(IFERROR(MIN(_xlfn._xlws.FILTER(O$3:O$650,ISNUMBER(MATCH(TRIM($B$3:$B$650),TRIM(_xlfn.TEXTSPLIT($N345,",")),0)))),0)/4,0)+P345,IF(IFERROR(MIN(_xlfn._xlws.FILTER(O$3:O$650,ISNUMBER(MATCH(TRIM($B$3:$B$650),TRIM(_xlfn.TEXTSPLIT($N345,",")),0)))),0)&gt;=$E$1,IFERROR(MIN(_xlfn._xlws.FILTER(O$3:O$650,ISNUMBER(MATCH(TRIM($B$3:$B$650),TRIM(_xlfn.TEXTSPLIT($N345,",")),0)))),0)+P345,P345)),IF(TRIM($D345)="EA",IF(TRIM($E345)="M",ROUNDUP(O345*0.85,0),IF(TRIM($E345)="P",O345,P345)),P345))</f>
        <v>36</v>
      </c>
      <c r="T345" t="str" cm="1">
        <f t="array" ref="T345">IFERROR(IF(D345="SET",_xlfn.TEXTJOIN(", ",TRUE,_xlfn._xlws.FILTER(TRANSPOSE(TRIM(_xlfn.TEXTSPLIT(N345,","))),COUNTIFS(B$3:B$650,TRANSPOSE(TRIM(_xlfn.TEXTSPLIT(N345,","))),O$3:O$650,"&lt;="&amp;$T$1))),""),"")</f>
        <v/>
      </c>
    </row>
    <row r="346" spans="1:20" ht="14.4" x14ac:dyDescent="0.3">
      <c r="A346" s="1">
        <v>56202</v>
      </c>
      <c r="B346" s="55" t="s">
        <v>1384</v>
      </c>
      <c r="C346" s="2" t="s">
        <v>1263</v>
      </c>
      <c r="D346" s="1" t="s">
        <v>624</v>
      </c>
      <c r="E346" s="1" t="s">
        <v>686</v>
      </c>
      <c r="F346" s="9" t="s">
        <v>1608</v>
      </c>
      <c r="G346" s="9"/>
      <c r="H346" s="16" t="s">
        <v>1638</v>
      </c>
      <c r="I346" s="9" t="b">
        <f t="shared" si="7"/>
        <v>0</v>
      </c>
      <c r="J346" s="1" t="s">
        <v>1670</v>
      </c>
      <c r="K346" s="1" t="s">
        <v>1293</v>
      </c>
      <c r="L346" s="1" t="s">
        <v>1728</v>
      </c>
      <c r="M346" s="9"/>
      <c r="N346" s="35"/>
      <c r="O346" s="24">
        <v>7</v>
      </c>
      <c r="P346" s="2" cm="1">
        <f t="array" ref="P346">_xlfn.XLOOKUP(TRIM(B346),TRIM('[1]wc-product-export-16-3-2026-177'!$A:$A),'[1]wc-product-export-16-3-2026-177'!$D:$D,0,0)</f>
        <v>0</v>
      </c>
      <c r="Q346" s="2" cm="1">
        <f t="array" ref="Q346">IF(TRIM($D346)="SET",IF($K346="Steak Set1",ROUNDDOWN(IFERROR(MIN(_xlfn._xlws.FILTER(O$3:O$650,ISNUMBER(MATCH(TRIM($B$3:$B$650),TRIM(_xlfn.TEXTSPLIT($N346,",")),0)))),0)/4,0)+P346,IF(IFERROR(MIN(_xlfn._xlws.FILTER(O$3:O$650,ISNUMBER(MATCH(TRIM($B$3:$B$650),TRIM(_xlfn.TEXTSPLIT($N346,",")),0)))),0)&gt;=$E$1,IFERROR(MIN(_xlfn._xlws.FILTER(O$3:O$650,ISNUMBER(MATCH(TRIM($B$3:$B$650),TRIM(_xlfn.TEXTSPLIT($N346,",")),0)))),0)+P346,P346)),IF(TRIM($D346)="EA",IF(TRIM($E346)="M",ROUNDUP(O346*0.85,0),IF(TRIM($E346)="P",O346,P346)),P346))</f>
        <v>6</v>
      </c>
      <c r="T346" t="str" cm="1">
        <f t="array" ref="T346">IFERROR(IF(D346="SET",_xlfn.TEXTJOIN(", ",TRUE,_xlfn._xlws.FILTER(TRANSPOSE(TRIM(_xlfn.TEXTSPLIT(N346,","))),COUNTIFS(B$3:B$650,TRANSPOSE(TRIM(_xlfn.TEXTSPLIT(N346,","))),O$3:O$650,"&lt;="&amp;$T$1))),""),"")</f>
        <v/>
      </c>
    </row>
    <row r="347" spans="1:20" ht="14.4" x14ac:dyDescent="0.3">
      <c r="A347" s="1">
        <v>56203</v>
      </c>
      <c r="B347" s="55" t="s">
        <v>1385</v>
      </c>
      <c r="C347" s="2" t="s">
        <v>1263</v>
      </c>
      <c r="D347" s="1" t="s">
        <v>624</v>
      </c>
      <c r="E347" s="1" t="s">
        <v>686</v>
      </c>
      <c r="F347" s="9" t="s">
        <v>1608</v>
      </c>
      <c r="G347" s="9"/>
      <c r="H347" s="16" t="s">
        <v>1668</v>
      </c>
      <c r="I347" s="9" t="b">
        <f t="shared" si="7"/>
        <v>0</v>
      </c>
      <c r="J347" s="1" t="s">
        <v>1670</v>
      </c>
      <c r="K347" s="1" t="s">
        <v>1293</v>
      </c>
      <c r="L347" s="1" t="s">
        <v>1727</v>
      </c>
      <c r="M347" s="9"/>
      <c r="N347" s="35"/>
      <c r="O347" s="24">
        <v>1</v>
      </c>
      <c r="P347" s="2" cm="1">
        <f t="array" ref="P347">_xlfn.XLOOKUP(TRIM(B347),TRIM('[1]wc-product-export-16-3-2026-177'!$A:$A),'[1]wc-product-export-16-3-2026-177'!$D:$D,0,0)</f>
        <v>0</v>
      </c>
      <c r="Q347" s="2" cm="1">
        <f t="array" ref="Q347">IF(TRIM($D347)="SET",IF($K347="Steak Set1",ROUNDDOWN(IFERROR(MIN(_xlfn._xlws.FILTER(O$3:O$650,ISNUMBER(MATCH(TRIM($B$3:$B$650),TRIM(_xlfn.TEXTSPLIT($N347,",")),0)))),0)/4,0)+P347,IF(IFERROR(MIN(_xlfn._xlws.FILTER(O$3:O$650,ISNUMBER(MATCH(TRIM($B$3:$B$650),TRIM(_xlfn.TEXTSPLIT($N347,",")),0)))),0)&gt;=$E$1,IFERROR(MIN(_xlfn._xlws.FILTER(O$3:O$650,ISNUMBER(MATCH(TRIM($B$3:$B$650),TRIM(_xlfn.TEXTSPLIT($N347,",")),0)))),0)+P347,P347)),IF(TRIM($D347)="EA",IF(TRIM($E347)="M",ROUNDUP(O347*0.85,0),IF(TRIM($E347)="P",O347,P347)),P347))</f>
        <v>1</v>
      </c>
      <c r="T347" t="str" cm="1">
        <f t="array" ref="T347">IFERROR(IF(D347="SET",_xlfn.TEXTJOIN(", ",TRUE,_xlfn._xlws.FILTER(TRANSPOSE(TRIM(_xlfn.TEXTSPLIT(N347,","))),COUNTIFS(B$3:B$650,TRANSPOSE(TRIM(_xlfn.TEXTSPLIT(N347,","))),O$3:O$650,"&lt;="&amp;$T$1))),""),"")</f>
        <v/>
      </c>
    </row>
    <row r="348" spans="1:20" ht="14.4" x14ac:dyDescent="0.3">
      <c r="A348" s="1">
        <v>56204</v>
      </c>
      <c r="B348" s="56" t="s">
        <v>1386</v>
      </c>
      <c r="C348" s="2" t="s">
        <v>1263</v>
      </c>
      <c r="D348" s="1" t="s">
        <v>624</v>
      </c>
      <c r="E348" s="1" t="s">
        <v>686</v>
      </c>
      <c r="F348" s="9" t="s">
        <v>1608</v>
      </c>
      <c r="G348" s="9"/>
      <c r="H348" s="16" t="s">
        <v>1660</v>
      </c>
      <c r="I348" s="9" t="b">
        <f t="shared" si="7"/>
        <v>0</v>
      </c>
      <c r="J348" s="1" t="s">
        <v>1670</v>
      </c>
      <c r="K348" s="1" t="s">
        <v>271</v>
      </c>
      <c r="L348" s="1" t="s">
        <v>271</v>
      </c>
      <c r="M348" s="9"/>
      <c r="N348" s="35"/>
      <c r="O348" s="24">
        <v>40</v>
      </c>
      <c r="P348" s="2" cm="1">
        <f t="array" ref="P348">_xlfn.XLOOKUP(TRIM(B348),TRIM('[1]wc-product-export-16-3-2026-177'!$A:$A),'[1]wc-product-export-16-3-2026-177'!$D:$D,0,0)</f>
        <v>0</v>
      </c>
      <c r="Q348" s="2" cm="1">
        <f t="array" ref="Q348">IF(TRIM($D348)="SET",IF($K348="Steak Set1",ROUNDDOWN(IFERROR(MIN(_xlfn._xlws.FILTER(O$3:O$650,ISNUMBER(MATCH(TRIM($B$3:$B$650),TRIM(_xlfn.TEXTSPLIT($N348,",")),0)))),0)/4,0)+P348,IF(IFERROR(MIN(_xlfn._xlws.FILTER(O$3:O$650,ISNUMBER(MATCH(TRIM($B$3:$B$650),TRIM(_xlfn.TEXTSPLIT($N348,",")),0)))),0)&gt;=$E$1,IFERROR(MIN(_xlfn._xlws.FILTER(O$3:O$650,ISNUMBER(MATCH(TRIM($B$3:$B$650),TRIM(_xlfn.TEXTSPLIT($N348,",")),0)))),0)+P348,P348)),IF(TRIM($D348)="EA",IF(TRIM($E348)="M",ROUNDUP(O348*0.85,0),IF(TRIM($E348)="P",O348,P348)),P348))</f>
        <v>34</v>
      </c>
      <c r="T348" t="str" cm="1">
        <f t="array" ref="T348">IFERROR(IF(D348="SET",_xlfn.TEXTJOIN(", ",TRUE,_xlfn._xlws.FILTER(TRANSPOSE(TRIM(_xlfn.TEXTSPLIT(N348,","))),COUNTIFS(B$3:B$650,TRANSPOSE(TRIM(_xlfn.TEXTSPLIT(N348,","))),O$3:O$650,"&lt;="&amp;$T$1))),""),"")</f>
        <v/>
      </c>
    </row>
    <row r="349" spans="1:20" ht="14.4" x14ac:dyDescent="0.3">
      <c r="A349" s="1">
        <v>56207</v>
      </c>
      <c r="B349" s="55" t="s">
        <v>1387</v>
      </c>
      <c r="C349" s="2" t="s">
        <v>1263</v>
      </c>
      <c r="D349" s="1" t="s">
        <v>624</v>
      </c>
      <c r="E349" s="1" t="s">
        <v>686</v>
      </c>
      <c r="F349" s="9" t="s">
        <v>1608</v>
      </c>
      <c r="G349" s="9"/>
      <c r="H349" s="16" t="s">
        <v>1661</v>
      </c>
      <c r="I349" s="9" t="b">
        <f t="shared" si="7"/>
        <v>0</v>
      </c>
      <c r="J349" s="1" t="s">
        <v>1670</v>
      </c>
      <c r="K349" s="1" t="s">
        <v>270</v>
      </c>
      <c r="L349" s="1" t="s">
        <v>270</v>
      </c>
      <c r="M349" s="9"/>
      <c r="N349" s="35"/>
      <c r="O349" s="24">
        <v>26</v>
      </c>
      <c r="P349" s="2" cm="1">
        <f t="array" ref="P349">_xlfn.XLOOKUP(TRIM(B349),TRIM('[1]wc-product-export-16-3-2026-177'!$A:$A),'[1]wc-product-export-16-3-2026-177'!$D:$D,0,0)</f>
        <v>0</v>
      </c>
      <c r="Q349" s="2" cm="1">
        <f t="array" ref="Q349">IF(TRIM($D349)="SET",IF($K349="Steak Set1",ROUNDDOWN(IFERROR(MIN(_xlfn._xlws.FILTER(O$3:O$650,ISNUMBER(MATCH(TRIM($B$3:$B$650),TRIM(_xlfn.TEXTSPLIT($N349,",")),0)))),0)/4,0)+P349,IF(IFERROR(MIN(_xlfn._xlws.FILTER(O$3:O$650,ISNUMBER(MATCH(TRIM($B$3:$B$650),TRIM(_xlfn.TEXTSPLIT($N349,",")),0)))),0)&gt;=$E$1,IFERROR(MIN(_xlfn._xlws.FILTER(O$3:O$650,ISNUMBER(MATCH(TRIM($B$3:$B$650),TRIM(_xlfn.TEXTSPLIT($N349,",")),0)))),0)+P349,P349)),IF(TRIM($D349)="EA",IF(TRIM($E349)="M",ROUNDUP(O349*0.85,0),IF(TRIM($E349)="P",O349,P349)),P349))</f>
        <v>23</v>
      </c>
      <c r="T349" t="str" cm="1">
        <f t="array" ref="T349">IFERROR(IF(D349="SET",_xlfn.TEXTJOIN(", ",TRUE,_xlfn._xlws.FILTER(TRANSPOSE(TRIM(_xlfn.TEXTSPLIT(N349,","))),COUNTIFS(B$3:B$650,TRANSPOSE(TRIM(_xlfn.TEXTSPLIT(N349,","))),O$3:O$650,"&lt;="&amp;$T$1))),""),"")</f>
        <v/>
      </c>
    </row>
    <row r="350" spans="1:20" ht="14.4" x14ac:dyDescent="0.3">
      <c r="A350" s="1">
        <v>56209</v>
      </c>
      <c r="B350" s="55" t="s">
        <v>1388</v>
      </c>
      <c r="C350" s="2" t="s">
        <v>1263</v>
      </c>
      <c r="D350" s="1" t="s">
        <v>624</v>
      </c>
      <c r="E350" s="1" t="s">
        <v>686</v>
      </c>
      <c r="F350" s="9" t="s">
        <v>1608</v>
      </c>
      <c r="G350" s="9"/>
      <c r="H350" s="16" t="s">
        <v>1645</v>
      </c>
      <c r="I350" s="9" t="b">
        <f t="shared" si="7"/>
        <v>0</v>
      </c>
      <c r="J350" s="1" t="s">
        <v>1670</v>
      </c>
      <c r="K350" s="1" t="s">
        <v>1298</v>
      </c>
      <c r="L350" s="1" t="s">
        <v>1729</v>
      </c>
      <c r="M350" s="9"/>
      <c r="N350" s="35"/>
      <c r="O350" s="24">
        <v>26</v>
      </c>
      <c r="P350" s="2" cm="1">
        <f t="array" ref="P350">_xlfn.XLOOKUP(TRIM(B350),TRIM('[1]wc-product-export-16-3-2026-177'!$A:$A),'[1]wc-product-export-16-3-2026-177'!$D:$D,0,0)</f>
        <v>0</v>
      </c>
      <c r="Q350" s="2" cm="1">
        <f t="array" ref="Q350">IF(TRIM($D350)="SET",IF($K350="Steak Set1",ROUNDDOWN(IFERROR(MIN(_xlfn._xlws.FILTER(O$3:O$650,ISNUMBER(MATCH(TRIM($B$3:$B$650),TRIM(_xlfn.TEXTSPLIT($N350,",")),0)))),0)/4,0)+P350,IF(IFERROR(MIN(_xlfn._xlws.FILTER(O$3:O$650,ISNUMBER(MATCH(TRIM($B$3:$B$650),TRIM(_xlfn.TEXTSPLIT($N350,",")),0)))),0)&gt;=$E$1,IFERROR(MIN(_xlfn._xlws.FILTER(O$3:O$650,ISNUMBER(MATCH(TRIM($B$3:$B$650),TRIM(_xlfn.TEXTSPLIT($N350,",")),0)))),0)+P350,P350)),IF(TRIM($D350)="EA",IF(TRIM($E350)="M",ROUNDUP(O350*0.85,0),IF(TRIM($E350)="P",O350,P350)),P350))</f>
        <v>23</v>
      </c>
      <c r="T350" t="str" cm="1">
        <f t="array" ref="T350">IFERROR(IF(D350="SET",_xlfn.TEXTJOIN(", ",TRUE,_xlfn._xlws.FILTER(TRANSPOSE(TRIM(_xlfn.TEXTSPLIT(N350,","))),COUNTIFS(B$3:B$650,TRANSPOSE(TRIM(_xlfn.TEXTSPLIT(N350,","))),O$3:O$650,"&lt;="&amp;$T$1))),""),"")</f>
        <v/>
      </c>
    </row>
    <row r="351" spans="1:20" ht="14.4" x14ac:dyDescent="0.3">
      <c r="A351" s="1">
        <v>56210</v>
      </c>
      <c r="B351" s="55" t="s">
        <v>1389</v>
      </c>
      <c r="C351" s="2" t="s">
        <v>1263</v>
      </c>
      <c r="D351" s="1" t="s">
        <v>624</v>
      </c>
      <c r="E351" s="1" t="s">
        <v>686</v>
      </c>
      <c r="F351" s="9" t="s">
        <v>1608</v>
      </c>
      <c r="G351" s="9"/>
      <c r="H351" s="16" t="s">
        <v>1658</v>
      </c>
      <c r="I351" s="9" t="b">
        <f t="shared" si="7"/>
        <v>0</v>
      </c>
      <c r="J351" s="1" t="s">
        <v>1670</v>
      </c>
      <c r="K351" s="1" t="s">
        <v>275</v>
      </c>
      <c r="L351" s="1" t="s">
        <v>1732</v>
      </c>
      <c r="M351" s="9"/>
      <c r="N351" s="35"/>
      <c r="O351" s="24">
        <v>29</v>
      </c>
      <c r="P351" s="2" cm="1">
        <f t="array" ref="P351">_xlfn.XLOOKUP(TRIM(B351),TRIM('[1]wc-product-export-16-3-2026-177'!$A:$A),'[1]wc-product-export-16-3-2026-177'!$D:$D,0,0)</f>
        <v>0</v>
      </c>
      <c r="Q351" s="2" cm="1">
        <f t="array" ref="Q351">IF(TRIM($D351)="SET",IF($K351="Steak Set1",ROUNDDOWN(IFERROR(MIN(_xlfn._xlws.FILTER(O$3:O$650,ISNUMBER(MATCH(TRIM($B$3:$B$650),TRIM(_xlfn.TEXTSPLIT($N351,",")),0)))),0)/4,0)+P351,IF(IFERROR(MIN(_xlfn._xlws.FILTER(O$3:O$650,ISNUMBER(MATCH(TRIM($B$3:$B$650),TRIM(_xlfn.TEXTSPLIT($N351,",")),0)))),0)&gt;=$E$1,IFERROR(MIN(_xlfn._xlws.FILTER(O$3:O$650,ISNUMBER(MATCH(TRIM($B$3:$B$650),TRIM(_xlfn.TEXTSPLIT($N351,",")),0)))),0)+P351,P351)),IF(TRIM($D351)="EA",IF(TRIM($E351)="M",ROUNDUP(O351*0.85,0),IF(TRIM($E351)="P",O351,P351)),P351))</f>
        <v>25</v>
      </c>
      <c r="T351" t="str" cm="1">
        <f t="array" ref="T351">IFERROR(IF(D351="SET",_xlfn.TEXTJOIN(", ",TRUE,_xlfn._xlws.FILTER(TRANSPOSE(TRIM(_xlfn.TEXTSPLIT(N351,","))),COUNTIFS(B$3:B$650,TRANSPOSE(TRIM(_xlfn.TEXTSPLIT(N351,","))),O$3:O$650,"&lt;="&amp;$T$1))),""),"")</f>
        <v/>
      </c>
    </row>
    <row r="352" spans="1:20" ht="14.4" x14ac:dyDescent="0.3">
      <c r="A352" s="1">
        <v>56212</v>
      </c>
      <c r="B352" s="55" t="s">
        <v>1390</v>
      </c>
      <c r="C352" s="2" t="s">
        <v>1263</v>
      </c>
      <c r="D352" s="1" t="s">
        <v>624</v>
      </c>
      <c r="E352" s="1" t="s">
        <v>686</v>
      </c>
      <c r="F352" s="9" t="s">
        <v>1608</v>
      </c>
      <c r="G352" s="9"/>
      <c r="H352" s="16" t="s">
        <v>1663</v>
      </c>
      <c r="I352" s="9" t="b">
        <f t="shared" si="7"/>
        <v>0</v>
      </c>
      <c r="J352" s="1" t="s">
        <v>1670</v>
      </c>
      <c r="K352" s="1" t="s">
        <v>1294</v>
      </c>
      <c r="L352" s="1" t="s">
        <v>1294</v>
      </c>
      <c r="M352" s="9"/>
      <c r="N352" s="35"/>
      <c r="O352" s="24">
        <v>8</v>
      </c>
      <c r="P352" s="2" cm="1">
        <f t="array" ref="P352">_xlfn.XLOOKUP(TRIM(B352),TRIM('[1]wc-product-export-16-3-2026-177'!$A:$A),'[1]wc-product-export-16-3-2026-177'!$D:$D,0,0)</f>
        <v>0</v>
      </c>
      <c r="Q352" s="2" cm="1">
        <f t="array" ref="Q352">IF(TRIM($D352)="SET",IF($K352="Steak Set1",ROUNDDOWN(IFERROR(MIN(_xlfn._xlws.FILTER(O$3:O$650,ISNUMBER(MATCH(TRIM($B$3:$B$650),TRIM(_xlfn.TEXTSPLIT($N352,",")),0)))),0)/4,0)+P352,IF(IFERROR(MIN(_xlfn._xlws.FILTER(O$3:O$650,ISNUMBER(MATCH(TRIM($B$3:$B$650),TRIM(_xlfn.TEXTSPLIT($N352,",")),0)))),0)&gt;=$E$1,IFERROR(MIN(_xlfn._xlws.FILTER(O$3:O$650,ISNUMBER(MATCH(TRIM($B$3:$B$650),TRIM(_xlfn.TEXTSPLIT($N352,",")),0)))),0)+P352,P352)),IF(TRIM($D352)="EA",IF(TRIM($E352)="M",ROUNDUP(O352*0.85,0),IF(TRIM($E352)="P",O352,P352)),P352))</f>
        <v>7</v>
      </c>
      <c r="T352" t="str" cm="1">
        <f t="array" ref="T352">IFERROR(IF(D352="SET",_xlfn.TEXTJOIN(", ",TRUE,_xlfn._xlws.FILTER(TRANSPOSE(TRIM(_xlfn.TEXTSPLIT(N352,","))),COUNTIFS(B$3:B$650,TRANSPOSE(TRIM(_xlfn.TEXTSPLIT(N352,","))),O$3:O$650,"&lt;="&amp;$T$1))),""),"")</f>
        <v/>
      </c>
    </row>
    <row r="353" spans="1:20" ht="14.4" x14ac:dyDescent="0.3">
      <c r="A353" s="1">
        <v>56213</v>
      </c>
      <c r="B353" s="55" t="s">
        <v>1391</v>
      </c>
      <c r="C353" s="2" t="s">
        <v>1263</v>
      </c>
      <c r="D353" s="1" t="s">
        <v>624</v>
      </c>
      <c r="E353" s="1" t="s">
        <v>686</v>
      </c>
      <c r="F353" s="9" t="s">
        <v>1608</v>
      </c>
      <c r="G353" s="9"/>
      <c r="H353" s="16" t="s">
        <v>1664</v>
      </c>
      <c r="I353" s="9" t="b">
        <f t="shared" si="7"/>
        <v>0</v>
      </c>
      <c r="J353" s="1" t="s">
        <v>1670</v>
      </c>
      <c r="K353" s="1" t="s">
        <v>272</v>
      </c>
      <c r="L353" s="1" t="s">
        <v>272</v>
      </c>
      <c r="M353" s="9"/>
      <c r="N353" s="35"/>
      <c r="O353" s="24">
        <v>38</v>
      </c>
      <c r="P353" s="2" cm="1">
        <f t="array" ref="P353">_xlfn.XLOOKUP(TRIM(B353),TRIM('[1]wc-product-export-16-3-2026-177'!$A:$A),'[1]wc-product-export-16-3-2026-177'!$D:$D,0,0)</f>
        <v>0</v>
      </c>
      <c r="Q353" s="2" cm="1">
        <f t="array" ref="Q353">IF(TRIM($D353)="SET",IF($K353="Steak Set1",ROUNDDOWN(IFERROR(MIN(_xlfn._xlws.FILTER(O$3:O$650,ISNUMBER(MATCH(TRIM($B$3:$B$650),TRIM(_xlfn.TEXTSPLIT($N353,",")),0)))),0)/4,0)+P353,IF(IFERROR(MIN(_xlfn._xlws.FILTER(O$3:O$650,ISNUMBER(MATCH(TRIM($B$3:$B$650),TRIM(_xlfn.TEXTSPLIT($N353,",")),0)))),0)&gt;=$E$1,IFERROR(MIN(_xlfn._xlws.FILTER(O$3:O$650,ISNUMBER(MATCH(TRIM($B$3:$B$650),TRIM(_xlfn.TEXTSPLIT($N353,",")),0)))),0)+P353,P353)),IF(TRIM($D353)="EA",IF(TRIM($E353)="M",ROUNDUP(O353*0.85,0),IF(TRIM($E353)="P",O353,P353)),P353))</f>
        <v>33</v>
      </c>
      <c r="T353" t="str" cm="1">
        <f t="array" ref="T353">IFERROR(IF(D353="SET",_xlfn.TEXTJOIN(", ",TRUE,_xlfn._xlws.FILTER(TRANSPOSE(TRIM(_xlfn.TEXTSPLIT(N353,","))),COUNTIFS(B$3:B$650,TRANSPOSE(TRIM(_xlfn.TEXTSPLIT(N353,","))),O$3:O$650,"&lt;="&amp;$T$1))),""),"")</f>
        <v/>
      </c>
    </row>
    <row r="354" spans="1:20" ht="14.4" x14ac:dyDescent="0.3">
      <c r="A354" s="1">
        <v>56223</v>
      </c>
      <c r="B354" s="56" t="s">
        <v>1392</v>
      </c>
      <c r="C354" s="2" t="s">
        <v>1263</v>
      </c>
      <c r="D354" s="1" t="s">
        <v>624</v>
      </c>
      <c r="E354" s="1" t="s">
        <v>686</v>
      </c>
      <c r="F354" s="9" t="s">
        <v>1608</v>
      </c>
      <c r="G354" s="9"/>
      <c r="H354" s="16" t="s">
        <v>1646</v>
      </c>
      <c r="I354" s="9" t="b">
        <f t="shared" si="7"/>
        <v>0</v>
      </c>
      <c r="J354" s="1" t="s">
        <v>1670</v>
      </c>
      <c r="K354" s="1" t="s">
        <v>1298</v>
      </c>
      <c r="L354" s="1" t="s">
        <v>1729</v>
      </c>
      <c r="M354" s="9"/>
      <c r="N354" s="35"/>
      <c r="O354" s="24">
        <v>35</v>
      </c>
      <c r="P354" s="2" cm="1">
        <f t="array" ref="P354">_xlfn.XLOOKUP(TRIM(B354),TRIM('[1]wc-product-export-16-3-2026-177'!$A:$A),'[1]wc-product-export-16-3-2026-177'!$D:$D,0,0)</f>
        <v>0</v>
      </c>
      <c r="Q354" s="2" cm="1">
        <f t="array" ref="Q354">IF(TRIM($D354)="SET",IF($K354="Steak Set1",ROUNDDOWN(IFERROR(MIN(_xlfn._xlws.FILTER(O$3:O$650,ISNUMBER(MATCH(TRIM($B$3:$B$650),TRIM(_xlfn.TEXTSPLIT($N354,",")),0)))),0)/4,0)+P354,IF(IFERROR(MIN(_xlfn._xlws.FILTER(O$3:O$650,ISNUMBER(MATCH(TRIM($B$3:$B$650),TRIM(_xlfn.TEXTSPLIT($N354,",")),0)))),0)&gt;=$E$1,IFERROR(MIN(_xlfn._xlws.FILTER(O$3:O$650,ISNUMBER(MATCH(TRIM($B$3:$B$650),TRIM(_xlfn.TEXTSPLIT($N354,",")),0)))),0)+P354,P354)),IF(TRIM($D354)="EA",IF(TRIM($E354)="M",ROUNDUP(O354*0.85,0),IF(TRIM($E354)="P",O354,P354)),P354))</f>
        <v>30</v>
      </c>
      <c r="T354" t="str" cm="1">
        <f t="array" ref="T354">IFERROR(IF(D354="SET",_xlfn.TEXTJOIN(", ",TRUE,_xlfn._xlws.FILTER(TRANSPOSE(TRIM(_xlfn.TEXTSPLIT(N354,","))),COUNTIFS(B$3:B$650,TRANSPOSE(TRIM(_xlfn.TEXTSPLIT(N354,","))),O$3:O$650,"&lt;="&amp;$T$1))),""),"")</f>
        <v/>
      </c>
    </row>
    <row r="355" spans="1:20" ht="14.4" x14ac:dyDescent="0.3">
      <c r="A355" s="1">
        <v>56224</v>
      </c>
      <c r="B355" s="55">
        <v>56224</v>
      </c>
      <c r="C355" s="2" t="s">
        <v>1263</v>
      </c>
      <c r="D355" s="1" t="s">
        <v>628</v>
      </c>
      <c r="E355" s="1" t="s">
        <v>686</v>
      </c>
      <c r="F355" s="9" t="s">
        <v>1608</v>
      </c>
      <c r="H355" s="16" t="s">
        <v>1649</v>
      </c>
      <c r="I355" s="9" t="b">
        <f t="shared" si="7"/>
        <v>0</v>
      </c>
      <c r="J355" s="1" t="s">
        <v>1670</v>
      </c>
      <c r="K355" s="1" t="s">
        <v>1715</v>
      </c>
      <c r="L355" s="1" t="s">
        <v>1715</v>
      </c>
      <c r="N355" s="35" t="s">
        <v>1616</v>
      </c>
      <c r="O355" s="24">
        <v>25</v>
      </c>
      <c r="P355" s="2" cm="1">
        <f t="array" ref="P355">_xlfn.XLOOKUP(TRIM(B355),TRIM('[1]wc-product-export-16-3-2026-177'!$A:$A),'[1]wc-product-export-16-3-2026-177'!$D:$D,0,0)</f>
        <v>0</v>
      </c>
      <c r="Q355" s="2" cm="1">
        <f t="array" ref="Q355">IF(TRIM($D355)="SET",IF($K355="Steak Set1",ROUNDDOWN(IFERROR(MIN(_xlfn._xlws.FILTER(O$3:O$650,ISNUMBER(MATCH(TRIM($B$3:$B$650),TRIM(_xlfn.TEXTSPLIT($N355,",")),0)))),0)/4,0)+P355,IF(IFERROR(MIN(_xlfn._xlws.FILTER(O$3:O$650,ISNUMBER(MATCH(TRIM($B$3:$B$650),TRIM(_xlfn.TEXTSPLIT($N355,",")),0)))),0)&gt;=$E$1,IFERROR(MIN(_xlfn._xlws.FILTER(O$3:O$650,ISNUMBER(MATCH(TRIM($B$3:$B$650),TRIM(_xlfn.TEXTSPLIT($N355,",")),0)))),0)+P355,P355)),IF(TRIM($D355)="EA",IF(TRIM($E355)="M",ROUNDUP(O355*0.85,0),IF(TRIM($E355)="P",O355,P355)),P355))</f>
        <v>29</v>
      </c>
      <c r="T355" t="str" cm="1">
        <f t="array" ref="T355">IFERROR(IF(D355="SET",_xlfn.TEXTJOIN(", ",TRUE,_xlfn._xlws.FILTER(TRANSPOSE(TRIM(_xlfn.TEXTSPLIT(N355,","))),COUNTIFS(B$3:B$650,TRANSPOSE(TRIM(_xlfn.TEXTSPLIT(N355,","))),O$3:O$650,"&lt;="&amp;$T$1))),""),"")</f>
        <v/>
      </c>
    </row>
    <row r="356" spans="1:20" ht="14.4" x14ac:dyDescent="0.3">
      <c r="A356" s="1">
        <v>56225</v>
      </c>
      <c r="B356" s="55">
        <v>56225</v>
      </c>
      <c r="C356" s="2" t="s">
        <v>1263</v>
      </c>
      <c r="D356" s="1" t="s">
        <v>628</v>
      </c>
      <c r="E356" s="1" t="s">
        <v>686</v>
      </c>
      <c r="F356" s="9" t="s">
        <v>1608</v>
      </c>
      <c r="H356" s="16" t="s">
        <v>1650</v>
      </c>
      <c r="I356" s="9" t="b">
        <f t="shared" si="7"/>
        <v>0</v>
      </c>
      <c r="J356" s="1" t="s">
        <v>1670</v>
      </c>
      <c r="K356" s="1" t="s">
        <v>1716</v>
      </c>
      <c r="L356" s="1" t="s">
        <v>1716</v>
      </c>
      <c r="N356" s="35" t="s">
        <v>1617</v>
      </c>
      <c r="O356" s="24">
        <v>8</v>
      </c>
      <c r="P356" s="2" cm="1">
        <f t="array" ref="P356">_xlfn.XLOOKUP(TRIM(B356),TRIM('[1]wc-product-export-16-3-2026-177'!$A:$A),'[1]wc-product-export-16-3-2026-177'!$D:$D,0,0)</f>
        <v>0</v>
      </c>
      <c r="Q356" s="2" cm="1">
        <f t="array" ref="Q356">IF(TRIM($D356)="SET",IF($K356="Steak Set1",ROUNDDOWN(IFERROR(MIN(_xlfn._xlws.FILTER(O$3:O$650,ISNUMBER(MATCH(TRIM($B$3:$B$650),TRIM(_xlfn.TEXTSPLIT($N356,",")),0)))),0)/4,0)+P356,IF(IFERROR(MIN(_xlfn._xlws.FILTER(O$3:O$650,ISNUMBER(MATCH(TRIM($B$3:$B$650),TRIM(_xlfn.TEXTSPLIT($N356,",")),0)))),0)&gt;=$E$1,IFERROR(MIN(_xlfn._xlws.FILTER(O$3:O$650,ISNUMBER(MATCH(TRIM($B$3:$B$650),TRIM(_xlfn.TEXTSPLIT($N356,",")),0)))),0)+P356,P356)),IF(TRIM($D356)="EA",IF(TRIM($E356)="M",ROUNDUP(O356*0.85,0),IF(TRIM($E356)="P",O356,P356)),P356))</f>
        <v>8</v>
      </c>
      <c r="T356" t="str" cm="1">
        <f t="array" ref="T356">IFERROR(IF(D356="SET",_xlfn.TEXTJOIN(", ",TRUE,_xlfn._xlws.FILTER(TRANSPOSE(TRIM(_xlfn.TEXTSPLIT(N356,","))),COUNTIFS(B$3:B$650,TRANSPOSE(TRIM(_xlfn.TEXTSPLIT(N356,","))),O$3:O$650,"&lt;="&amp;$T$1))),""),"")</f>
        <v/>
      </c>
    </row>
    <row r="357" spans="1:20" ht="24" x14ac:dyDescent="0.3">
      <c r="A357" s="1">
        <v>56226</v>
      </c>
      <c r="B357" s="55">
        <v>56226</v>
      </c>
      <c r="C357" s="2" t="s">
        <v>1263</v>
      </c>
      <c r="D357" s="1" t="s">
        <v>628</v>
      </c>
      <c r="E357" s="1" t="s">
        <v>686</v>
      </c>
      <c r="F357" s="9" t="s">
        <v>1608</v>
      </c>
      <c r="H357" s="16" t="s">
        <v>1632</v>
      </c>
      <c r="I357" s="9" t="b">
        <f t="shared" si="7"/>
        <v>0</v>
      </c>
      <c r="J357" s="1" t="s">
        <v>1670</v>
      </c>
      <c r="K357" s="1" t="s">
        <v>1713</v>
      </c>
      <c r="L357" s="1" t="s">
        <v>1720</v>
      </c>
      <c r="M357" s="9">
        <v>1</v>
      </c>
      <c r="N357" s="35" t="s">
        <v>1749</v>
      </c>
      <c r="O357" s="24">
        <v>0</v>
      </c>
      <c r="P357" s="2" cm="1">
        <f t="array" ref="P357">_xlfn.XLOOKUP(TRIM(B357),TRIM('[1]wc-product-export-16-3-2026-177'!$A:$A),'[1]wc-product-export-16-3-2026-177'!$D:$D,0,0)</f>
        <v>0</v>
      </c>
      <c r="Q357" s="66" cm="1">
        <f t="array" ref="Q357">_xlfn.LET(_xlpm.items,TRIM(_xlfn.TEXTSPLIT($N357,",")),_xlpm.codes,TRIM($B$3:$B$650),_xlpm.qty,O$3:O$650,_xlpm.setMask,ISNUMBER(MATCH(_xlpm.codes,_xlpm.items,0)),_xlpm.knifeType,IF(ISNUMBER(SEARCH("fine",$H357)),"03",IF(ISNUMBER(SEARCH("serr",$H357)),"02","")),_xlpm.knifeStock,IFERROR(MIN(IF(_xlpm.setMask*(RIGHT(_xlpm.codes,2)=_xlpm.knifeType),_xlpm.qty)),0),_xlpm.otherStock,IFERROR(MIN(IF(_xlpm.setMask*(RIGHT(_xlpm.codes,2)&lt;&gt;_xlpm.knifeType),_xlpm.qty)),0),IF(_xlpm.knifeStock&gt;=8,MIN(ROUNDDOWN(_xlpm.knifeStock/8,0),_xlpm.otherStock),0)+P357)</f>
        <v>0</v>
      </c>
      <c r="T357" t="str" cm="1">
        <f t="array" ref="T357">IFERROR(IF(D357="SET",_xlfn.TEXTJOIN(", ",TRUE,_xlfn._xlws.FILTER(TRANSPOSE(TRIM(_xlfn.TEXTSPLIT(N357,","))),COUNTIFS(B$3:B$650,TRANSPOSE(TRIM(_xlfn.TEXTSPLIT(N357,","))),O$3:O$650,"&lt;="&amp;$T$1))),""),"")</f>
        <v/>
      </c>
    </row>
    <row r="358" spans="1:20" ht="24" x14ac:dyDescent="0.3">
      <c r="A358" s="1">
        <v>56227</v>
      </c>
      <c r="B358" s="55">
        <v>56227</v>
      </c>
      <c r="C358" s="2" t="s">
        <v>1263</v>
      </c>
      <c r="D358" s="1" t="s">
        <v>628</v>
      </c>
      <c r="E358" s="1" t="s">
        <v>686</v>
      </c>
      <c r="F358" s="9" t="s">
        <v>1608</v>
      </c>
      <c r="H358" s="16" t="s">
        <v>1633</v>
      </c>
      <c r="I358" s="9" t="b">
        <f t="shared" si="7"/>
        <v>0</v>
      </c>
      <c r="J358" s="1" t="s">
        <v>1670</v>
      </c>
      <c r="K358" s="1" t="s">
        <v>1713</v>
      </c>
      <c r="L358" s="1" t="s">
        <v>1720</v>
      </c>
      <c r="M358" s="9">
        <v>1</v>
      </c>
      <c r="N358" s="35" t="s">
        <v>1750</v>
      </c>
      <c r="O358" s="24">
        <v>0</v>
      </c>
      <c r="P358" s="2" cm="1">
        <f t="array" ref="P358">_xlfn.XLOOKUP(TRIM(B358),TRIM('[1]wc-product-export-16-3-2026-177'!$A:$A),'[1]wc-product-export-16-3-2026-177'!$D:$D,0,0)</f>
        <v>0</v>
      </c>
      <c r="Q358" s="66" cm="1">
        <f t="array" ref="Q358">_xlfn.LET(_xlpm.items,TRIM(_xlfn.TEXTSPLIT($N358,",")),_xlpm.codes,TRIM($B$3:$B$650),_xlpm.qty,$O$3:$O$650,_xlpm.setMask,ISNUMBER(MATCH(_xlpm.codes,_xlpm.items,0)),_xlpm.knifeType,IF(ISNUMBER(SEARCH("fine",$H358)),"03",IF(ISNUMBER(SEARCH("serr",$H358)),"02","")),_xlpm.knifeStock,IFERROR(MIN(IF(_xlpm.setMask*(RIGHT(_xlpm.codes,2)=_xlpm.knifeType),_xlpm.qty)),0),_xlpm.otherStock,IFERROR(MIN(IF(_xlpm.setMask*(RIGHT(_xlpm.codes,2)&lt;&gt;_xlpm.knifeType),_xlpm.qty)),0),IF(_xlpm.knifeStock&gt;=8,MIN(ROUNDDOWN(_xlpm.knifeStock/8,0),_xlpm.otherStock),0)+P358)</f>
        <v>0</v>
      </c>
      <c r="T358" t="str" cm="1">
        <f t="array" ref="T358">IFERROR(IF(D358="SET",_xlfn.TEXTJOIN(", ",TRUE,_xlfn._xlws.FILTER(TRANSPOSE(TRIM(_xlfn.TEXTSPLIT(N358,","))),COUNTIFS(B$3:B$650,TRANSPOSE(TRIM(_xlfn.TEXTSPLIT(N358,","))),O$3:O$650,"&lt;="&amp;$T$1))),""),"")</f>
        <v>56203</v>
      </c>
    </row>
    <row r="359" spans="1:20" ht="14.4" x14ac:dyDescent="0.3">
      <c r="A359" s="1">
        <v>56228</v>
      </c>
      <c r="B359" s="56" t="s">
        <v>1401</v>
      </c>
      <c r="C359" s="2" t="s">
        <v>1263</v>
      </c>
      <c r="D359" s="1" t="s">
        <v>624</v>
      </c>
      <c r="E359" s="1" t="s">
        <v>686</v>
      </c>
      <c r="F359" s="9" t="s">
        <v>1608</v>
      </c>
      <c r="G359" s="9"/>
      <c r="H359" s="16" t="s">
        <v>1665</v>
      </c>
      <c r="I359" s="9" t="b">
        <f t="shared" si="7"/>
        <v>0</v>
      </c>
      <c r="J359" s="1" t="s">
        <v>401</v>
      </c>
      <c r="K359" s="1" t="s">
        <v>1296</v>
      </c>
      <c r="L359" s="1" t="s">
        <v>401</v>
      </c>
      <c r="M359" s="9"/>
      <c r="N359" s="35"/>
      <c r="O359" s="24">
        <v>27</v>
      </c>
      <c r="P359" s="2" cm="1">
        <f t="array" ref="P359">_xlfn.XLOOKUP(TRIM(B359),TRIM('[1]wc-product-export-16-3-2026-177'!$A:$A),'[1]wc-product-export-16-3-2026-177'!$D:$D,0,0)</f>
        <v>0</v>
      </c>
      <c r="Q359" s="2" cm="1">
        <f t="array" ref="Q359">IF(TRIM($D359)="SET",IF($K359="Steak Set1",ROUNDDOWN(IFERROR(MIN(_xlfn._xlws.FILTER(O$3:O$650,ISNUMBER(MATCH(TRIM($B$3:$B$650),TRIM(_xlfn.TEXTSPLIT($N359,",")),0)))),0)/4,0)+P359,IF(IFERROR(MIN(_xlfn._xlws.FILTER(O$3:O$650,ISNUMBER(MATCH(TRIM($B$3:$B$650),TRIM(_xlfn.TEXTSPLIT($N359,",")),0)))),0)&gt;=$E$1,IFERROR(MIN(_xlfn._xlws.FILTER(O$3:O$650,ISNUMBER(MATCH(TRIM($B$3:$B$650),TRIM(_xlfn.TEXTSPLIT($N359,",")),0)))),0)+P359,P359)),IF(TRIM($D359)="EA",IF(TRIM($E359)="M",ROUNDUP(O359*0.85,0),IF(TRIM($E359)="P",O359,P359)),P359))</f>
        <v>23</v>
      </c>
      <c r="T359" t="str" cm="1">
        <f t="array" ref="T359">IFERROR(IF(D359="SET",_xlfn.TEXTJOIN(", ",TRUE,_xlfn._xlws.FILTER(TRANSPOSE(TRIM(_xlfn.TEXTSPLIT(N359,","))),COUNTIFS(B$3:B$650,TRANSPOSE(TRIM(_xlfn.TEXTSPLIT(N359,","))),O$3:O$650,"&lt;="&amp;$T$1))),""),"")</f>
        <v/>
      </c>
    </row>
    <row r="360" spans="1:20" ht="14.4" x14ac:dyDescent="0.3">
      <c r="A360" s="1">
        <v>56238</v>
      </c>
      <c r="B360" s="56" t="s">
        <v>1393</v>
      </c>
      <c r="C360" s="2" t="s">
        <v>1263</v>
      </c>
      <c r="D360" s="1" t="s">
        <v>624</v>
      </c>
      <c r="E360" s="1" t="s">
        <v>686</v>
      </c>
      <c r="F360" s="9" t="s">
        <v>1608</v>
      </c>
      <c r="G360" s="9"/>
      <c r="H360" s="16" t="s">
        <v>1626</v>
      </c>
      <c r="I360" s="9" t="b">
        <f t="shared" si="7"/>
        <v>0</v>
      </c>
      <c r="J360" s="1" t="s">
        <v>1670</v>
      </c>
      <c r="K360" s="1" t="s">
        <v>285</v>
      </c>
      <c r="L360" s="1" t="s">
        <v>285</v>
      </c>
      <c r="M360" s="9"/>
      <c r="N360" s="35"/>
      <c r="O360" s="24">
        <v>21</v>
      </c>
      <c r="P360" s="2" cm="1">
        <f t="array" ref="P360">_xlfn.XLOOKUP(TRIM(B360),TRIM('[1]wc-product-export-16-3-2026-177'!$A:$A),'[1]wc-product-export-16-3-2026-177'!$D:$D,0,0)</f>
        <v>0</v>
      </c>
      <c r="Q360" s="2" cm="1">
        <f t="array" ref="Q360">IF(TRIM($D360)="SET",IF($K360="Steak Set1",ROUNDDOWN(IFERROR(MIN(_xlfn._xlws.FILTER(O$3:O$650,ISNUMBER(MATCH(TRIM($B$3:$B$650),TRIM(_xlfn.TEXTSPLIT($N360,",")),0)))),0)/4,0)+P360,IF(IFERROR(MIN(_xlfn._xlws.FILTER(O$3:O$650,ISNUMBER(MATCH(TRIM($B$3:$B$650),TRIM(_xlfn.TEXTSPLIT($N360,",")),0)))),0)&gt;=$E$1,IFERROR(MIN(_xlfn._xlws.FILTER(O$3:O$650,ISNUMBER(MATCH(TRIM($B$3:$B$650),TRIM(_xlfn.TEXTSPLIT($N360,",")),0)))),0)+P360,P360)),IF(TRIM($D360)="EA",IF(TRIM($E360)="M",ROUNDUP(O360*0.85,0),IF(TRIM($E360)="P",O360,P360)),P360))</f>
        <v>18</v>
      </c>
      <c r="T360" t="str" cm="1">
        <f t="array" ref="T360">IFERROR(IF(D360="SET",_xlfn.TEXTJOIN(", ",TRUE,_xlfn._xlws.FILTER(TRANSPOSE(TRIM(_xlfn.TEXTSPLIT(N360,","))),COUNTIFS(B$3:B$650,TRANSPOSE(TRIM(_xlfn.TEXTSPLIT(N360,","))),O$3:O$650,"&lt;="&amp;$T$1))),""),"")</f>
        <v/>
      </c>
    </row>
    <row r="361" spans="1:20" ht="14.4" x14ac:dyDescent="0.3">
      <c r="A361" s="1">
        <v>56239</v>
      </c>
      <c r="B361" s="55" t="s">
        <v>1394</v>
      </c>
      <c r="C361" s="2" t="s">
        <v>1263</v>
      </c>
      <c r="D361" s="1" t="s">
        <v>624</v>
      </c>
      <c r="E361" s="1" t="s">
        <v>686</v>
      </c>
      <c r="F361" s="9" t="s">
        <v>1608</v>
      </c>
      <c r="G361" s="9"/>
      <c r="H361" s="16" t="s">
        <v>1627</v>
      </c>
      <c r="I361" s="9" t="b">
        <f t="shared" si="7"/>
        <v>1</v>
      </c>
      <c r="J361" s="1" t="s">
        <v>1670</v>
      </c>
      <c r="K361" s="1" t="s">
        <v>287</v>
      </c>
      <c r="L361" s="1" t="s">
        <v>287</v>
      </c>
      <c r="M361" s="9"/>
      <c r="N361" s="35"/>
      <c r="O361" s="24">
        <v>3</v>
      </c>
      <c r="P361" s="2" cm="1">
        <f t="array" ref="P361">_xlfn.XLOOKUP(TRIM(B361),TRIM('[1]wc-product-export-16-3-2026-177'!$A:$A),'[1]wc-product-export-16-3-2026-177'!$D:$D,0,0)</f>
        <v>0</v>
      </c>
      <c r="Q361" s="2" cm="1">
        <f t="array" ref="Q361">IF(TRIM($D361)="SET",IF($K361="Steak Set1",ROUNDDOWN(IFERROR(MIN(_xlfn._xlws.FILTER(O$3:O$650,ISNUMBER(MATCH(TRIM($B$3:$B$650),TRIM(_xlfn.TEXTSPLIT($N361,",")),0)))),0)/4,0)+P361,IF(IFERROR(MIN(_xlfn._xlws.FILTER(O$3:O$650,ISNUMBER(MATCH(TRIM($B$3:$B$650),TRIM(_xlfn.TEXTSPLIT($N361,",")),0)))),0)&gt;=$E$1,IFERROR(MIN(_xlfn._xlws.FILTER(O$3:O$650,ISNUMBER(MATCH(TRIM($B$3:$B$650),TRIM(_xlfn.TEXTSPLIT($N361,",")),0)))),0)+P361,P361)),IF(TRIM($D361)="EA",IF(TRIM($E361)="M",ROUNDUP(O361*0.85,0),IF(TRIM($E361)="P",O361,P361)),P361))</f>
        <v>3</v>
      </c>
      <c r="T361" t="str" cm="1">
        <f t="array" ref="T361">IFERROR(IF(D361="SET",_xlfn.TEXTJOIN(", ",TRUE,_xlfn._xlws.FILTER(TRANSPOSE(TRIM(_xlfn.TEXTSPLIT(N361,","))),COUNTIFS(B$3:B$650,TRANSPOSE(TRIM(_xlfn.TEXTSPLIT(N361,","))),O$3:O$650,"&lt;="&amp;$T$1))),""),"")</f>
        <v/>
      </c>
    </row>
    <row r="362" spans="1:20" ht="14.4" x14ac:dyDescent="0.3">
      <c r="A362" s="1">
        <v>56240</v>
      </c>
      <c r="B362" s="56" t="s">
        <v>1395</v>
      </c>
      <c r="C362" s="2" t="s">
        <v>1263</v>
      </c>
      <c r="D362" s="1" t="s">
        <v>624</v>
      </c>
      <c r="E362" s="1" t="s">
        <v>686</v>
      </c>
      <c r="F362" s="9" t="s">
        <v>1608</v>
      </c>
      <c r="G362" s="9"/>
      <c r="H362" s="16" t="s">
        <v>1628</v>
      </c>
      <c r="I362" s="9" t="b">
        <f t="shared" si="7"/>
        <v>0</v>
      </c>
      <c r="J362" s="1" t="s">
        <v>1670</v>
      </c>
      <c r="K362" s="1" t="s">
        <v>1295</v>
      </c>
      <c r="L362" s="1" t="s">
        <v>286</v>
      </c>
      <c r="M362" s="9"/>
      <c r="N362" s="35"/>
      <c r="O362" s="24">
        <v>1</v>
      </c>
      <c r="P362" s="2" cm="1">
        <f t="array" ref="P362">_xlfn.XLOOKUP(TRIM(B362),TRIM('[1]wc-product-export-16-3-2026-177'!$A:$A),'[1]wc-product-export-16-3-2026-177'!$D:$D,0,0)</f>
        <v>0</v>
      </c>
      <c r="Q362" s="2" cm="1">
        <f t="array" ref="Q362">IF(TRIM($D362)="SET",IF($K362="Steak Set1",ROUNDDOWN(IFERROR(MIN(_xlfn._xlws.FILTER(O$3:O$650,ISNUMBER(MATCH(TRIM($B$3:$B$650),TRIM(_xlfn.TEXTSPLIT($N362,",")),0)))),0)/4,0)+P362,IF(IFERROR(MIN(_xlfn._xlws.FILTER(O$3:O$650,ISNUMBER(MATCH(TRIM($B$3:$B$650),TRIM(_xlfn.TEXTSPLIT($N362,",")),0)))),0)&gt;=$E$1,IFERROR(MIN(_xlfn._xlws.FILTER(O$3:O$650,ISNUMBER(MATCH(TRIM($B$3:$B$650),TRIM(_xlfn.TEXTSPLIT($N362,",")),0)))),0)+P362,P362)),IF(TRIM($D362)="EA",IF(TRIM($E362)="M",ROUNDUP(O362*0.85,0),IF(TRIM($E362)="P",O362,P362)),P362))</f>
        <v>1</v>
      </c>
      <c r="T362" t="str" cm="1">
        <f t="array" ref="T362">IFERROR(IF(D362="SET",_xlfn.TEXTJOIN(", ",TRUE,_xlfn._xlws.FILTER(TRANSPOSE(TRIM(_xlfn.TEXTSPLIT(N362,","))),COUNTIFS(B$3:B$650,TRANSPOSE(TRIM(_xlfn.TEXTSPLIT(N362,","))),O$3:O$650,"&lt;="&amp;$T$1))),""),"")</f>
        <v/>
      </c>
    </row>
    <row r="363" spans="1:20" ht="14.4" x14ac:dyDescent="0.3">
      <c r="A363" s="1" t="s">
        <v>1396</v>
      </c>
      <c r="B363" s="55" t="s">
        <v>1396</v>
      </c>
      <c r="C363" s="2" t="s">
        <v>1263</v>
      </c>
      <c r="D363" s="1" t="s">
        <v>624</v>
      </c>
      <c r="E363" s="1" t="s">
        <v>686</v>
      </c>
      <c r="F363" s="9" t="s">
        <v>1608</v>
      </c>
      <c r="G363" s="9"/>
      <c r="H363" s="16" t="s">
        <v>1647</v>
      </c>
      <c r="I363" s="9" t="b">
        <f t="shared" si="7"/>
        <v>0</v>
      </c>
      <c r="J363" s="1" t="s">
        <v>1670</v>
      </c>
      <c r="K363" s="1" t="s">
        <v>1297</v>
      </c>
      <c r="L363" s="1" t="s">
        <v>274</v>
      </c>
      <c r="M363" s="9"/>
      <c r="N363" s="35"/>
      <c r="O363" s="24">
        <v>6</v>
      </c>
      <c r="P363" s="2" cm="1">
        <f t="array" ref="P363">_xlfn.XLOOKUP(TRIM(B363),TRIM('[1]wc-product-export-16-3-2026-177'!$A:$A),'[1]wc-product-export-16-3-2026-177'!$D:$D,0,0)</f>
        <v>0</v>
      </c>
      <c r="Q363" s="2" cm="1">
        <f t="array" ref="Q363">IF(TRIM($D363)="SET",IF($K363="Steak Set1",ROUNDDOWN(IFERROR(MIN(_xlfn._xlws.FILTER(O$3:O$650,ISNUMBER(MATCH(TRIM($B$3:$B$650),TRIM(_xlfn.TEXTSPLIT($N363,",")),0)))),0)/4,0)+P363,IF(IFERROR(MIN(_xlfn._xlws.FILTER(O$3:O$650,ISNUMBER(MATCH(TRIM($B$3:$B$650),TRIM(_xlfn.TEXTSPLIT($N363,",")),0)))),0)&gt;=$E$1,IFERROR(MIN(_xlfn._xlws.FILTER(O$3:O$650,ISNUMBER(MATCH(TRIM($B$3:$B$650),TRIM(_xlfn.TEXTSPLIT($N363,",")),0)))),0)+P363,P363)),IF(TRIM($D363)="EA",IF(TRIM($E363)="M",ROUNDUP(O363*0.85,0),IF(TRIM($E363)="P",O363,P363)),P363))</f>
        <v>6</v>
      </c>
      <c r="T363" t="str" cm="1">
        <f t="array" ref="T363">IFERROR(IF(D363="SET",_xlfn.TEXTJOIN(", ",TRUE,_xlfn._xlws.FILTER(TRANSPOSE(TRIM(_xlfn.TEXTSPLIT(N363,","))),COUNTIFS(B$3:B$650,TRANSPOSE(TRIM(_xlfn.TEXTSPLIT(N363,","))),O$3:O$650,"&lt;="&amp;$T$1))),""),"")</f>
        <v/>
      </c>
    </row>
    <row r="364" spans="1:20" ht="14.4" x14ac:dyDescent="0.3">
      <c r="A364" s="1">
        <v>56244</v>
      </c>
      <c r="B364" s="55">
        <v>56244</v>
      </c>
      <c r="C364" s="2" t="s">
        <v>1263</v>
      </c>
      <c r="D364" s="1" t="s">
        <v>628</v>
      </c>
      <c r="E364" s="1" t="s">
        <v>686</v>
      </c>
      <c r="F364" s="9" t="s">
        <v>1608</v>
      </c>
      <c r="H364" s="16" t="s">
        <v>1651</v>
      </c>
      <c r="I364" s="9" t="b">
        <f t="shared" si="7"/>
        <v>0</v>
      </c>
      <c r="J364" s="1" t="s">
        <v>1670</v>
      </c>
      <c r="K364" s="1" t="s">
        <v>1715</v>
      </c>
      <c r="L364" s="1" t="s">
        <v>1715</v>
      </c>
      <c r="N364" s="35" t="s">
        <v>1616</v>
      </c>
      <c r="O364" s="24">
        <v>25</v>
      </c>
      <c r="P364" s="2" cm="1">
        <f t="array" ref="P364">_xlfn.XLOOKUP(TRIM(B364),TRIM('[1]wc-product-export-16-3-2026-177'!$A:$A),'[1]wc-product-export-16-3-2026-177'!$D:$D,0,0)</f>
        <v>0</v>
      </c>
      <c r="Q364" s="2" cm="1">
        <f t="array" ref="Q364">IF(TRIM($D364)="SET",IF($K364="Steak Set1",ROUNDDOWN(IFERROR(MIN(_xlfn._xlws.FILTER(O$3:O$650,ISNUMBER(MATCH(TRIM($B$3:$B$650),TRIM(_xlfn.TEXTSPLIT($N364,",")),0)))),0)/4,0)+P364,IF(IFERROR(MIN(_xlfn._xlws.FILTER(O$3:O$650,ISNUMBER(MATCH(TRIM($B$3:$B$650),TRIM(_xlfn.TEXTSPLIT($N364,",")),0)))),0)&gt;=$E$1,IFERROR(MIN(_xlfn._xlws.FILTER(O$3:O$650,ISNUMBER(MATCH(TRIM($B$3:$B$650),TRIM(_xlfn.TEXTSPLIT($N364,",")),0)))),0)+P364,P364)),IF(TRIM($D364)="EA",IF(TRIM($E364)="M",ROUNDUP(O364*0.85,0),IF(TRIM($E364)="P",O364,P364)),P364))</f>
        <v>29</v>
      </c>
      <c r="T364" t="str" cm="1">
        <f t="array" ref="T364">IFERROR(IF(D364="SET",_xlfn.TEXTJOIN(", ",TRUE,_xlfn._xlws.FILTER(TRANSPOSE(TRIM(_xlfn.TEXTSPLIT(N364,","))),COUNTIFS(B$3:B$650,TRANSPOSE(TRIM(_xlfn.TEXTSPLIT(N364,","))),O$3:O$650,"&lt;="&amp;$T$1))),""),"")</f>
        <v/>
      </c>
    </row>
    <row r="365" spans="1:20" ht="14.4" x14ac:dyDescent="0.3">
      <c r="A365" s="1">
        <v>56245</v>
      </c>
      <c r="B365" s="55">
        <v>56245</v>
      </c>
      <c r="C365" s="2" t="s">
        <v>1263</v>
      </c>
      <c r="D365" s="1" t="s">
        <v>628</v>
      </c>
      <c r="E365" s="1" t="s">
        <v>686</v>
      </c>
      <c r="F365" s="9" t="s">
        <v>1608</v>
      </c>
      <c r="H365" s="16" t="s">
        <v>1652</v>
      </c>
      <c r="I365" s="9" t="b">
        <f t="shared" si="7"/>
        <v>0</v>
      </c>
      <c r="J365" s="1" t="s">
        <v>1670</v>
      </c>
      <c r="K365" s="1" t="s">
        <v>1716</v>
      </c>
      <c r="L365" s="1" t="s">
        <v>1716</v>
      </c>
      <c r="N365" s="35" t="s">
        <v>1617</v>
      </c>
      <c r="O365" s="24">
        <v>8</v>
      </c>
      <c r="P365" s="2" cm="1">
        <f t="array" ref="P365">_xlfn.XLOOKUP(TRIM(B365),TRIM('[1]wc-product-export-16-3-2026-177'!$A:$A),'[1]wc-product-export-16-3-2026-177'!$D:$D,0,0)</f>
        <v>0</v>
      </c>
      <c r="Q365" s="2" cm="1">
        <f t="array" ref="Q365">IF(TRIM($D365)="SET",IF($K365="Steak Set1",ROUNDDOWN(IFERROR(MIN(_xlfn._xlws.FILTER(O$3:O$650,ISNUMBER(MATCH(TRIM($B$3:$B$650),TRIM(_xlfn.TEXTSPLIT($N365,",")),0)))),0)/4,0)+P365,IF(IFERROR(MIN(_xlfn._xlws.FILTER(O$3:O$650,ISNUMBER(MATCH(TRIM($B$3:$B$650),TRIM(_xlfn.TEXTSPLIT($N365,",")),0)))),0)&gt;=$E$1,IFERROR(MIN(_xlfn._xlws.FILTER(O$3:O$650,ISNUMBER(MATCH(TRIM($B$3:$B$650),TRIM(_xlfn.TEXTSPLIT($N365,",")),0)))),0)+P365,P365)),IF(TRIM($D365)="EA",IF(TRIM($E365)="M",ROUNDUP(O365*0.85,0),IF(TRIM($E365)="P",O365,P365)),P365))</f>
        <v>8</v>
      </c>
      <c r="T365" t="str" cm="1">
        <f t="array" ref="T365">IFERROR(IF(D365="SET",_xlfn.TEXTJOIN(", ",TRUE,_xlfn._xlws.FILTER(TRANSPOSE(TRIM(_xlfn.TEXTSPLIT(N365,","))),COUNTIFS(B$3:B$650,TRANSPOSE(TRIM(_xlfn.TEXTSPLIT(N365,","))),O$3:O$650,"&lt;="&amp;$T$1))),""),"")</f>
        <v/>
      </c>
    </row>
    <row r="366" spans="1:20" ht="24" x14ac:dyDescent="0.3">
      <c r="A366" s="1">
        <v>56246</v>
      </c>
      <c r="B366" s="55">
        <v>56246</v>
      </c>
      <c r="C366" s="2" t="s">
        <v>1263</v>
      </c>
      <c r="D366" s="1" t="s">
        <v>628</v>
      </c>
      <c r="E366" s="1" t="s">
        <v>686</v>
      </c>
      <c r="F366" s="9" t="s">
        <v>1608</v>
      </c>
      <c r="H366" s="16" t="s">
        <v>1637</v>
      </c>
      <c r="I366" s="9" t="b">
        <f t="shared" si="7"/>
        <v>0</v>
      </c>
      <c r="J366" s="1" t="s">
        <v>1670</v>
      </c>
      <c r="K366" s="1" t="s">
        <v>1713</v>
      </c>
      <c r="L366" s="1" t="s">
        <v>1720</v>
      </c>
      <c r="M366" s="9">
        <v>1</v>
      </c>
      <c r="N366" s="35" t="s">
        <v>1749</v>
      </c>
      <c r="O366" s="24">
        <v>0</v>
      </c>
      <c r="P366" s="2" cm="1">
        <f t="array" ref="P366">_xlfn.XLOOKUP(TRIM(B366),TRIM('[1]wc-product-export-16-3-2026-177'!$A:$A),'[1]wc-product-export-16-3-2026-177'!$D:$D,0,0)</f>
        <v>0</v>
      </c>
      <c r="Q366" s="66" cm="1">
        <f t="array" ref="Q366">_xlfn.LET(_xlpm.items,TRIM(_xlfn.TEXTSPLIT($N366,",")),_xlpm.codes,TRIM($B$3:$B$650),_xlpm.qty,$O$3:$O$650,_xlpm.setMask,ISNUMBER(MATCH(_xlpm.codes,_xlpm.items,0)),_xlpm.knifeType,IF(ISNUMBER(SEARCH("fine",$H366)),"03",IF(ISNUMBER(SEARCH("serr",$H366)),"02","")),_xlpm.knifeStock,IFERROR(MIN(IF(_xlpm.setMask*(RIGHT(_xlpm.codes,2)=_xlpm.knifeType),_xlpm.qty)),0),_xlpm.otherStock,IFERROR(MIN(IF(_xlpm.setMask*(RIGHT(_xlpm.codes,2)&lt;&gt;_xlpm.knifeType),_xlpm.qty)),0),IF(_xlpm.knifeStock&gt;=8,MIN(ROUNDDOWN(_xlpm.knifeStock/8,0),_xlpm.otherStock),0)+P366)</f>
        <v>0</v>
      </c>
      <c r="T366" t="str" cm="1">
        <f t="array" ref="T366">IFERROR(IF(D366="SET",_xlfn.TEXTJOIN(", ",TRUE,_xlfn._xlws.FILTER(TRANSPOSE(TRIM(_xlfn.TEXTSPLIT(N366,","))),COUNTIFS(B$3:B$650,TRANSPOSE(TRIM(_xlfn.TEXTSPLIT(N366,","))),O$3:O$650,"&lt;="&amp;$T$1))),""),"")</f>
        <v/>
      </c>
    </row>
    <row r="367" spans="1:20" ht="24" x14ac:dyDescent="0.3">
      <c r="A367" s="1">
        <v>56247</v>
      </c>
      <c r="B367" s="55">
        <v>56247</v>
      </c>
      <c r="C367" s="2" t="s">
        <v>1263</v>
      </c>
      <c r="D367" s="1" t="s">
        <v>628</v>
      </c>
      <c r="E367" s="1" t="s">
        <v>686</v>
      </c>
      <c r="F367" s="9" t="s">
        <v>1608</v>
      </c>
      <c r="H367" s="16" t="s">
        <v>1639</v>
      </c>
      <c r="I367" s="9" t="b">
        <f t="shared" si="7"/>
        <v>0</v>
      </c>
      <c r="J367" s="1" t="s">
        <v>1670</v>
      </c>
      <c r="K367" s="1" t="s">
        <v>1713</v>
      </c>
      <c r="L367" s="1" t="s">
        <v>1720</v>
      </c>
      <c r="M367" s="9">
        <v>1</v>
      </c>
      <c r="N367" s="35" t="s">
        <v>1750</v>
      </c>
      <c r="O367" s="24">
        <v>0</v>
      </c>
      <c r="P367" s="2" cm="1">
        <f t="array" ref="P367">_xlfn.XLOOKUP(TRIM(B367),TRIM('[1]wc-product-export-16-3-2026-177'!$A:$A),'[1]wc-product-export-16-3-2026-177'!$D:$D,0,0)</f>
        <v>0</v>
      </c>
      <c r="Q367" s="66" cm="1">
        <f t="array" ref="Q367">_xlfn.LET(_xlpm.items,TRIM(_xlfn.TEXTSPLIT($N367,",")),_xlpm.codes,TRIM($B$3:$B$650),_xlpm.qty,$O$3:$O$650,_xlpm.setMask,ISNUMBER(MATCH(_xlpm.codes,_xlpm.items,0)),_xlpm.knifeType,IF(ISNUMBER(SEARCH("fine",$H367)),"03",IF(ISNUMBER(SEARCH("serr",$H367)),"02","")),_xlpm.knifeStock,IFERROR(MIN(IF(_xlpm.setMask*(RIGHT(_xlpm.codes,2)=_xlpm.knifeType),_xlpm.qty)),0),_xlpm.otherStock,IFERROR(MIN(IF(_xlpm.setMask*(RIGHT(_xlpm.codes,2)&lt;&gt;_xlpm.knifeType),_xlpm.qty)),0),IF(_xlpm.knifeStock&gt;=8,MIN(ROUNDDOWN(_xlpm.knifeStock/8,0),_xlpm.otherStock),0)+P367)</f>
        <v>0</v>
      </c>
      <c r="T367" t="str" cm="1">
        <f t="array" ref="T367">IFERROR(IF(D367="SET",_xlfn.TEXTJOIN(", ",TRUE,_xlfn._xlws.FILTER(TRANSPOSE(TRIM(_xlfn.TEXTSPLIT(N367,","))),COUNTIFS(B$3:B$650,TRANSPOSE(TRIM(_xlfn.TEXTSPLIT(N367,","))),O$3:O$650,"&lt;="&amp;$T$1))),""),"")</f>
        <v>56203</v>
      </c>
    </row>
    <row r="368" spans="1:20" ht="14.4" x14ac:dyDescent="0.3">
      <c r="A368" s="1">
        <v>52817</v>
      </c>
      <c r="B368" s="50" t="s">
        <v>865</v>
      </c>
      <c r="C368" s="1" t="s">
        <v>1259</v>
      </c>
      <c r="D368" s="1" t="s">
        <v>624</v>
      </c>
      <c r="E368" s="1" t="s">
        <v>623</v>
      </c>
      <c r="F368" s="9"/>
      <c r="G368" s="9"/>
      <c r="H368" s="53" t="s">
        <v>192</v>
      </c>
      <c r="I368" s="9" t="b">
        <f t="shared" si="7"/>
        <v>0</v>
      </c>
      <c r="J368" s="1" t="s">
        <v>405</v>
      </c>
      <c r="K368" s="1" t="s">
        <v>283</v>
      </c>
      <c r="L368" s="1" t="s">
        <v>283</v>
      </c>
      <c r="M368" s="9"/>
      <c r="N368" s="35"/>
      <c r="O368" s="2">
        <v>26</v>
      </c>
      <c r="P368" s="2" cm="1">
        <f t="array" ref="P368">_xlfn.XLOOKUP(TRIM(B368),TRIM('[1]wc-product-export-16-3-2026-177'!$A:$A),'[1]wc-product-export-16-3-2026-177'!$D:$D,0,0)</f>
        <v>0</v>
      </c>
      <c r="Q368" s="2" cm="1">
        <f t="array" ref="Q368">IF(TRIM($D368)="SET",IF($K368="Steak Set1",ROUNDDOWN(IFERROR(MIN(_xlfn._xlws.FILTER(O$3:O$650,ISNUMBER(MATCH(TRIM($B$3:$B$650),TRIM(_xlfn.TEXTSPLIT($N368,",")),0)))),0)/4,0)+P368,IF(IFERROR(MIN(_xlfn._xlws.FILTER(O$3:O$650,ISNUMBER(MATCH(TRIM($B$3:$B$650),TRIM(_xlfn.TEXTSPLIT($N368,",")),0)))),0)&gt;=$E$1,IFERROR(MIN(_xlfn._xlws.FILTER(O$3:O$650,ISNUMBER(MATCH(TRIM($B$3:$B$650),TRIM(_xlfn.TEXTSPLIT($N368,",")),0)))),0)+P368,P368)),IF(TRIM($D368)="EA",IF(TRIM($E368)="M",ROUNDUP(O368*0.85,0),IF(TRIM($E368)="P",O368,P368)),P368))</f>
        <v>26</v>
      </c>
      <c r="T368" t="str" cm="1">
        <f t="array" ref="T368">IFERROR(IF(D368="SET",_xlfn.TEXTJOIN(", ",TRUE,_xlfn._xlws.FILTER(TRANSPOSE(TRIM(_xlfn.TEXTSPLIT(N368,","))),COUNTIFS(B$3:B$650,TRANSPOSE(TRIM(_xlfn.TEXTSPLIT(N368,","))),O$3:O$650,"&lt;="&amp;$T$1))),""),"")</f>
        <v/>
      </c>
    </row>
    <row r="369" spans="1:20" ht="14.4" x14ac:dyDescent="0.3">
      <c r="A369" s="1">
        <v>56255</v>
      </c>
      <c r="B369" s="55">
        <v>56255</v>
      </c>
      <c r="C369" s="2" t="s">
        <v>1263</v>
      </c>
      <c r="D369" s="1" t="s">
        <v>628</v>
      </c>
      <c r="E369" s="1" t="s">
        <v>686</v>
      </c>
      <c r="F369" s="9" t="s">
        <v>1608</v>
      </c>
      <c r="H369" s="16" t="s">
        <v>1666</v>
      </c>
      <c r="I369" s="9" t="b">
        <f t="shared" si="7"/>
        <v>0</v>
      </c>
      <c r="J369" s="1" t="s">
        <v>401</v>
      </c>
      <c r="K369" s="1" t="s">
        <v>401</v>
      </c>
      <c r="L369" s="1" t="s">
        <v>1740</v>
      </c>
      <c r="N369" s="35" t="s">
        <v>1625</v>
      </c>
      <c r="O369" s="24">
        <v>0</v>
      </c>
      <c r="P369" s="2" cm="1">
        <f t="array" ref="P369">_xlfn.XLOOKUP(TRIM(B369),TRIM('[1]wc-product-export-16-3-2026-177'!$A:$A),'[1]wc-product-export-16-3-2026-177'!$D:$D,0,0)</f>
        <v>0</v>
      </c>
      <c r="Q369" s="2" cm="1">
        <f t="array" ref="Q369">IF(TRIM($D369)="SET",IF($K369="Steak Set1",ROUNDDOWN(IFERROR(MIN(_xlfn._xlws.FILTER(O$3:O$650,ISNUMBER(MATCH(TRIM($B$3:$B$650),TRIM(_xlfn.TEXTSPLIT($N369,",")),0)))),0)/4,0)+P369,IF(IFERROR(MIN(_xlfn._xlws.FILTER(O$3:O$650,ISNUMBER(MATCH(TRIM($B$3:$B$650),TRIM(_xlfn.TEXTSPLIT($N369,",")),0)))),0)&gt;=$E$1,IFERROR(MIN(_xlfn._xlws.FILTER(O$3:O$650,ISNUMBER(MATCH(TRIM($B$3:$B$650),TRIM(_xlfn.TEXTSPLIT($N369,",")),0)))),0)+P369,P369)),IF(TRIM($D369)="EA",IF(TRIM($E369)="M",ROUNDUP(O369*0.85,0),IF(TRIM($E369)="P",O369,P369)),P369))</f>
        <v>0</v>
      </c>
      <c r="T369" t="str" cm="1">
        <f t="array" ref="T369">IFERROR(IF(D369="SET",_xlfn.TEXTJOIN(", ",TRUE,_xlfn._xlws.FILTER(TRANSPOSE(TRIM(_xlfn.TEXTSPLIT(N369,","))),COUNTIFS(B$3:B$650,TRANSPOSE(TRIM(_xlfn.TEXTSPLIT(N369,","))),O$3:O$650,"&lt;="&amp;$T$1))),""),"")</f>
        <v>56258</v>
      </c>
    </row>
    <row r="370" spans="1:20" ht="14.4" x14ac:dyDescent="0.3">
      <c r="A370" s="1">
        <v>56256</v>
      </c>
      <c r="B370" s="56">
        <v>56256</v>
      </c>
      <c r="C370" s="2" t="s">
        <v>1263</v>
      </c>
      <c r="D370" s="1" t="s">
        <v>624</v>
      </c>
      <c r="E370" s="1" t="s">
        <v>686</v>
      </c>
      <c r="F370" s="9" t="s">
        <v>1608</v>
      </c>
      <c r="H370" s="16" t="s">
        <v>1640</v>
      </c>
      <c r="I370" s="9" t="b">
        <f t="shared" si="7"/>
        <v>0</v>
      </c>
      <c r="J370" s="1" t="s">
        <v>1670</v>
      </c>
      <c r="K370" s="1" t="s">
        <v>1718</v>
      </c>
      <c r="L370" s="1" t="s">
        <v>1724</v>
      </c>
      <c r="N370" s="35"/>
      <c r="O370" s="24">
        <v>34</v>
      </c>
      <c r="P370" s="2" cm="1">
        <f t="array" ref="P370">_xlfn.XLOOKUP(TRIM(B370),TRIM('[1]wc-product-export-16-3-2026-177'!$A:$A),'[1]wc-product-export-16-3-2026-177'!$D:$D,0,0)</f>
        <v>0</v>
      </c>
      <c r="Q370" s="2" cm="1">
        <f t="array" ref="Q370">IF(TRIM($D370)="SET",IF($K370="Steak Set1",ROUNDDOWN(IFERROR(MIN(_xlfn._xlws.FILTER(O$3:O$650,ISNUMBER(MATCH(TRIM($B$3:$B$650),TRIM(_xlfn.TEXTSPLIT($N370,",")),0)))),0)/4,0)+P370,IF(IFERROR(MIN(_xlfn._xlws.FILTER(O$3:O$650,ISNUMBER(MATCH(TRIM($B$3:$B$650),TRIM(_xlfn.TEXTSPLIT($N370,",")),0)))),0)&gt;=$E$1,IFERROR(MIN(_xlfn._xlws.FILTER(O$3:O$650,ISNUMBER(MATCH(TRIM($B$3:$B$650),TRIM(_xlfn.TEXTSPLIT($N370,",")),0)))),0)+P370,P370)),IF(TRIM($D370)="EA",IF(TRIM($E370)="M",ROUNDUP(O370*0.85,0),IF(TRIM($E370)="P",O370,P370)),P370))</f>
        <v>29</v>
      </c>
      <c r="T370" t="str" cm="1">
        <f t="array" ref="T370">IFERROR(IF(D370="SET",_xlfn.TEXTJOIN(", ",TRUE,_xlfn._xlws.FILTER(TRANSPOSE(TRIM(_xlfn.TEXTSPLIT(N370,","))),COUNTIFS(B$3:B$650,TRANSPOSE(TRIM(_xlfn.TEXTSPLIT(N370,","))),O$3:O$650,"&lt;="&amp;$T$1))),""),"")</f>
        <v/>
      </c>
    </row>
    <row r="371" spans="1:20" ht="14.4" x14ac:dyDescent="0.3">
      <c r="A371" s="1">
        <v>53500</v>
      </c>
      <c r="B371" s="50" t="s">
        <v>1235</v>
      </c>
      <c r="C371" s="1" t="s">
        <v>1259</v>
      </c>
      <c r="D371" s="1" t="s">
        <v>624</v>
      </c>
      <c r="E371" s="1" t="s">
        <v>623</v>
      </c>
      <c r="F371" s="9"/>
      <c r="G371" s="9"/>
      <c r="H371" s="53" t="s">
        <v>1236</v>
      </c>
      <c r="I371" s="9" t="b">
        <f t="shared" si="7"/>
        <v>0</v>
      </c>
      <c r="J371" s="1" t="s">
        <v>401</v>
      </c>
      <c r="K371" s="1" t="s">
        <v>1291</v>
      </c>
      <c r="L371" s="1" t="s">
        <v>1291</v>
      </c>
      <c r="M371" s="9"/>
      <c r="N371" s="35"/>
      <c r="O371" s="2">
        <v>16</v>
      </c>
      <c r="P371" s="2" cm="1">
        <f t="array" ref="P371">_xlfn.XLOOKUP(TRIM(B371),TRIM('[1]wc-product-export-16-3-2026-177'!$A:$A),'[1]wc-product-export-16-3-2026-177'!$D:$D,0,0)</f>
        <v>0</v>
      </c>
      <c r="Q371" s="2" cm="1">
        <f t="array" ref="Q371">IF(TRIM($D371)="SET",IF($K371="Steak Set1",ROUNDDOWN(IFERROR(MIN(_xlfn._xlws.FILTER(O$3:O$650,ISNUMBER(MATCH(TRIM($B$3:$B$650),TRIM(_xlfn.TEXTSPLIT($N371,",")),0)))),0)/4,0)+P371,IF(IFERROR(MIN(_xlfn._xlws.FILTER(O$3:O$650,ISNUMBER(MATCH(TRIM($B$3:$B$650),TRIM(_xlfn.TEXTSPLIT($N371,",")),0)))),0)&gt;=$E$1,IFERROR(MIN(_xlfn._xlws.FILTER(O$3:O$650,ISNUMBER(MATCH(TRIM($B$3:$B$650),TRIM(_xlfn.TEXTSPLIT($N371,",")),0)))),0)+P371,P371)),IF(TRIM($D371)="EA",IF(TRIM($E371)="M",ROUNDUP(O371*0.85,0),IF(TRIM($E371)="P",O371,P371)),P371))</f>
        <v>16</v>
      </c>
      <c r="T371" t="str" cm="1">
        <f t="array" ref="T371">IFERROR(IF(D371="SET",_xlfn.TEXTJOIN(", ",TRUE,_xlfn._xlws.FILTER(TRANSPOSE(TRIM(_xlfn.TEXTSPLIT(N371,","))),COUNTIFS(B$3:B$650,TRANSPOSE(TRIM(_xlfn.TEXTSPLIT(N371,","))),O$3:O$650,"&lt;="&amp;$T$1))),""),"")</f>
        <v/>
      </c>
    </row>
    <row r="372" spans="1:20" ht="14.4" x14ac:dyDescent="0.3">
      <c r="A372" s="1">
        <v>56257</v>
      </c>
      <c r="B372" s="55">
        <v>56257</v>
      </c>
      <c r="C372" s="2" t="s">
        <v>1263</v>
      </c>
      <c r="D372" s="1" t="s">
        <v>624</v>
      </c>
      <c r="E372" s="1" t="s">
        <v>686</v>
      </c>
      <c r="F372" s="9" t="s">
        <v>1608</v>
      </c>
      <c r="H372" s="16" t="s">
        <v>1641</v>
      </c>
      <c r="I372" s="9" t="b">
        <f t="shared" si="7"/>
        <v>0</v>
      </c>
      <c r="J372" s="1" t="s">
        <v>1670</v>
      </c>
      <c r="K372" s="1" t="s">
        <v>1718</v>
      </c>
      <c r="L372" s="1" t="s">
        <v>1724</v>
      </c>
      <c r="N372" s="35"/>
      <c r="O372" s="24">
        <v>11</v>
      </c>
      <c r="P372" s="2" cm="1">
        <f t="array" ref="P372">_xlfn.XLOOKUP(TRIM(B372),TRIM('[1]wc-product-export-16-3-2026-177'!$A:$A),'[1]wc-product-export-16-3-2026-177'!$D:$D,0,0)</f>
        <v>0</v>
      </c>
      <c r="Q372" s="2" cm="1">
        <f t="array" ref="Q372">IF(TRIM($D372)="SET",IF($K372="Steak Set1",ROUNDDOWN(IFERROR(MIN(_xlfn._xlws.FILTER(O$3:O$650,ISNUMBER(MATCH(TRIM($B$3:$B$650),TRIM(_xlfn.TEXTSPLIT($N372,",")),0)))),0)/4,0)+P372,IF(IFERROR(MIN(_xlfn._xlws.FILTER(O$3:O$650,ISNUMBER(MATCH(TRIM($B$3:$B$650),TRIM(_xlfn.TEXTSPLIT($N372,",")),0)))),0)&gt;=$E$1,IFERROR(MIN(_xlfn._xlws.FILTER(O$3:O$650,ISNUMBER(MATCH(TRIM($B$3:$B$650),TRIM(_xlfn.TEXTSPLIT($N372,",")),0)))),0)+P372,P372)),IF(TRIM($D372)="EA",IF(TRIM($E372)="M",ROUNDUP(O372*0.85,0),IF(TRIM($E372)="P",O372,P372)),P372))</f>
        <v>10</v>
      </c>
      <c r="T372" t="str" cm="1">
        <f t="array" ref="T372">IFERROR(IF(D372="SET",_xlfn.TEXTJOIN(", ",TRUE,_xlfn._xlws.FILTER(TRANSPOSE(TRIM(_xlfn.TEXTSPLIT(N372,","))),COUNTIFS(B$3:B$650,TRANSPOSE(TRIM(_xlfn.TEXTSPLIT(N372,","))),O$3:O$650,"&lt;="&amp;$T$1))),""),"")</f>
        <v/>
      </c>
    </row>
    <row r="373" spans="1:20" ht="14.4" x14ac:dyDescent="0.3">
      <c r="A373" s="1">
        <v>56258</v>
      </c>
      <c r="B373" s="55" t="s">
        <v>1402</v>
      </c>
      <c r="C373" s="2" t="s">
        <v>1263</v>
      </c>
      <c r="D373" s="1" t="s">
        <v>624</v>
      </c>
      <c r="E373" s="1" t="s">
        <v>686</v>
      </c>
      <c r="F373" s="9" t="s">
        <v>1608</v>
      </c>
      <c r="G373" s="9"/>
      <c r="H373" s="16" t="s">
        <v>1667</v>
      </c>
      <c r="I373" s="9" t="b">
        <f t="shared" si="7"/>
        <v>0</v>
      </c>
      <c r="J373" s="1" t="s">
        <v>401</v>
      </c>
      <c r="K373" s="1" t="s">
        <v>1296</v>
      </c>
      <c r="L373" s="1" t="s">
        <v>401</v>
      </c>
      <c r="M373" s="9"/>
      <c r="N373" s="35"/>
      <c r="O373" s="24">
        <v>0</v>
      </c>
      <c r="P373" s="2" cm="1">
        <f t="array" ref="P373">_xlfn.XLOOKUP(TRIM(B373),TRIM('[1]wc-product-export-16-3-2026-177'!$A:$A),'[1]wc-product-export-16-3-2026-177'!$D:$D,0,0)</f>
        <v>0</v>
      </c>
      <c r="Q373" s="2" cm="1">
        <f t="array" ref="Q373">IF(TRIM($D373)="SET",IF($K373="Steak Set1",ROUNDDOWN(IFERROR(MIN(_xlfn._xlws.FILTER(O$3:O$650,ISNUMBER(MATCH(TRIM($B$3:$B$650),TRIM(_xlfn.TEXTSPLIT($N373,",")),0)))),0)/4,0)+P373,IF(IFERROR(MIN(_xlfn._xlws.FILTER(O$3:O$650,ISNUMBER(MATCH(TRIM($B$3:$B$650),TRIM(_xlfn.TEXTSPLIT($N373,",")),0)))),0)&gt;=$E$1,IFERROR(MIN(_xlfn._xlws.FILTER(O$3:O$650,ISNUMBER(MATCH(TRIM($B$3:$B$650),TRIM(_xlfn.TEXTSPLIT($N373,",")),0)))),0)+P373,P373)),IF(TRIM($D373)="EA",IF(TRIM($E373)="M",ROUNDUP(O373*0.85,0),IF(TRIM($E373)="P",O373,P373)),P373))</f>
        <v>0</v>
      </c>
      <c r="T373" t="str" cm="1">
        <f t="array" ref="T373">IFERROR(IF(D373="SET",_xlfn.TEXTJOIN(", ",TRUE,_xlfn._xlws.FILTER(TRANSPOSE(TRIM(_xlfn.TEXTSPLIT(N373,","))),COUNTIFS(B$3:B$650,TRANSPOSE(TRIM(_xlfn.TEXTSPLIT(N373,","))),O$3:O$650,"&lt;="&amp;$T$1))),""),"")</f>
        <v/>
      </c>
    </row>
    <row r="374" spans="1:20" ht="14.4" x14ac:dyDescent="0.3">
      <c r="A374" s="1">
        <v>56260</v>
      </c>
      <c r="B374" s="55" t="s">
        <v>1397</v>
      </c>
      <c r="C374" s="2" t="s">
        <v>1263</v>
      </c>
      <c r="D374" s="1" t="s">
        <v>624</v>
      </c>
      <c r="E374" s="1" t="s">
        <v>686</v>
      </c>
      <c r="F374" s="9" t="s">
        <v>1608</v>
      </c>
      <c r="G374" s="9"/>
      <c r="H374" s="16" t="s">
        <v>1662</v>
      </c>
      <c r="I374" s="9" t="b">
        <f t="shared" si="7"/>
        <v>0</v>
      </c>
      <c r="J374" s="1" t="s">
        <v>1670</v>
      </c>
      <c r="K374" s="1" t="s">
        <v>276</v>
      </c>
      <c r="L374" s="1" t="s">
        <v>276</v>
      </c>
      <c r="M374" s="9"/>
      <c r="N374" s="35"/>
      <c r="O374" s="24">
        <v>31</v>
      </c>
      <c r="P374" s="2" cm="1">
        <f t="array" ref="P374">_xlfn.XLOOKUP(TRIM(B374),TRIM('[1]wc-product-export-16-3-2026-177'!$A:$A),'[1]wc-product-export-16-3-2026-177'!$D:$D,0,0)</f>
        <v>0</v>
      </c>
      <c r="Q374" s="2" cm="1">
        <f t="array" ref="Q374">IF(TRIM($D374)="SET",IF($K374="Steak Set1",ROUNDDOWN(IFERROR(MIN(_xlfn._xlws.FILTER(O$3:O$650,ISNUMBER(MATCH(TRIM($B$3:$B$650),TRIM(_xlfn.TEXTSPLIT($N374,",")),0)))),0)/4,0)+P374,IF(IFERROR(MIN(_xlfn._xlws.FILTER(O$3:O$650,ISNUMBER(MATCH(TRIM($B$3:$B$650),TRIM(_xlfn.TEXTSPLIT($N374,",")),0)))),0)&gt;=$E$1,IFERROR(MIN(_xlfn._xlws.FILTER(O$3:O$650,ISNUMBER(MATCH(TRIM($B$3:$B$650),TRIM(_xlfn.TEXTSPLIT($N374,",")),0)))),0)+P374,P374)),IF(TRIM($D374)="EA",IF(TRIM($E374)="M",ROUNDUP(O374*0.85,0),IF(TRIM($E374)="P",O374,P374)),P374))</f>
        <v>27</v>
      </c>
      <c r="T374" t="str" cm="1">
        <f t="array" ref="T374">IFERROR(IF(D374="SET",_xlfn.TEXTJOIN(", ",TRUE,_xlfn._xlws.FILTER(TRANSPOSE(TRIM(_xlfn.TEXTSPLIT(N374,","))),COUNTIFS(B$3:B$650,TRANSPOSE(TRIM(_xlfn.TEXTSPLIT(N374,","))),O$3:O$650,"&lt;="&amp;$T$1))),""),"")</f>
        <v/>
      </c>
    </row>
    <row r="375" spans="1:20" ht="14.4" x14ac:dyDescent="0.3">
      <c r="A375" s="1">
        <v>56261</v>
      </c>
      <c r="B375" s="55">
        <v>56261</v>
      </c>
      <c r="C375" s="2" t="s">
        <v>1263</v>
      </c>
      <c r="D375" s="1" t="s">
        <v>628</v>
      </c>
      <c r="E375" s="1" t="s">
        <v>686</v>
      </c>
      <c r="F375" s="9" t="s">
        <v>1608</v>
      </c>
      <c r="H375" s="16" t="s">
        <v>1653</v>
      </c>
      <c r="I375" s="9" t="b">
        <f t="shared" si="7"/>
        <v>0</v>
      </c>
      <c r="J375" s="1" t="s">
        <v>1670</v>
      </c>
      <c r="L375" s="1" t="s">
        <v>1735</v>
      </c>
      <c r="N375" s="35" t="s">
        <v>1711</v>
      </c>
      <c r="O375" s="24">
        <v>33</v>
      </c>
      <c r="P375" s="2" cm="1">
        <f t="array" ref="P375">_xlfn.XLOOKUP(TRIM(B375),TRIM('[1]wc-product-export-16-3-2026-177'!$A:$A),'[1]wc-product-export-16-3-2026-177'!$D:$D,0,0)</f>
        <v>0</v>
      </c>
      <c r="Q375" s="2" cm="1">
        <f t="array" ref="Q375">IF(TRIM($D375)="SET",IF($K375="Steak Set1",ROUNDDOWN(IFERROR(MIN(_xlfn._xlws.FILTER(O$3:O$650,ISNUMBER(MATCH(TRIM($B$3:$B$650),TRIM(_xlfn.TEXTSPLIT($N375,",")),0)))),0)/4,0)+P375,IF(IFERROR(MIN(_xlfn._xlws.FILTER(O$3:O$650,ISNUMBER(MATCH(TRIM($B$3:$B$650),TRIM(_xlfn.TEXTSPLIT($N375,",")),0)))),0)&gt;=$E$1,IFERROR(MIN(_xlfn._xlws.FILTER(O$3:O$650,ISNUMBER(MATCH(TRIM($B$3:$B$650),TRIM(_xlfn.TEXTSPLIT($N375,",")),0)))),0)+P375,P375)),IF(TRIM($D375)="EA",IF(TRIM($E375)="M",ROUNDUP(O375*0.85,0),IF(TRIM($E375)="P",O375,P375)),P375))</f>
        <v>29</v>
      </c>
      <c r="T375" t="str" cm="1">
        <f t="array" ref="T375">IFERROR(IF(D375="SET",_xlfn.TEXTJOIN(", ",TRUE,_xlfn._xlws.FILTER(TRANSPOSE(TRIM(_xlfn.TEXTSPLIT(N375,","))),COUNTIFS(B$3:B$650,TRANSPOSE(TRIM(_xlfn.TEXTSPLIT(N375,","))),O$3:O$650,"&lt;="&amp;$T$1))),""),"")</f>
        <v/>
      </c>
    </row>
    <row r="376" spans="1:20" ht="14.4" x14ac:dyDescent="0.3">
      <c r="A376" s="1">
        <v>56262</v>
      </c>
      <c r="B376" s="55">
        <v>56262</v>
      </c>
      <c r="C376" s="2" t="s">
        <v>1263</v>
      </c>
      <c r="D376" s="1" t="s">
        <v>628</v>
      </c>
      <c r="E376" s="1" t="s">
        <v>686</v>
      </c>
      <c r="F376" s="9" t="s">
        <v>1608</v>
      </c>
      <c r="H376" s="16" t="s">
        <v>1642</v>
      </c>
      <c r="I376" s="9" t="b">
        <f t="shared" si="7"/>
        <v>0</v>
      </c>
      <c r="J376" s="1" t="s">
        <v>1670</v>
      </c>
      <c r="L376" s="1" t="s">
        <v>281</v>
      </c>
      <c r="N376" s="35" t="s">
        <v>1618</v>
      </c>
      <c r="O376" s="24">
        <v>14</v>
      </c>
      <c r="P376" s="2" cm="1">
        <f t="array" ref="P376">_xlfn.XLOOKUP(TRIM(B376),TRIM('[1]wc-product-export-16-3-2026-177'!$A:$A),'[1]wc-product-export-16-3-2026-177'!$D:$D,0,0)</f>
        <v>3</v>
      </c>
      <c r="Q376" s="2" cm="1">
        <f t="array" ref="Q376">IF(TRIM($D376)="SET",IF($K376="Steak Set1",ROUNDDOWN(IFERROR(MIN(_xlfn._xlws.FILTER(O$3:O$650,ISNUMBER(MATCH(TRIM($B$3:$B$650),TRIM(_xlfn.TEXTSPLIT($N376,",")),0)))),0)/4,0)+P376,IF(IFERROR(MIN(_xlfn._xlws.FILTER(O$3:O$650,ISNUMBER(MATCH(TRIM($B$3:$B$650),TRIM(_xlfn.TEXTSPLIT($N376,",")),0)))),0)&gt;=$E$1,IFERROR(MIN(_xlfn._xlws.FILTER(O$3:O$650,ISNUMBER(MATCH(TRIM($B$3:$B$650),TRIM(_xlfn.TEXTSPLIT($N376,",")),0)))),0)+P376,P376)),IF(TRIM($D376)="EA",IF(TRIM($E376)="M",ROUNDUP(O376*0.85,0),IF(TRIM($E376)="P",O376,P376)),P376))</f>
        <v>14</v>
      </c>
      <c r="T376" t="str" cm="1">
        <f t="array" ref="T376">IFERROR(IF(D376="SET",_xlfn.TEXTJOIN(", ",TRUE,_xlfn._xlws.FILTER(TRANSPOSE(TRIM(_xlfn.TEXTSPLIT(N376,","))),COUNTIFS(B$3:B$650,TRANSPOSE(TRIM(_xlfn.TEXTSPLIT(N376,","))),O$3:O$650,"&lt;="&amp;$T$1))),""),"")</f>
        <v/>
      </c>
    </row>
    <row r="377" spans="1:20" ht="14.4" x14ac:dyDescent="0.3">
      <c r="A377" s="1">
        <v>56263</v>
      </c>
      <c r="B377" s="55">
        <v>56263</v>
      </c>
      <c r="C377" s="2" t="s">
        <v>1263</v>
      </c>
      <c r="D377" s="1" t="s">
        <v>628</v>
      </c>
      <c r="E377" s="1" t="s">
        <v>686</v>
      </c>
      <c r="F377" s="9" t="s">
        <v>1608</v>
      </c>
      <c r="H377" s="16" t="s">
        <v>1654</v>
      </c>
      <c r="I377" s="9" t="b">
        <f t="shared" si="7"/>
        <v>0</v>
      </c>
      <c r="J377" s="1" t="s">
        <v>1670</v>
      </c>
      <c r="L377" s="1" t="s">
        <v>1735</v>
      </c>
      <c r="N377" s="35" t="s">
        <v>1619</v>
      </c>
      <c r="O377" s="24">
        <v>25</v>
      </c>
      <c r="P377" s="2" cm="1">
        <f t="array" ref="P377">_xlfn.XLOOKUP(TRIM(B377),TRIM('[1]wc-product-export-16-3-2026-177'!$A:$A),'[1]wc-product-export-16-3-2026-177'!$D:$D,0,0)</f>
        <v>0</v>
      </c>
      <c r="Q377" s="2" cm="1">
        <f t="array" ref="Q377">IF(TRIM($D377)="SET",IF($K377="Steak Set1",ROUNDDOWN(IFERROR(MIN(_xlfn._xlws.FILTER(O$3:O$650,ISNUMBER(MATCH(TRIM($B$3:$B$650),TRIM(_xlfn.TEXTSPLIT($N377,",")),0)))),0)/4,0)+P377,IF(IFERROR(MIN(_xlfn._xlws.FILTER(O$3:O$650,ISNUMBER(MATCH(TRIM($B$3:$B$650),TRIM(_xlfn.TEXTSPLIT($N377,",")),0)))),0)&gt;=$E$1,IFERROR(MIN(_xlfn._xlws.FILTER(O$3:O$650,ISNUMBER(MATCH(TRIM($B$3:$B$650),TRIM(_xlfn.TEXTSPLIT($N377,",")),0)))),0)+P377,P377)),IF(TRIM($D377)="EA",IF(TRIM($E377)="M",ROUNDUP(O377*0.85,0),IF(TRIM($E377)="P",O377,P377)),P377))</f>
        <v>29</v>
      </c>
      <c r="T377" t="str" cm="1">
        <f t="array" ref="T377">IFERROR(IF(D377="SET",_xlfn.TEXTJOIN(", ",TRUE,_xlfn._xlws.FILTER(TRANSPOSE(TRIM(_xlfn.TEXTSPLIT(N377,","))),COUNTIFS(B$3:B$650,TRANSPOSE(TRIM(_xlfn.TEXTSPLIT(N377,","))),O$3:O$650,"&lt;="&amp;$T$1))),""),"")</f>
        <v/>
      </c>
    </row>
    <row r="378" spans="1:20" ht="14.4" x14ac:dyDescent="0.3">
      <c r="A378" s="1">
        <v>56266</v>
      </c>
      <c r="B378" s="55">
        <v>56266</v>
      </c>
      <c r="C378" s="2" t="s">
        <v>1263</v>
      </c>
      <c r="D378" s="1" t="s">
        <v>628</v>
      </c>
      <c r="E378" s="1" t="s">
        <v>686</v>
      </c>
      <c r="F378" s="9" t="s">
        <v>1608</v>
      </c>
      <c r="H378" s="16" t="s">
        <v>1655</v>
      </c>
      <c r="I378" s="9" t="b">
        <f t="shared" si="7"/>
        <v>0</v>
      </c>
      <c r="J378" s="1" t="s">
        <v>1670</v>
      </c>
      <c r="L378" s="1" t="s">
        <v>1736</v>
      </c>
      <c r="N378" s="35" t="s">
        <v>1620</v>
      </c>
      <c r="O378" s="24">
        <v>25</v>
      </c>
      <c r="P378" s="2" cm="1">
        <f t="array" ref="P378">_xlfn.XLOOKUP(TRIM(B378),TRIM('[1]wc-product-export-16-3-2026-177'!$A:$A),'[1]wc-product-export-16-3-2026-177'!$D:$D,0,0)</f>
        <v>0</v>
      </c>
      <c r="Q378" s="2" cm="1">
        <f t="array" ref="Q378">IF(TRIM($D378)="SET",IF($K378="Steak Set1",ROUNDDOWN(IFERROR(MIN(_xlfn._xlws.FILTER(O$3:O$650,ISNUMBER(MATCH(TRIM($B$3:$B$650),TRIM(_xlfn.TEXTSPLIT($N378,",")),0)))),0)/4,0)+P378,IF(IFERROR(MIN(_xlfn._xlws.FILTER(O$3:O$650,ISNUMBER(MATCH(TRIM($B$3:$B$650),TRIM(_xlfn.TEXTSPLIT($N378,",")),0)))),0)&gt;=$E$1,IFERROR(MIN(_xlfn._xlws.FILTER(O$3:O$650,ISNUMBER(MATCH(TRIM($B$3:$B$650),TRIM(_xlfn.TEXTSPLIT($N378,",")),0)))),0)+P378,P378)),IF(TRIM($D378)="EA",IF(TRIM($E378)="M",ROUNDUP(O378*0.85,0),IF(TRIM($E378)="P",O378,P378)),P378))</f>
        <v>29</v>
      </c>
      <c r="T378" t="str" cm="1">
        <f t="array" ref="T378">IFERROR(IF(D378="SET",_xlfn.TEXTJOIN(", ",TRUE,_xlfn._xlws.FILTER(TRANSPOSE(TRIM(_xlfn.TEXTSPLIT(N378,","))),COUNTIFS(B$3:B$650,TRANSPOSE(TRIM(_xlfn.TEXTSPLIT(N378,","))),O$3:O$650,"&lt;="&amp;$T$1))),""),"")</f>
        <v/>
      </c>
    </row>
    <row r="379" spans="1:20" ht="14.4" x14ac:dyDescent="0.3">
      <c r="A379" s="1">
        <v>56268</v>
      </c>
      <c r="B379" s="55">
        <v>56268</v>
      </c>
      <c r="C379" s="2" t="s">
        <v>1263</v>
      </c>
      <c r="D379" s="1" t="s">
        <v>628</v>
      </c>
      <c r="E379" s="1" t="s">
        <v>686</v>
      </c>
      <c r="F379" s="9" t="s">
        <v>1608</v>
      </c>
      <c r="H379" s="16" t="s">
        <v>1634</v>
      </c>
      <c r="I379" s="9" t="b">
        <f t="shared" si="7"/>
        <v>0</v>
      </c>
      <c r="J379" s="1" t="s">
        <v>1670</v>
      </c>
      <c r="K379" s="1" t="s">
        <v>1712</v>
      </c>
      <c r="L379" s="1" t="s">
        <v>1737</v>
      </c>
      <c r="N379" s="35">
        <v>56202</v>
      </c>
      <c r="O379" s="24">
        <v>56</v>
      </c>
      <c r="P379" s="2" cm="1">
        <f t="array" ref="P379">_xlfn.XLOOKUP(TRIM(B379),TRIM('[1]wc-product-export-16-3-2026-177'!$A:$A),'[1]wc-product-export-16-3-2026-177'!$D:$D,0,0)</f>
        <v>25</v>
      </c>
      <c r="Q379" s="2" cm="1">
        <f t="array" ref="Q379">IF(TRIM($D379)="SET",IF($K379="Steak Set1",ROUNDDOWN(IFERROR(MIN(_xlfn._xlws.FILTER(O$3:O$650,ISNUMBER(MATCH(TRIM($B$3:$B$650),TRIM(_xlfn.TEXTSPLIT($N379,",")),0)))),0)/4,0)+P379,IF(IFERROR(MIN(_xlfn._xlws.FILTER(O$3:O$650,ISNUMBER(MATCH(TRIM($B$3:$B$650),TRIM(_xlfn.TEXTSPLIT($N379,",")),0)))),0)&gt;=$E$1,IFERROR(MIN(_xlfn._xlws.FILTER(O$3:O$650,ISNUMBER(MATCH(TRIM($B$3:$B$650),TRIM(_xlfn.TEXTSPLIT($N379,",")),0)))),0)+P379,P379)),IF(TRIM($D379)="EA",IF(TRIM($E379)="M",ROUNDUP(O379*0.85,0),IF(TRIM($E379)="P",O379,P379)),P379))</f>
        <v>26</v>
      </c>
      <c r="T379" t="str" cm="1">
        <f t="array" ref="T379">IFERROR(IF(D379="SET",_xlfn.TEXTJOIN(", ",TRUE,_xlfn._xlws.FILTER(TRANSPOSE(TRIM(_xlfn.TEXTSPLIT(N379,","))),COUNTIFS(B$3:B$650,TRANSPOSE(TRIM(_xlfn.TEXTSPLIT(N379,","))),O$3:O$650,"&lt;="&amp;$T$1))),""),"")</f>
        <v/>
      </c>
    </row>
    <row r="380" spans="1:20" ht="14.4" x14ac:dyDescent="0.3">
      <c r="A380" s="1">
        <v>56269</v>
      </c>
      <c r="B380" s="55">
        <v>56269</v>
      </c>
      <c r="C380" s="2" t="s">
        <v>1263</v>
      </c>
      <c r="D380" s="1" t="s">
        <v>628</v>
      </c>
      <c r="E380" s="1" t="s">
        <v>686</v>
      </c>
      <c r="F380" s="9" t="s">
        <v>1608</v>
      </c>
      <c r="H380" s="16" t="s">
        <v>1659</v>
      </c>
      <c r="I380" s="9" t="b">
        <f t="shared" si="7"/>
        <v>0</v>
      </c>
      <c r="J380" s="1" t="s">
        <v>1670</v>
      </c>
      <c r="L380" s="1" t="s">
        <v>1738</v>
      </c>
      <c r="N380" s="35" t="s">
        <v>1621</v>
      </c>
      <c r="O380" s="24">
        <v>8</v>
      </c>
      <c r="P380" s="2" cm="1">
        <f t="array" ref="P380">_xlfn.XLOOKUP(TRIM(B380),TRIM('[1]wc-product-export-16-3-2026-177'!$A:$A),'[1]wc-product-export-16-3-2026-177'!$D:$D,0,0)</f>
        <v>0</v>
      </c>
      <c r="Q380" s="2" cm="1">
        <f t="array" ref="Q380">IF(TRIM($D380)="SET",IF($K380="Steak Set1",ROUNDDOWN(IFERROR(MIN(_xlfn._xlws.FILTER(O$3:O$650,ISNUMBER(MATCH(TRIM($B$3:$B$650),TRIM(_xlfn.TEXTSPLIT($N380,",")),0)))),0)/4,0)+P380,IF(IFERROR(MIN(_xlfn._xlws.FILTER(O$3:O$650,ISNUMBER(MATCH(TRIM($B$3:$B$650),TRIM(_xlfn.TEXTSPLIT($N380,",")),0)))),0)&gt;=$E$1,IFERROR(MIN(_xlfn._xlws.FILTER(O$3:O$650,ISNUMBER(MATCH(TRIM($B$3:$B$650),TRIM(_xlfn.TEXTSPLIT($N380,",")),0)))),0)+P380,P380)),IF(TRIM($D380)="EA",IF(TRIM($E380)="M",ROUNDUP(O380*0.85,0),IF(TRIM($E380)="P",O380,P380)),P380))</f>
        <v>8</v>
      </c>
      <c r="T380" t="str" cm="1">
        <f t="array" ref="T380">IFERROR(IF(D380="SET",_xlfn.TEXTJOIN(", ",TRUE,_xlfn._xlws.FILTER(TRANSPOSE(TRIM(_xlfn.TEXTSPLIT(N380,","))),COUNTIFS(B$3:B$650,TRANSPOSE(TRIM(_xlfn.TEXTSPLIT(N380,","))),O$3:O$650,"&lt;="&amp;$T$1))),""),"")</f>
        <v/>
      </c>
    </row>
    <row r="381" spans="1:20" ht="14.4" x14ac:dyDescent="0.3">
      <c r="A381" s="1">
        <v>56270</v>
      </c>
      <c r="B381" s="55">
        <v>56270</v>
      </c>
      <c r="C381" s="2" t="s">
        <v>1263</v>
      </c>
      <c r="D381" s="1" t="s">
        <v>628</v>
      </c>
      <c r="E381" s="1" t="s">
        <v>686</v>
      </c>
      <c r="F381" s="9" t="s">
        <v>1608</v>
      </c>
      <c r="H381" s="16" t="s">
        <v>1643</v>
      </c>
      <c r="I381" s="9" t="b">
        <f t="shared" si="7"/>
        <v>0</v>
      </c>
      <c r="J381" s="1" t="s">
        <v>1670</v>
      </c>
      <c r="L381" s="1" t="s">
        <v>1741</v>
      </c>
      <c r="N381" s="35" t="s">
        <v>1622</v>
      </c>
      <c r="O381" s="24">
        <v>25</v>
      </c>
      <c r="P381" s="2" cm="1">
        <f t="array" ref="P381">_xlfn.XLOOKUP(TRIM(B381),TRIM('[1]wc-product-export-16-3-2026-177'!$A:$A),'[1]wc-product-export-16-3-2026-177'!$D:$D,0,0)</f>
        <v>0</v>
      </c>
      <c r="Q381" s="2" cm="1">
        <f t="array" ref="Q381">IF(TRIM($D381)="SET",IF($K381="Steak Set1",ROUNDDOWN(IFERROR(MIN(_xlfn._xlws.FILTER(O$3:O$650,ISNUMBER(MATCH(TRIM($B$3:$B$650),TRIM(_xlfn.TEXTSPLIT($N381,",")),0)))),0)/4,0)+P381,IF(IFERROR(MIN(_xlfn._xlws.FILTER(O$3:O$650,ISNUMBER(MATCH(TRIM($B$3:$B$650),TRIM(_xlfn.TEXTSPLIT($N381,",")),0)))),0)&gt;=$E$1,IFERROR(MIN(_xlfn._xlws.FILTER(O$3:O$650,ISNUMBER(MATCH(TRIM($B$3:$B$650),TRIM(_xlfn.TEXTSPLIT($N381,",")),0)))),0)+P381,P381)),IF(TRIM($D381)="EA",IF(TRIM($E381)="M",ROUNDUP(O381*0.85,0),IF(TRIM($E381)="P",O381,P381)),P381))</f>
        <v>29</v>
      </c>
      <c r="T381" t="str" cm="1">
        <f t="array" ref="T381">IFERROR(IF(D381="SET",_xlfn.TEXTJOIN(", ",TRUE,_xlfn._xlws.FILTER(TRANSPOSE(TRIM(_xlfn.TEXTSPLIT(N381,","))),COUNTIFS(B$3:B$650,TRANSPOSE(TRIM(_xlfn.TEXTSPLIT(N381,","))),O$3:O$650,"&lt;="&amp;$T$1))),""),"")</f>
        <v/>
      </c>
    </row>
    <row r="382" spans="1:20" ht="14.4" x14ac:dyDescent="0.3">
      <c r="A382" s="1">
        <v>56272</v>
      </c>
      <c r="B382" s="55">
        <v>56272</v>
      </c>
      <c r="C382" s="2" t="s">
        <v>1263</v>
      </c>
      <c r="D382" s="1" t="s">
        <v>628</v>
      </c>
      <c r="E382" s="1" t="s">
        <v>686</v>
      </c>
      <c r="F382" s="9" t="s">
        <v>1608</v>
      </c>
      <c r="H382" s="16" t="s">
        <v>1644</v>
      </c>
      <c r="I382" s="9" t="b">
        <f t="shared" si="7"/>
        <v>0</v>
      </c>
      <c r="J382" s="1" t="s">
        <v>1670</v>
      </c>
      <c r="L382" s="1" t="s">
        <v>1742</v>
      </c>
      <c r="N382" s="35" t="s">
        <v>1623</v>
      </c>
      <c r="O382" s="24">
        <v>33</v>
      </c>
      <c r="P382" s="2" cm="1">
        <f t="array" ref="P382">_xlfn.XLOOKUP(TRIM(B382),TRIM('[1]wc-product-export-16-3-2026-177'!$A:$A),'[1]wc-product-export-16-3-2026-177'!$D:$D,0,0)</f>
        <v>0</v>
      </c>
      <c r="Q382" s="2" cm="1">
        <f t="array" ref="Q382">IF(TRIM($D382)="SET",IF($K382="Steak Set1",ROUNDDOWN(IFERROR(MIN(_xlfn._xlws.FILTER(O$3:O$650,ISNUMBER(MATCH(TRIM($B$3:$B$650),TRIM(_xlfn.TEXTSPLIT($N382,",")),0)))),0)/4,0)+P382,IF(IFERROR(MIN(_xlfn._xlws.FILTER(O$3:O$650,ISNUMBER(MATCH(TRIM($B$3:$B$650),TRIM(_xlfn.TEXTSPLIT($N382,",")),0)))),0)&gt;=$E$1,IFERROR(MIN(_xlfn._xlws.FILTER(O$3:O$650,ISNUMBER(MATCH(TRIM($B$3:$B$650),TRIM(_xlfn.TEXTSPLIT($N382,",")),0)))),0)+P382,P382)),IF(TRIM($D382)="EA",IF(TRIM($E382)="M",ROUNDUP(O382*0.85,0),IF(TRIM($E382)="P",O382,P382)),P382))</f>
        <v>29</v>
      </c>
      <c r="T382" t="str" cm="1">
        <f t="array" ref="T382">IFERROR(IF(D382="SET",_xlfn.TEXTJOIN(", ",TRUE,_xlfn._xlws.FILTER(TRANSPOSE(TRIM(_xlfn.TEXTSPLIT(N382,","))),COUNTIFS(B$3:B$650,TRANSPOSE(TRIM(_xlfn.TEXTSPLIT(N382,","))),O$3:O$650,"&lt;="&amp;$T$1))),""),"")</f>
        <v/>
      </c>
    </row>
    <row r="383" spans="1:20" ht="14.4" x14ac:dyDescent="0.3">
      <c r="A383" s="1">
        <v>56274</v>
      </c>
      <c r="B383" s="55" t="s">
        <v>1398</v>
      </c>
      <c r="C383" s="2" t="s">
        <v>1263</v>
      </c>
      <c r="D383" s="1" t="s">
        <v>624</v>
      </c>
      <c r="E383" s="1" t="s">
        <v>686</v>
      </c>
      <c r="F383" s="9" t="s">
        <v>1608</v>
      </c>
      <c r="G383" s="9"/>
      <c r="H383" s="16" t="s">
        <v>1629</v>
      </c>
      <c r="I383" s="9" t="b">
        <f t="shared" si="7"/>
        <v>1</v>
      </c>
      <c r="J383" s="1" t="s">
        <v>1670</v>
      </c>
      <c r="K383" s="1" t="s">
        <v>287</v>
      </c>
      <c r="L383" s="1" t="s">
        <v>287</v>
      </c>
      <c r="M383" s="9"/>
      <c r="N383" s="35"/>
      <c r="O383" s="24">
        <v>6</v>
      </c>
      <c r="P383" s="2" cm="1">
        <f t="array" ref="P383">_xlfn.XLOOKUP(TRIM(B383),TRIM('[1]wc-product-export-16-3-2026-177'!$A:$A),'[1]wc-product-export-16-3-2026-177'!$D:$D,0,0)</f>
        <v>0</v>
      </c>
      <c r="Q383" s="2" cm="1">
        <f t="array" ref="Q383">IF(TRIM($D383)="SET",IF($K383="Steak Set1",ROUNDDOWN(IFERROR(MIN(_xlfn._xlws.FILTER(O$3:O$650,ISNUMBER(MATCH(TRIM($B$3:$B$650),TRIM(_xlfn.TEXTSPLIT($N383,",")),0)))),0)/4,0)+P383,IF(IFERROR(MIN(_xlfn._xlws.FILTER(O$3:O$650,ISNUMBER(MATCH(TRIM($B$3:$B$650),TRIM(_xlfn.TEXTSPLIT($N383,",")),0)))),0)&gt;=$E$1,IFERROR(MIN(_xlfn._xlws.FILTER(O$3:O$650,ISNUMBER(MATCH(TRIM($B$3:$B$650),TRIM(_xlfn.TEXTSPLIT($N383,",")),0)))),0)+P383,P383)),IF(TRIM($D383)="EA",IF(TRIM($E383)="M",ROUNDUP(O383*0.85,0),IF(TRIM($E383)="P",O383,P383)),P383))</f>
        <v>6</v>
      </c>
      <c r="T383" t="str" cm="1">
        <f t="array" ref="T383">IFERROR(IF(D383="SET",_xlfn.TEXTJOIN(", ",TRUE,_xlfn._xlws.FILTER(TRANSPOSE(TRIM(_xlfn.TEXTSPLIT(N383,","))),COUNTIFS(B$3:B$650,TRANSPOSE(TRIM(_xlfn.TEXTSPLIT(N383,","))),O$3:O$650,"&lt;="&amp;$T$1))),""),"")</f>
        <v/>
      </c>
    </row>
    <row r="384" spans="1:20" ht="14.4" x14ac:dyDescent="0.3">
      <c r="A384" s="1">
        <v>56277</v>
      </c>
      <c r="B384" s="56" t="s">
        <v>1399</v>
      </c>
      <c r="C384" s="2" t="s">
        <v>1263</v>
      </c>
      <c r="D384" s="1" t="s">
        <v>624</v>
      </c>
      <c r="E384" s="1" t="s">
        <v>686</v>
      </c>
      <c r="F384" s="9" t="s">
        <v>1608</v>
      </c>
      <c r="G384" s="9"/>
      <c r="H384" s="16" t="s">
        <v>1630</v>
      </c>
      <c r="I384" s="9" t="b">
        <f t="shared" si="7"/>
        <v>1</v>
      </c>
      <c r="J384" s="1" t="s">
        <v>1670</v>
      </c>
      <c r="K384" s="1" t="s">
        <v>1300</v>
      </c>
      <c r="L384" s="1" t="s">
        <v>287</v>
      </c>
      <c r="M384" s="9"/>
      <c r="N384" s="35"/>
      <c r="O384" s="24">
        <v>12</v>
      </c>
      <c r="P384" s="2" cm="1">
        <f t="array" ref="P384">_xlfn.XLOOKUP(TRIM(B384),TRIM('[1]wc-product-export-16-3-2026-177'!$A:$A),'[1]wc-product-export-16-3-2026-177'!$D:$D,0,0)</f>
        <v>0</v>
      </c>
      <c r="Q384" s="2" cm="1">
        <f t="array" ref="Q384">IF(TRIM($D384)="SET",IF($K384="Steak Set1",ROUNDDOWN(IFERROR(MIN(_xlfn._xlws.FILTER(O$3:O$650,ISNUMBER(MATCH(TRIM($B$3:$B$650),TRIM(_xlfn.TEXTSPLIT($N384,",")),0)))),0)/4,0)+P384,IF(IFERROR(MIN(_xlfn._xlws.FILTER(O$3:O$650,ISNUMBER(MATCH(TRIM($B$3:$B$650),TRIM(_xlfn.TEXTSPLIT($N384,",")),0)))),0)&gt;=$E$1,IFERROR(MIN(_xlfn._xlws.FILTER(O$3:O$650,ISNUMBER(MATCH(TRIM($B$3:$B$650),TRIM(_xlfn.TEXTSPLIT($N384,",")),0)))),0)+P384,P384)),IF(TRIM($D384)="EA",IF(TRIM($E384)="M",ROUNDUP(O384*0.85,0),IF(TRIM($E384)="P",O384,P384)),P384))</f>
        <v>11</v>
      </c>
      <c r="T384" t="str" cm="1">
        <f t="array" ref="T384">IFERROR(IF(D384="SET",_xlfn.TEXTJOIN(", ",TRUE,_xlfn._xlws.FILTER(TRANSPOSE(TRIM(_xlfn.TEXTSPLIT(N384,","))),COUNTIFS(B$3:B$650,TRANSPOSE(TRIM(_xlfn.TEXTSPLIT(N384,","))),O$3:O$650,"&lt;="&amp;$T$1))),""),"")</f>
        <v/>
      </c>
    </row>
    <row r="385" spans="1:20" ht="14.4" x14ac:dyDescent="0.3">
      <c r="A385" s="1">
        <v>56278</v>
      </c>
      <c r="B385" s="55" t="s">
        <v>1400</v>
      </c>
      <c r="C385" s="2" t="s">
        <v>1263</v>
      </c>
      <c r="D385" s="1" t="s">
        <v>624</v>
      </c>
      <c r="E385" s="1" t="s">
        <v>686</v>
      </c>
      <c r="F385" s="9" t="s">
        <v>1608</v>
      </c>
      <c r="G385" s="9"/>
      <c r="H385" s="16" t="s">
        <v>1631</v>
      </c>
      <c r="I385" s="9" t="b">
        <f t="shared" si="7"/>
        <v>1</v>
      </c>
      <c r="J385" s="1" t="s">
        <v>1670</v>
      </c>
      <c r="K385" s="1" t="s">
        <v>1299</v>
      </c>
      <c r="L385" s="1" t="s">
        <v>287</v>
      </c>
      <c r="M385" s="9"/>
      <c r="N385" s="35"/>
      <c r="O385" s="24">
        <v>4</v>
      </c>
      <c r="P385" s="2" cm="1">
        <f t="array" ref="P385">_xlfn.XLOOKUP(TRIM(B385),TRIM('[1]wc-product-export-16-3-2026-177'!$A:$A),'[1]wc-product-export-16-3-2026-177'!$D:$D,0,0)</f>
        <v>0</v>
      </c>
      <c r="Q385" s="2" cm="1">
        <f t="array" ref="Q385">IF(TRIM($D385)="SET",IF($K385="Steak Set1",ROUNDDOWN(IFERROR(MIN(_xlfn._xlws.FILTER(O$3:O$650,ISNUMBER(MATCH(TRIM($B$3:$B$650),TRIM(_xlfn.TEXTSPLIT($N385,",")),0)))),0)/4,0)+P385,IF(IFERROR(MIN(_xlfn._xlws.FILTER(O$3:O$650,ISNUMBER(MATCH(TRIM($B$3:$B$650),TRIM(_xlfn.TEXTSPLIT($N385,",")),0)))),0)&gt;=$E$1,IFERROR(MIN(_xlfn._xlws.FILTER(O$3:O$650,ISNUMBER(MATCH(TRIM($B$3:$B$650),TRIM(_xlfn.TEXTSPLIT($N385,",")),0)))),0)+P385,P385)),IF(TRIM($D385)="EA",IF(TRIM($E385)="M",ROUNDUP(O385*0.85,0),IF(TRIM($E385)="P",O385,P385)),P385))</f>
        <v>4</v>
      </c>
      <c r="T385" t="str" cm="1">
        <f t="array" ref="T385">IFERROR(IF(D385="SET",_xlfn.TEXTJOIN(", ",TRUE,_xlfn._xlws.FILTER(TRANSPOSE(TRIM(_xlfn.TEXTSPLIT(N385,","))),COUNTIFS(B$3:B$650,TRANSPOSE(TRIM(_xlfn.TEXTSPLIT(N385,","))),O$3:O$650,"&lt;="&amp;$T$1))),""),"")</f>
        <v/>
      </c>
    </row>
    <row r="386" spans="1:20" ht="14.4" x14ac:dyDescent="0.3">
      <c r="A386" s="1">
        <v>56284</v>
      </c>
      <c r="B386" s="55">
        <v>56284</v>
      </c>
      <c r="C386" s="2" t="s">
        <v>1263</v>
      </c>
      <c r="D386" s="1" t="s">
        <v>628</v>
      </c>
      <c r="E386" s="1" t="s">
        <v>686</v>
      </c>
      <c r="F386" s="9" t="s">
        <v>1608</v>
      </c>
      <c r="H386" s="16" t="s">
        <v>1656</v>
      </c>
      <c r="I386" s="9" t="b">
        <f t="shared" si="7"/>
        <v>0</v>
      </c>
      <c r="J386" s="1" t="s">
        <v>1670</v>
      </c>
      <c r="K386" s="1" t="s">
        <v>1715</v>
      </c>
      <c r="L386" s="1" t="s">
        <v>1715</v>
      </c>
      <c r="N386" s="35" t="s">
        <v>1616</v>
      </c>
      <c r="O386" s="24">
        <v>25</v>
      </c>
      <c r="P386" s="2" cm="1">
        <f t="array" ref="P386">_xlfn.XLOOKUP(TRIM(B386),TRIM('[1]wc-product-export-16-3-2026-177'!$A:$A),'[1]wc-product-export-16-3-2026-177'!$D:$D,0,0)</f>
        <v>0</v>
      </c>
      <c r="Q386" s="2" cm="1">
        <f t="array" ref="Q386">IF(TRIM($D386)="SET",IF($K386="Steak Set1",ROUNDDOWN(IFERROR(MIN(_xlfn._xlws.FILTER(O$3:O$650,ISNUMBER(MATCH(TRIM($B$3:$B$650),TRIM(_xlfn.TEXTSPLIT($N386,",")),0)))),0)/4,0)+P386,IF(IFERROR(MIN(_xlfn._xlws.FILTER(O$3:O$650,ISNUMBER(MATCH(TRIM($B$3:$B$650),TRIM(_xlfn.TEXTSPLIT($N386,",")),0)))),0)&gt;=$E$1,IFERROR(MIN(_xlfn._xlws.FILTER(O$3:O$650,ISNUMBER(MATCH(TRIM($B$3:$B$650),TRIM(_xlfn.TEXTSPLIT($N386,",")),0)))),0)+P386,P386)),IF(TRIM($D386)="EA",IF(TRIM($E386)="M",ROUNDUP(O386*0.85,0),IF(TRIM($E386)="P",O386,P386)),P386))</f>
        <v>29</v>
      </c>
      <c r="T386" t="str" cm="1">
        <f t="array" ref="T386">IFERROR(IF(D386="SET",_xlfn.TEXTJOIN(", ",TRUE,_xlfn._xlws.FILTER(TRANSPOSE(TRIM(_xlfn.TEXTSPLIT(N386,","))),COUNTIFS(B$3:B$650,TRANSPOSE(TRIM(_xlfn.TEXTSPLIT(N386,","))),O$3:O$650,"&lt;="&amp;$T$1))),""),"")</f>
        <v/>
      </c>
    </row>
    <row r="387" spans="1:20" ht="14.4" x14ac:dyDescent="0.3">
      <c r="A387" s="1">
        <v>56285</v>
      </c>
      <c r="B387" s="55">
        <v>56285</v>
      </c>
      <c r="C387" s="2" t="s">
        <v>1263</v>
      </c>
      <c r="D387" s="1" t="s">
        <v>628</v>
      </c>
      <c r="E387" s="1" t="s">
        <v>686</v>
      </c>
      <c r="F387" s="9" t="s">
        <v>1608</v>
      </c>
      <c r="H387" s="16" t="s">
        <v>1657</v>
      </c>
      <c r="I387" s="9" t="b">
        <f t="shared" si="7"/>
        <v>0</v>
      </c>
      <c r="J387" s="1" t="s">
        <v>1670</v>
      </c>
      <c r="K387" s="1" t="s">
        <v>1716</v>
      </c>
      <c r="L387" s="1" t="s">
        <v>1716</v>
      </c>
      <c r="N387" s="35" t="s">
        <v>1617</v>
      </c>
      <c r="O387" s="24">
        <v>8</v>
      </c>
      <c r="P387" s="2" cm="1">
        <f t="array" ref="P387">_xlfn.XLOOKUP(TRIM(B387),TRIM('[1]wc-product-export-16-3-2026-177'!$A:$A),'[1]wc-product-export-16-3-2026-177'!$D:$D,0,0)</f>
        <v>0</v>
      </c>
      <c r="Q387" s="2" cm="1">
        <f t="array" ref="Q387">IF(TRIM($D387)="SET",IF($K387="Steak Set1",ROUNDDOWN(IFERROR(MIN(_xlfn._xlws.FILTER(O$3:O$650,ISNUMBER(MATCH(TRIM($B$3:$B$650),TRIM(_xlfn.TEXTSPLIT($N387,",")),0)))),0)/4,0)+P387,IF(IFERROR(MIN(_xlfn._xlws.FILTER(O$3:O$650,ISNUMBER(MATCH(TRIM($B$3:$B$650),TRIM(_xlfn.TEXTSPLIT($N387,",")),0)))),0)&gt;=$E$1,IFERROR(MIN(_xlfn._xlws.FILTER(O$3:O$650,ISNUMBER(MATCH(TRIM($B$3:$B$650),TRIM(_xlfn.TEXTSPLIT($N387,",")),0)))),0)+P387,P387)),IF(TRIM($D387)="EA",IF(TRIM($E387)="M",ROUNDUP(O387*0.85,0),IF(TRIM($E387)="P",O387,P387)),P387))</f>
        <v>8</v>
      </c>
      <c r="T387" t="str" cm="1">
        <f t="array" ref="T387">IFERROR(IF(D387="SET",_xlfn.TEXTJOIN(", ",TRUE,_xlfn._xlws.FILTER(TRANSPOSE(TRIM(_xlfn.TEXTSPLIT(N387,","))),COUNTIFS(B$3:B$650,TRANSPOSE(TRIM(_xlfn.TEXTSPLIT(N387,","))),O$3:O$650,"&lt;="&amp;$T$1))),""),"")</f>
        <v/>
      </c>
    </row>
    <row r="388" spans="1:20" ht="24" x14ac:dyDescent="0.3">
      <c r="A388" s="1">
        <v>56286</v>
      </c>
      <c r="B388" s="55">
        <v>56286</v>
      </c>
      <c r="C388" s="2" t="s">
        <v>1263</v>
      </c>
      <c r="D388" s="1" t="s">
        <v>628</v>
      </c>
      <c r="E388" s="1" t="s">
        <v>686</v>
      </c>
      <c r="F388" s="9" t="s">
        <v>1608</v>
      </c>
      <c r="H388" s="16" t="s">
        <v>1635</v>
      </c>
      <c r="I388" s="9" t="b">
        <f t="shared" ref="I388:I451" si="8">ISNUMBER(SEARCH($I$2,H388))</f>
        <v>0</v>
      </c>
      <c r="J388" s="1" t="s">
        <v>1670</v>
      </c>
      <c r="K388" s="1" t="s">
        <v>1713</v>
      </c>
      <c r="L388" s="1" t="s">
        <v>1720</v>
      </c>
      <c r="M388" s="9">
        <v>1</v>
      </c>
      <c r="N388" s="35" t="s">
        <v>1749</v>
      </c>
      <c r="O388" s="24">
        <v>0</v>
      </c>
      <c r="P388" s="2" cm="1">
        <f t="array" ref="P388">_xlfn.XLOOKUP(TRIM(B388),TRIM('[1]wc-product-export-16-3-2026-177'!$A:$A),'[1]wc-product-export-16-3-2026-177'!$D:$D,0,0)</f>
        <v>0</v>
      </c>
      <c r="Q388" s="66" cm="1">
        <f t="array" ref="Q388">_xlfn.LET(_xlpm.items,TRIM(_xlfn.TEXTSPLIT($N388,",")),_xlpm.codes,TRIM($B$3:$B$650),_xlpm.qty,$O$3:$O$650,_xlpm.setMask,ISNUMBER(MATCH(_xlpm.codes,_xlpm.items,0)),_xlpm.knifeType,IF(ISNUMBER(SEARCH("fine",$H388)),"03",IF(ISNUMBER(SEARCH("serr",$H388)),"02","")),_xlpm.knifeStock,IFERROR(MIN(IF(_xlpm.setMask*(RIGHT(_xlpm.codes,2)=_xlpm.knifeType),_xlpm.qty)),0),_xlpm.otherStock,IFERROR(MIN(IF(_xlpm.setMask*(RIGHT(_xlpm.codes,2)&lt;&gt;_xlpm.knifeType),_xlpm.qty)),0),IF(_xlpm.knifeStock&gt;=8,MIN(ROUNDDOWN(_xlpm.knifeStock/8,0),_xlpm.otherStock),0)+P388)</f>
        <v>0</v>
      </c>
      <c r="T388" t="str" cm="1">
        <f t="array" ref="T388">IFERROR(IF(D388="SET",_xlfn.TEXTJOIN(", ",TRUE,_xlfn._xlws.FILTER(TRANSPOSE(TRIM(_xlfn.TEXTSPLIT(N388,","))),COUNTIFS(B$3:B$650,TRANSPOSE(TRIM(_xlfn.TEXTSPLIT(N388,","))),O$3:O$650,"&lt;="&amp;$T$1))),""),"")</f>
        <v/>
      </c>
    </row>
    <row r="389" spans="1:20" ht="24" x14ac:dyDescent="0.3">
      <c r="A389" s="1">
        <v>56287</v>
      </c>
      <c r="B389" s="55">
        <v>56287</v>
      </c>
      <c r="C389" s="2" t="s">
        <v>1263</v>
      </c>
      <c r="D389" s="1" t="s">
        <v>628</v>
      </c>
      <c r="E389" s="1" t="s">
        <v>686</v>
      </c>
      <c r="F389" s="9" t="s">
        <v>1608</v>
      </c>
      <c r="H389" s="16" t="s">
        <v>1636</v>
      </c>
      <c r="I389" s="9" t="b">
        <f t="shared" si="8"/>
        <v>0</v>
      </c>
      <c r="J389" s="1" t="s">
        <v>1670</v>
      </c>
      <c r="K389" s="1" t="s">
        <v>1713</v>
      </c>
      <c r="L389" s="1" t="s">
        <v>1720</v>
      </c>
      <c r="M389" s="9">
        <v>1</v>
      </c>
      <c r="N389" s="35" t="s">
        <v>1750</v>
      </c>
      <c r="O389" s="24">
        <v>0</v>
      </c>
      <c r="P389" s="2" cm="1">
        <f t="array" ref="P389">_xlfn.XLOOKUP(TRIM(B389),TRIM('[1]wc-product-export-16-3-2026-177'!$A:$A),'[1]wc-product-export-16-3-2026-177'!$D:$D,0,0)</f>
        <v>0</v>
      </c>
      <c r="Q389" s="66" cm="1">
        <f t="array" ref="Q389">_xlfn.LET(_xlpm.items,TRIM(_xlfn.TEXTSPLIT($N389,",")),_xlpm.codes,TRIM($B$3:$B$650),_xlpm.qty,$O$3:$O$650,_xlpm.setMask,ISNUMBER(MATCH(_xlpm.codes,_xlpm.items,0)),_xlpm.knifeType,IF(ISNUMBER(SEARCH("fine",$H389)),"03",IF(ISNUMBER(SEARCH("serr",$H389)),"02","")),_xlpm.knifeStock,IFERROR(MIN(IF(_xlpm.setMask*(RIGHT(_xlpm.codes,2)=_xlpm.knifeType),_xlpm.qty)),0),_xlpm.otherStock,IFERROR(MIN(IF(_xlpm.setMask*(RIGHT(_xlpm.codes,2)&lt;&gt;_xlpm.knifeType),_xlpm.qty)),0),IF(_xlpm.knifeStock&gt;=8,MIN(ROUNDDOWN(_xlpm.knifeStock/8,0),_xlpm.otherStock),0)+P389)</f>
        <v>0</v>
      </c>
      <c r="T389" t="str" cm="1">
        <f t="array" ref="T389">IFERROR(IF(D389="SET",_xlfn.TEXTJOIN(", ",TRUE,_xlfn._xlws.FILTER(TRANSPOSE(TRIM(_xlfn.TEXTSPLIT(N389,","))),COUNTIFS(B$3:B$650,TRANSPOSE(TRIM(_xlfn.TEXTSPLIT(N389,","))),O$3:O$650,"&lt;="&amp;$T$1))),""),"")</f>
        <v>56203</v>
      </c>
    </row>
    <row r="390" spans="1:20" ht="14.4" x14ac:dyDescent="0.3">
      <c r="A390" s="1">
        <v>56292</v>
      </c>
      <c r="B390" s="55">
        <v>56292</v>
      </c>
      <c r="C390" s="2" t="s">
        <v>1263</v>
      </c>
      <c r="D390" s="1" t="s">
        <v>628</v>
      </c>
      <c r="E390" s="1" t="s">
        <v>686</v>
      </c>
      <c r="F390" s="9" t="s">
        <v>1608</v>
      </c>
      <c r="H390" s="16" t="s">
        <v>1648</v>
      </c>
      <c r="I390" s="9" t="b">
        <f t="shared" si="8"/>
        <v>0</v>
      </c>
      <c r="J390" s="1" t="s">
        <v>1670</v>
      </c>
      <c r="K390" s="1" t="s">
        <v>1712</v>
      </c>
      <c r="L390" s="1" t="s">
        <v>1737</v>
      </c>
      <c r="N390" s="35">
        <v>56203</v>
      </c>
      <c r="O390" s="24">
        <v>21</v>
      </c>
      <c r="P390" s="2" cm="1">
        <f t="array" ref="P390">_xlfn.XLOOKUP(TRIM(B390),TRIM('[1]wc-product-export-16-3-2026-177'!$A:$A),'[1]wc-product-export-16-3-2026-177'!$D:$D,0,0)</f>
        <v>21</v>
      </c>
      <c r="Q390" s="2" cm="1">
        <f t="array" ref="Q390">IF(TRIM($D390)="SET",IF($K390="Steak Set1",ROUNDDOWN(IFERROR(MIN(_xlfn._xlws.FILTER(O$3:O$650,ISNUMBER(MATCH(TRIM($B$3:$B$650),TRIM(_xlfn.TEXTSPLIT($N390,",")),0)))),0)/4,0)+P390,IF(IFERROR(MIN(_xlfn._xlws.FILTER(O$3:O$650,ISNUMBER(MATCH(TRIM($B$3:$B$650),TRIM(_xlfn.TEXTSPLIT($N390,",")),0)))),0)&gt;=$E$1,IFERROR(MIN(_xlfn._xlws.FILTER(O$3:O$650,ISNUMBER(MATCH(TRIM($B$3:$B$650),TRIM(_xlfn.TEXTSPLIT($N390,",")),0)))),0)+P390,P390)),IF(TRIM($D390)="EA",IF(TRIM($E390)="M",ROUNDUP(O390*0.85,0),IF(TRIM($E390)="P",O390,P390)),P390))</f>
        <v>21</v>
      </c>
      <c r="T390" t="str" cm="1">
        <f t="array" ref="T390">IFERROR(IF(D390="SET",_xlfn.TEXTJOIN(", ",TRUE,_xlfn._xlws.FILTER(TRANSPOSE(TRIM(_xlfn.TEXTSPLIT(N390,","))),COUNTIFS(B$3:B$650,TRANSPOSE(TRIM(_xlfn.TEXTSPLIT(N390,","))),O$3:O$650,"&lt;="&amp;$T$1))),""),"")</f>
        <v>56203</v>
      </c>
    </row>
    <row r="391" spans="1:20" ht="14.4" x14ac:dyDescent="0.3">
      <c r="A391" s="1">
        <v>56501</v>
      </c>
      <c r="B391" s="55" t="s">
        <v>873</v>
      </c>
      <c r="C391" s="1" t="s">
        <v>1262</v>
      </c>
      <c r="D391" s="1" t="s">
        <v>624</v>
      </c>
      <c r="E391" s="1" t="s">
        <v>686</v>
      </c>
      <c r="F391" s="9"/>
      <c r="G391" s="9"/>
      <c r="H391" s="16" t="s">
        <v>79</v>
      </c>
      <c r="I391" s="9" t="b">
        <f t="shared" si="8"/>
        <v>0</v>
      </c>
      <c r="J391" s="1" t="s">
        <v>400</v>
      </c>
      <c r="K391" s="1" t="s">
        <v>266</v>
      </c>
      <c r="L391" s="1" t="s">
        <v>266</v>
      </c>
      <c r="M391" s="9"/>
      <c r="N391" s="35"/>
      <c r="O391" s="24">
        <v>2</v>
      </c>
      <c r="P391" s="2" cm="1">
        <f t="array" ref="P391">_xlfn.XLOOKUP(TRIM(B391),TRIM('[1]wc-product-export-16-3-2026-177'!$A:$A),'[1]wc-product-export-16-3-2026-177'!$D:$D,0,0)</f>
        <v>0</v>
      </c>
      <c r="Q391" s="2" cm="1">
        <f t="array" ref="Q391">IF(TRIM($D391)="SET",IF($K391="Steak Set1",ROUNDDOWN(IFERROR(MIN(_xlfn._xlws.FILTER(O$3:O$650,ISNUMBER(MATCH(TRIM($B$3:$B$650),TRIM(_xlfn.TEXTSPLIT($N391,",")),0)))),0)/4,0)+P391,IF(IFERROR(MIN(_xlfn._xlws.FILTER(O$3:O$650,ISNUMBER(MATCH(TRIM($B$3:$B$650),TRIM(_xlfn.TEXTSPLIT($N391,",")),0)))),0)&gt;=$E$1,IFERROR(MIN(_xlfn._xlws.FILTER(O$3:O$650,ISNUMBER(MATCH(TRIM($B$3:$B$650),TRIM(_xlfn.TEXTSPLIT($N391,",")),0)))),0)+P391,P391)),IF(TRIM($D391)="EA",IF(TRIM($E391)="M",ROUNDUP(O391*0.85,0),IF(TRIM($E391)="P",O391,P391)),P391))</f>
        <v>2</v>
      </c>
      <c r="T391" t="str" cm="1">
        <f t="array" ref="T391">IFERROR(IF(D391="SET",_xlfn.TEXTJOIN(", ",TRUE,_xlfn._xlws.FILTER(TRANSPOSE(TRIM(_xlfn.TEXTSPLIT(N391,","))),COUNTIFS(B$3:B$650,TRANSPOSE(TRIM(_xlfn.TEXTSPLIT(N391,","))),O$3:O$650,"&lt;="&amp;$T$1))),""),"")</f>
        <v/>
      </c>
    </row>
    <row r="392" spans="1:20" ht="14.4" x14ac:dyDescent="0.3">
      <c r="A392" s="1">
        <v>52816</v>
      </c>
      <c r="B392" s="1" t="s">
        <v>864</v>
      </c>
      <c r="C392" s="1" t="s">
        <v>1259</v>
      </c>
      <c r="D392" s="1" t="s">
        <v>624</v>
      </c>
      <c r="E392" s="1" t="s">
        <v>623</v>
      </c>
      <c r="F392" s="9"/>
      <c r="G392" s="9"/>
      <c r="H392" s="53" t="s">
        <v>191</v>
      </c>
      <c r="I392" s="9" t="b">
        <f t="shared" si="8"/>
        <v>0</v>
      </c>
      <c r="J392" s="1" t="s">
        <v>405</v>
      </c>
      <c r="K392" s="1" t="s">
        <v>283</v>
      </c>
      <c r="L392" s="1" t="s">
        <v>283</v>
      </c>
      <c r="M392" s="9"/>
      <c r="N392" s="35"/>
      <c r="O392" s="2">
        <v>88</v>
      </c>
      <c r="P392" s="2" cm="1">
        <f t="array" ref="P392">_xlfn.XLOOKUP(TRIM(B392),TRIM('[1]wc-product-export-16-3-2026-177'!$A:$A),'[1]wc-product-export-16-3-2026-177'!$D:$D,0,0)</f>
        <v>0</v>
      </c>
      <c r="Q392" s="2" cm="1">
        <f t="array" ref="Q392">IF(TRIM($D392)="SET",IF($K392="Steak Set1",ROUNDDOWN(IFERROR(MIN(_xlfn._xlws.FILTER(O$3:O$650,ISNUMBER(MATCH(TRIM($B$3:$B$650),TRIM(_xlfn.TEXTSPLIT($N392,",")),0)))),0)/4,0)+P392,IF(IFERROR(MIN(_xlfn._xlws.FILTER(O$3:O$650,ISNUMBER(MATCH(TRIM($B$3:$B$650),TRIM(_xlfn.TEXTSPLIT($N392,",")),0)))),0)&gt;=$E$1,IFERROR(MIN(_xlfn._xlws.FILTER(O$3:O$650,ISNUMBER(MATCH(TRIM($B$3:$B$650),TRIM(_xlfn.TEXTSPLIT($N392,",")),0)))),0)+P392,P392)),IF(TRIM($D392)="EA",IF(TRIM($E392)="M",ROUNDUP(O392*0.85,0),IF(TRIM($E392)="P",O392,P392)),P392))</f>
        <v>88</v>
      </c>
      <c r="T392" t="str" cm="1">
        <f t="array" ref="T392">IFERROR(IF(D392="SET",_xlfn.TEXTJOIN(", ",TRUE,_xlfn._xlws.FILTER(TRANSPOSE(TRIM(_xlfn.TEXTSPLIT(N392,","))),COUNTIFS(B$3:B$650,TRANSPOSE(TRIM(_xlfn.TEXTSPLIT(N392,","))),O$3:O$650,"&lt;="&amp;$T$1))),""),"")</f>
        <v/>
      </c>
    </row>
    <row r="393" spans="1:20" ht="14.4" x14ac:dyDescent="0.3">
      <c r="A393" s="1">
        <v>56502</v>
      </c>
      <c r="B393" s="56" t="s">
        <v>874</v>
      </c>
      <c r="C393" s="1" t="s">
        <v>1262</v>
      </c>
      <c r="D393" s="1" t="s">
        <v>624</v>
      </c>
      <c r="E393" s="1" t="s">
        <v>686</v>
      </c>
      <c r="F393" s="9"/>
      <c r="G393" s="9"/>
      <c r="H393" s="16" t="s">
        <v>38</v>
      </c>
      <c r="I393" s="9" t="b">
        <f t="shared" si="8"/>
        <v>0</v>
      </c>
      <c r="J393" s="1" t="s">
        <v>400</v>
      </c>
      <c r="K393" s="1" t="s">
        <v>1293</v>
      </c>
      <c r="L393" s="1" t="s">
        <v>1728</v>
      </c>
      <c r="M393" s="9"/>
      <c r="N393" s="35"/>
      <c r="O393" s="24">
        <v>3</v>
      </c>
      <c r="P393" s="2" cm="1">
        <f t="array" ref="P393">_xlfn.XLOOKUP(TRIM(B393),TRIM('[1]wc-product-export-16-3-2026-177'!$A:$A),'[1]wc-product-export-16-3-2026-177'!$D:$D,0,0)</f>
        <v>0</v>
      </c>
      <c r="Q393" s="2" cm="1">
        <f t="array" ref="Q393">IF(TRIM($D393)="SET",IF($K393="Steak Set1",ROUNDDOWN(IFERROR(MIN(_xlfn._xlws.FILTER(O$3:O$650,ISNUMBER(MATCH(TRIM($B$3:$B$650),TRIM(_xlfn.TEXTSPLIT($N393,",")),0)))),0)/4,0)+P393,IF(IFERROR(MIN(_xlfn._xlws.FILTER(O$3:O$650,ISNUMBER(MATCH(TRIM($B$3:$B$650),TRIM(_xlfn.TEXTSPLIT($N393,",")),0)))),0)&gt;=$E$1,IFERROR(MIN(_xlfn._xlws.FILTER(O$3:O$650,ISNUMBER(MATCH(TRIM($B$3:$B$650),TRIM(_xlfn.TEXTSPLIT($N393,",")),0)))),0)+P393,P393)),IF(TRIM($D393)="EA",IF(TRIM($E393)="M",ROUNDUP(O393*0.85,0),IF(TRIM($E393)="P",O393,P393)),P393))</f>
        <v>3</v>
      </c>
      <c r="T393" t="str" cm="1">
        <f t="array" ref="T393">IFERROR(IF(D393="SET",_xlfn.TEXTJOIN(", ",TRUE,_xlfn._xlws.FILTER(TRANSPOSE(TRIM(_xlfn.TEXTSPLIT(N393,","))),COUNTIFS(B$3:B$650,TRANSPOSE(TRIM(_xlfn.TEXTSPLIT(N393,","))),O$3:O$650,"&lt;="&amp;$T$1))),""),"")</f>
        <v/>
      </c>
    </row>
    <row r="394" spans="1:20" ht="14.4" x14ac:dyDescent="0.3">
      <c r="A394" s="1">
        <v>56503</v>
      </c>
      <c r="B394" s="55" t="s">
        <v>875</v>
      </c>
      <c r="C394" s="1" t="s">
        <v>1262</v>
      </c>
      <c r="D394" s="1" t="s">
        <v>624</v>
      </c>
      <c r="E394" s="1" t="s">
        <v>686</v>
      </c>
      <c r="F394" s="9"/>
      <c r="G394" s="9"/>
      <c r="H394" s="16" t="s">
        <v>39</v>
      </c>
      <c r="I394" s="9" t="b">
        <f t="shared" si="8"/>
        <v>0</v>
      </c>
      <c r="J394" s="1" t="s">
        <v>400</v>
      </c>
      <c r="K394" s="1" t="s">
        <v>1293</v>
      </c>
      <c r="L394" s="1" t="s">
        <v>1727</v>
      </c>
      <c r="M394" s="9"/>
      <c r="N394" s="35"/>
      <c r="O394" s="24">
        <v>1</v>
      </c>
      <c r="P394" s="2" cm="1">
        <f t="array" ref="P394">_xlfn.XLOOKUP(TRIM(B394),TRIM('[1]wc-product-export-16-3-2026-177'!$A:$A),'[1]wc-product-export-16-3-2026-177'!$D:$D,0,0)</f>
        <v>0</v>
      </c>
      <c r="Q394" s="2" cm="1">
        <f t="array" ref="Q394">IF(TRIM($D394)="SET",IF($K394="Steak Set1",ROUNDDOWN(IFERROR(MIN(_xlfn._xlws.FILTER(O$3:O$650,ISNUMBER(MATCH(TRIM($B$3:$B$650),TRIM(_xlfn.TEXTSPLIT($N394,",")),0)))),0)/4,0)+P394,IF(IFERROR(MIN(_xlfn._xlws.FILTER(O$3:O$650,ISNUMBER(MATCH(TRIM($B$3:$B$650),TRIM(_xlfn.TEXTSPLIT($N394,",")),0)))),0)&gt;=$E$1,IFERROR(MIN(_xlfn._xlws.FILTER(O$3:O$650,ISNUMBER(MATCH(TRIM($B$3:$B$650),TRIM(_xlfn.TEXTSPLIT($N394,",")),0)))),0)+P394,P394)),IF(TRIM($D394)="EA",IF(TRIM($E394)="M",ROUNDUP(O394*0.85,0),IF(TRIM($E394)="P",O394,P394)),P394))</f>
        <v>1</v>
      </c>
      <c r="T394" t="str" cm="1">
        <f t="array" ref="T394">IFERROR(IF(D394="SET",_xlfn.TEXTJOIN(", ",TRUE,_xlfn._xlws.FILTER(TRANSPOSE(TRIM(_xlfn.TEXTSPLIT(N394,","))),COUNTIFS(B$3:B$650,TRANSPOSE(TRIM(_xlfn.TEXTSPLIT(N394,","))),O$3:O$650,"&lt;="&amp;$T$1))),""),"")</f>
        <v/>
      </c>
    </row>
    <row r="395" spans="1:20" ht="14.4" x14ac:dyDescent="0.3">
      <c r="A395" s="1">
        <v>52819</v>
      </c>
      <c r="B395" s="1" t="s">
        <v>867</v>
      </c>
      <c r="C395" s="1" t="s">
        <v>1259</v>
      </c>
      <c r="D395" s="1" t="s">
        <v>624</v>
      </c>
      <c r="E395" s="1" t="s">
        <v>623</v>
      </c>
      <c r="F395" s="9"/>
      <c r="G395" s="9"/>
      <c r="H395" s="53" t="s">
        <v>126</v>
      </c>
      <c r="I395" s="9" t="b">
        <f t="shared" si="8"/>
        <v>0</v>
      </c>
      <c r="J395" s="1" t="s">
        <v>405</v>
      </c>
      <c r="K395" s="1" t="s">
        <v>283</v>
      </c>
      <c r="L395" s="1" t="s">
        <v>283</v>
      </c>
      <c r="M395" s="9"/>
      <c r="N395" s="35"/>
      <c r="O395" s="2">
        <v>61</v>
      </c>
      <c r="P395" s="2" cm="1">
        <f t="array" ref="P395">_xlfn.XLOOKUP(TRIM(B395),TRIM('[1]wc-product-export-16-3-2026-177'!$A:$A),'[1]wc-product-export-16-3-2026-177'!$D:$D,0,0)</f>
        <v>0</v>
      </c>
      <c r="Q395" s="2" cm="1">
        <f t="array" ref="Q395">IF(TRIM($D395)="SET",IF($K395="Steak Set1",ROUNDDOWN(IFERROR(MIN(_xlfn._xlws.FILTER(O$3:O$650,ISNUMBER(MATCH(TRIM($B$3:$B$650),TRIM(_xlfn.TEXTSPLIT($N395,",")),0)))),0)/4,0)+P395,IF(IFERROR(MIN(_xlfn._xlws.FILTER(O$3:O$650,ISNUMBER(MATCH(TRIM($B$3:$B$650),TRIM(_xlfn.TEXTSPLIT($N395,",")),0)))),0)&gt;=$E$1,IFERROR(MIN(_xlfn._xlws.FILTER(O$3:O$650,ISNUMBER(MATCH(TRIM($B$3:$B$650),TRIM(_xlfn.TEXTSPLIT($N395,",")),0)))),0)+P395,P395)),IF(TRIM($D395)="EA",IF(TRIM($E395)="M",ROUNDUP(O395*0.85,0),IF(TRIM($E395)="P",O395,P395)),P395))</f>
        <v>61</v>
      </c>
      <c r="T395" t="str" cm="1">
        <f t="array" ref="T395">IFERROR(IF(D395="SET",_xlfn.TEXTJOIN(", ",TRUE,_xlfn._xlws.FILTER(TRANSPOSE(TRIM(_xlfn.TEXTSPLIT(N395,","))),COUNTIFS(B$3:B$650,TRANSPOSE(TRIM(_xlfn.TEXTSPLIT(N395,","))),O$3:O$650,"&lt;="&amp;$T$1))),""),"")</f>
        <v/>
      </c>
    </row>
    <row r="396" spans="1:20" ht="14.4" x14ac:dyDescent="0.3">
      <c r="A396" s="1">
        <v>52820</v>
      </c>
      <c r="B396" s="1" t="s">
        <v>868</v>
      </c>
      <c r="C396" s="1" t="s">
        <v>1259</v>
      </c>
      <c r="D396" s="1" t="s">
        <v>624</v>
      </c>
      <c r="E396" s="1" t="s">
        <v>623</v>
      </c>
      <c r="F396" s="9"/>
      <c r="G396" s="9"/>
      <c r="H396" s="16" t="s">
        <v>433</v>
      </c>
      <c r="I396" s="9" t="b">
        <f t="shared" si="8"/>
        <v>0</v>
      </c>
      <c r="J396" s="1" t="s">
        <v>405</v>
      </c>
      <c r="K396" s="1" t="s">
        <v>283</v>
      </c>
      <c r="L396" s="1" t="s">
        <v>283</v>
      </c>
      <c r="M396" s="9"/>
      <c r="N396" s="35"/>
      <c r="O396" s="2">
        <v>14</v>
      </c>
      <c r="P396" s="2" cm="1">
        <f t="array" ref="P396">_xlfn.XLOOKUP(TRIM(B396),TRIM('[1]wc-product-export-16-3-2026-177'!$A:$A),'[1]wc-product-export-16-3-2026-177'!$D:$D,0,0)</f>
        <v>0</v>
      </c>
      <c r="Q396" s="2" cm="1">
        <f t="array" ref="Q396">IF(TRIM($D396)="SET",IF($K396="Steak Set1",ROUNDDOWN(IFERROR(MIN(_xlfn._xlws.FILTER(O$3:O$650,ISNUMBER(MATCH(TRIM($B$3:$B$650),TRIM(_xlfn.TEXTSPLIT($N396,",")),0)))),0)/4,0)+P396,IF(IFERROR(MIN(_xlfn._xlws.FILTER(O$3:O$650,ISNUMBER(MATCH(TRIM($B$3:$B$650),TRIM(_xlfn.TEXTSPLIT($N396,",")),0)))),0)&gt;=$E$1,IFERROR(MIN(_xlfn._xlws.FILTER(O$3:O$650,ISNUMBER(MATCH(TRIM($B$3:$B$650),TRIM(_xlfn.TEXTSPLIT($N396,",")),0)))),0)+P396,P396)),IF(TRIM($D396)="EA",IF(TRIM($E396)="M",ROUNDUP(O396*0.85,0),IF(TRIM($E396)="P",O396,P396)),P396))</f>
        <v>14</v>
      </c>
      <c r="T396" t="str" cm="1">
        <f t="array" ref="T396">IFERROR(IF(D396="SET",_xlfn.TEXTJOIN(", ",TRUE,_xlfn._xlws.FILTER(TRANSPOSE(TRIM(_xlfn.TEXTSPLIT(N396,","))),COUNTIFS(B$3:B$650,TRANSPOSE(TRIM(_xlfn.TEXTSPLIT(N396,","))),O$3:O$650,"&lt;="&amp;$T$1))),""),"")</f>
        <v/>
      </c>
    </row>
    <row r="397" spans="1:20" ht="14.4" x14ac:dyDescent="0.3">
      <c r="A397" s="1">
        <v>52821</v>
      </c>
      <c r="B397" s="1" t="s">
        <v>869</v>
      </c>
      <c r="C397" s="1" t="s">
        <v>1259</v>
      </c>
      <c r="D397" s="1" t="s">
        <v>624</v>
      </c>
      <c r="E397" s="1" t="s">
        <v>623</v>
      </c>
      <c r="F397" s="9"/>
      <c r="G397" s="9"/>
      <c r="H397" s="16" t="s">
        <v>120</v>
      </c>
      <c r="I397" s="9" t="b">
        <f t="shared" si="8"/>
        <v>0</v>
      </c>
      <c r="J397" s="1" t="s">
        <v>405</v>
      </c>
      <c r="K397" s="1" t="s">
        <v>265</v>
      </c>
      <c r="L397" s="1" t="s">
        <v>1743</v>
      </c>
      <c r="M397" s="9"/>
      <c r="N397" s="35"/>
      <c r="O397" s="2">
        <v>41</v>
      </c>
      <c r="P397" s="2" cm="1">
        <f t="array" ref="P397">_xlfn.XLOOKUP(TRIM(B397),TRIM('[1]wc-product-export-16-3-2026-177'!$A:$A),'[1]wc-product-export-16-3-2026-177'!$D:$D,0,0)</f>
        <v>0</v>
      </c>
      <c r="Q397" s="2" cm="1">
        <f t="array" ref="Q397">IF(TRIM($D397)="SET",IF($K397="Steak Set1",ROUNDDOWN(IFERROR(MIN(_xlfn._xlws.FILTER(O$3:O$650,ISNUMBER(MATCH(TRIM($B$3:$B$650),TRIM(_xlfn.TEXTSPLIT($N397,",")),0)))),0)/4,0)+P397,IF(IFERROR(MIN(_xlfn._xlws.FILTER(O$3:O$650,ISNUMBER(MATCH(TRIM($B$3:$B$650),TRIM(_xlfn.TEXTSPLIT($N397,",")),0)))),0)&gt;=$E$1,IFERROR(MIN(_xlfn._xlws.FILTER(O$3:O$650,ISNUMBER(MATCH(TRIM($B$3:$B$650),TRIM(_xlfn.TEXTSPLIT($N397,",")),0)))),0)+P397,P397)),IF(TRIM($D397)="EA",IF(TRIM($E397)="M",ROUNDUP(O397*0.85,0),IF(TRIM($E397)="P",O397,P397)),P397))</f>
        <v>41</v>
      </c>
      <c r="T397" t="str" cm="1">
        <f t="array" ref="T397">IFERROR(IF(D397="SET",_xlfn.TEXTJOIN(", ",TRUE,_xlfn._xlws.FILTER(TRANSPOSE(TRIM(_xlfn.TEXTSPLIT(N397,","))),COUNTIFS(B$3:B$650,TRANSPOSE(TRIM(_xlfn.TEXTSPLIT(N397,","))),O$3:O$650,"&lt;="&amp;$T$1))),""),"")</f>
        <v/>
      </c>
    </row>
    <row r="398" spans="1:20" ht="14.4" x14ac:dyDescent="0.3">
      <c r="A398" s="1">
        <v>52822</v>
      </c>
      <c r="B398" s="1" t="s">
        <v>870</v>
      </c>
      <c r="C398" s="1" t="s">
        <v>1259</v>
      </c>
      <c r="D398" s="1" t="s">
        <v>624</v>
      </c>
      <c r="E398" s="1" t="s">
        <v>623</v>
      </c>
      <c r="F398" s="9"/>
      <c r="G398" s="9"/>
      <c r="H398" s="16" t="s">
        <v>190</v>
      </c>
      <c r="I398" s="9" t="b">
        <f t="shared" si="8"/>
        <v>0</v>
      </c>
      <c r="J398" s="1" t="s">
        <v>405</v>
      </c>
      <c r="K398" s="1" t="s">
        <v>283</v>
      </c>
      <c r="L398" s="1" t="s">
        <v>283</v>
      </c>
      <c r="M398" s="9"/>
      <c r="N398" s="35"/>
      <c r="O398" s="2">
        <v>27</v>
      </c>
      <c r="P398" s="2" cm="1">
        <f t="array" ref="P398">_xlfn.XLOOKUP(TRIM(B398),TRIM('[1]wc-product-export-16-3-2026-177'!$A:$A),'[1]wc-product-export-16-3-2026-177'!$D:$D,0,0)</f>
        <v>0</v>
      </c>
      <c r="Q398" s="2" cm="1">
        <f t="array" ref="Q398">IF(TRIM($D398)="SET",IF($K398="Steak Set1",ROUNDDOWN(IFERROR(MIN(_xlfn._xlws.FILTER(O$3:O$650,ISNUMBER(MATCH(TRIM($B$3:$B$650),TRIM(_xlfn.TEXTSPLIT($N398,",")),0)))),0)/4,0)+P398,IF(IFERROR(MIN(_xlfn._xlws.FILTER(O$3:O$650,ISNUMBER(MATCH(TRIM($B$3:$B$650),TRIM(_xlfn.TEXTSPLIT($N398,",")),0)))),0)&gt;=$E$1,IFERROR(MIN(_xlfn._xlws.FILTER(O$3:O$650,ISNUMBER(MATCH(TRIM($B$3:$B$650),TRIM(_xlfn.TEXTSPLIT($N398,",")),0)))),0)+P398,P398)),IF(TRIM($D398)="EA",IF(TRIM($E398)="M",ROUNDUP(O398*0.85,0),IF(TRIM($E398)="P",O398,P398)),P398))</f>
        <v>27</v>
      </c>
      <c r="T398" t="str" cm="1">
        <f t="array" ref="T398">IFERROR(IF(D398="SET",_xlfn.TEXTJOIN(", ",TRUE,_xlfn._xlws.FILTER(TRANSPOSE(TRIM(_xlfn.TEXTSPLIT(N398,","))),COUNTIFS(B$3:B$650,TRANSPOSE(TRIM(_xlfn.TEXTSPLIT(N398,","))),O$3:O$650,"&lt;="&amp;$T$1))),""),"")</f>
        <v/>
      </c>
    </row>
    <row r="399" spans="1:20" ht="14.4" x14ac:dyDescent="0.3">
      <c r="A399" s="1">
        <v>52823</v>
      </c>
      <c r="B399" s="1" t="s">
        <v>871</v>
      </c>
      <c r="C399" s="1" t="s">
        <v>1259</v>
      </c>
      <c r="D399" s="1" t="s">
        <v>624</v>
      </c>
      <c r="E399" s="1" t="s">
        <v>623</v>
      </c>
      <c r="F399" s="9"/>
      <c r="G399" s="9"/>
      <c r="H399" s="16" t="s">
        <v>296</v>
      </c>
      <c r="I399" s="9" t="b">
        <f t="shared" si="8"/>
        <v>0</v>
      </c>
      <c r="J399" s="1" t="s">
        <v>405</v>
      </c>
      <c r="K399" s="1" t="s">
        <v>283</v>
      </c>
      <c r="L399" s="1" t="s">
        <v>283</v>
      </c>
      <c r="M399" s="9"/>
      <c r="N399" s="35"/>
      <c r="O399" s="2">
        <v>68</v>
      </c>
      <c r="P399" s="2" cm="1">
        <f t="array" ref="P399">_xlfn.XLOOKUP(TRIM(B399),TRIM('[1]wc-product-export-16-3-2026-177'!$A:$A),'[1]wc-product-export-16-3-2026-177'!$D:$D,0,0)</f>
        <v>0</v>
      </c>
      <c r="Q399" s="2" cm="1">
        <f t="array" ref="Q399">IF(TRIM($D399)="SET",IF($K399="Steak Set1",ROUNDDOWN(IFERROR(MIN(_xlfn._xlws.FILTER(O$3:O$650,ISNUMBER(MATCH(TRIM($B$3:$B$650),TRIM(_xlfn.TEXTSPLIT($N399,",")),0)))),0)/4,0)+P399,IF(IFERROR(MIN(_xlfn._xlws.FILTER(O$3:O$650,ISNUMBER(MATCH(TRIM($B$3:$B$650),TRIM(_xlfn.TEXTSPLIT($N399,",")),0)))),0)&gt;=$E$1,IFERROR(MIN(_xlfn._xlws.FILTER(O$3:O$650,ISNUMBER(MATCH(TRIM($B$3:$B$650),TRIM(_xlfn.TEXTSPLIT($N399,",")),0)))),0)+P399,P399)),IF(TRIM($D399)="EA",IF(TRIM($E399)="M",ROUNDUP(O399*0.85,0),IF(TRIM($E399)="P",O399,P399)),P399))</f>
        <v>68</v>
      </c>
      <c r="T399" t="str" cm="1">
        <f t="array" ref="T399">IFERROR(IF(D399="SET",_xlfn.TEXTJOIN(", ",TRUE,_xlfn._xlws.FILTER(TRANSPOSE(TRIM(_xlfn.TEXTSPLIT(N399,","))),COUNTIFS(B$3:B$650,TRANSPOSE(TRIM(_xlfn.TEXTSPLIT(N399,","))),O$3:O$650,"&lt;="&amp;$T$1))),""),"")</f>
        <v/>
      </c>
    </row>
    <row r="400" spans="1:20" ht="14.4" x14ac:dyDescent="0.3">
      <c r="A400" s="1">
        <v>56504</v>
      </c>
      <c r="B400" s="55" t="s">
        <v>876</v>
      </c>
      <c r="C400" s="1" t="s">
        <v>1262</v>
      </c>
      <c r="D400" s="1" t="s">
        <v>624</v>
      </c>
      <c r="E400" s="1" t="s">
        <v>686</v>
      </c>
      <c r="F400" s="9"/>
      <c r="G400" s="9"/>
      <c r="H400" s="16" t="s">
        <v>40</v>
      </c>
      <c r="I400" s="9" t="b">
        <f t="shared" si="8"/>
        <v>0</v>
      </c>
      <c r="J400" s="1" t="s">
        <v>400</v>
      </c>
      <c r="K400" s="1" t="s">
        <v>271</v>
      </c>
      <c r="L400" s="1" t="s">
        <v>271</v>
      </c>
      <c r="M400" s="9"/>
      <c r="N400" s="35"/>
      <c r="O400" s="24">
        <v>155</v>
      </c>
      <c r="P400" s="2" cm="1">
        <f t="array" ref="P400">_xlfn.XLOOKUP(TRIM(B400),TRIM('[1]wc-product-export-16-3-2026-177'!$A:$A),'[1]wc-product-export-16-3-2026-177'!$D:$D,0,0)</f>
        <v>0</v>
      </c>
      <c r="Q400" s="2" cm="1">
        <f t="array" ref="Q400">IF(TRIM($D400)="SET",IF($K400="Steak Set1",ROUNDDOWN(IFERROR(MIN(_xlfn._xlws.FILTER(O$3:O$650,ISNUMBER(MATCH(TRIM($B$3:$B$650),TRIM(_xlfn.TEXTSPLIT($N400,",")),0)))),0)/4,0)+P400,IF(IFERROR(MIN(_xlfn._xlws.FILTER(O$3:O$650,ISNUMBER(MATCH(TRIM($B$3:$B$650),TRIM(_xlfn.TEXTSPLIT($N400,",")),0)))),0)&gt;=$E$1,IFERROR(MIN(_xlfn._xlws.FILTER(O$3:O$650,ISNUMBER(MATCH(TRIM($B$3:$B$650),TRIM(_xlfn.TEXTSPLIT($N400,",")),0)))),0)+P400,P400)),IF(TRIM($D400)="EA",IF(TRIM($E400)="M",ROUNDUP(O400*0.85,0),IF(TRIM($E400)="P",O400,P400)),P400))</f>
        <v>132</v>
      </c>
      <c r="T400" t="str" cm="1">
        <f t="array" ref="T400">IFERROR(IF(D400="SET",_xlfn.TEXTJOIN(", ",TRUE,_xlfn._xlws.FILTER(TRANSPOSE(TRIM(_xlfn.TEXTSPLIT(N400,","))),COUNTIFS(B$3:B$650,TRANSPOSE(TRIM(_xlfn.TEXTSPLIT(N400,","))),O$3:O$650,"&lt;="&amp;$T$1))),""),"")</f>
        <v/>
      </c>
    </row>
    <row r="401" spans="1:20" ht="14.4" x14ac:dyDescent="0.3">
      <c r="A401" s="1">
        <v>56507</v>
      </c>
      <c r="B401" s="56" t="s">
        <v>877</v>
      </c>
      <c r="C401" s="1" t="s">
        <v>1262</v>
      </c>
      <c r="D401" s="1" t="s">
        <v>624</v>
      </c>
      <c r="E401" s="1" t="s">
        <v>686</v>
      </c>
      <c r="F401" s="9"/>
      <c r="G401" s="9"/>
      <c r="H401" s="16" t="s">
        <v>41</v>
      </c>
      <c r="I401" s="9" t="b">
        <f t="shared" si="8"/>
        <v>0</v>
      </c>
      <c r="J401" s="1" t="s">
        <v>400</v>
      </c>
      <c r="K401" s="1" t="s">
        <v>270</v>
      </c>
      <c r="L401" s="1" t="s">
        <v>270</v>
      </c>
      <c r="M401" s="9"/>
      <c r="N401" s="35"/>
      <c r="O401" s="24">
        <v>24</v>
      </c>
      <c r="P401" s="2" cm="1">
        <f t="array" ref="P401">_xlfn.XLOOKUP(TRIM(B401),TRIM('[1]wc-product-export-16-3-2026-177'!$A:$A),'[1]wc-product-export-16-3-2026-177'!$D:$D,0,0)</f>
        <v>0</v>
      </c>
      <c r="Q401" s="2" cm="1">
        <f t="array" ref="Q401">IF(TRIM($D401)="SET",IF($K401="Steak Set1",ROUNDDOWN(IFERROR(MIN(_xlfn._xlws.FILTER(O$3:O$650,ISNUMBER(MATCH(TRIM($B$3:$B$650),TRIM(_xlfn.TEXTSPLIT($N401,",")),0)))),0)/4,0)+P401,IF(IFERROR(MIN(_xlfn._xlws.FILTER(O$3:O$650,ISNUMBER(MATCH(TRIM($B$3:$B$650),TRIM(_xlfn.TEXTSPLIT($N401,",")),0)))),0)&gt;=$E$1,IFERROR(MIN(_xlfn._xlws.FILTER(O$3:O$650,ISNUMBER(MATCH(TRIM($B$3:$B$650),TRIM(_xlfn.TEXTSPLIT($N401,",")),0)))),0)+P401,P401)),IF(TRIM($D401)="EA",IF(TRIM($E401)="M",ROUNDUP(O401*0.85,0),IF(TRIM($E401)="P",O401,P401)),P401))</f>
        <v>21</v>
      </c>
      <c r="T401" t="str" cm="1">
        <f t="array" ref="T401">IFERROR(IF(D401="SET",_xlfn.TEXTJOIN(", ",TRUE,_xlfn._xlws.FILTER(TRANSPOSE(TRIM(_xlfn.TEXTSPLIT(N401,","))),COUNTIFS(B$3:B$650,TRANSPOSE(TRIM(_xlfn.TEXTSPLIT(N401,","))),O$3:O$650,"&lt;="&amp;$T$1))),""),"")</f>
        <v/>
      </c>
    </row>
    <row r="402" spans="1:20" ht="14.4" x14ac:dyDescent="0.3">
      <c r="A402" s="1">
        <v>56509</v>
      </c>
      <c r="B402" s="55" t="s">
        <v>878</v>
      </c>
      <c r="C402" s="1" t="s">
        <v>1262</v>
      </c>
      <c r="D402" s="1" t="s">
        <v>624</v>
      </c>
      <c r="E402" s="1" t="s">
        <v>686</v>
      </c>
      <c r="F402" s="9"/>
      <c r="G402" s="9"/>
      <c r="H402" s="16" t="s">
        <v>127</v>
      </c>
      <c r="I402" s="9" t="b">
        <f t="shared" si="8"/>
        <v>0</v>
      </c>
      <c r="J402" s="1" t="s">
        <v>400</v>
      </c>
      <c r="K402" s="1" t="s">
        <v>269</v>
      </c>
      <c r="L402" s="1" t="s">
        <v>1729</v>
      </c>
      <c r="M402" s="9"/>
      <c r="N402" s="35"/>
      <c r="O402" s="24">
        <v>28</v>
      </c>
      <c r="P402" s="2" cm="1">
        <f t="array" ref="P402">_xlfn.XLOOKUP(TRIM(B402),TRIM('[1]wc-product-export-16-3-2026-177'!$A:$A),'[1]wc-product-export-16-3-2026-177'!$D:$D,0,0)</f>
        <v>0</v>
      </c>
      <c r="Q402" s="2" cm="1">
        <f t="array" ref="Q402">IF(TRIM($D402)="SET",IF($K402="Steak Set1",ROUNDDOWN(IFERROR(MIN(_xlfn._xlws.FILTER(O$3:O$650,ISNUMBER(MATCH(TRIM($B$3:$B$650),TRIM(_xlfn.TEXTSPLIT($N402,",")),0)))),0)/4,0)+P402,IF(IFERROR(MIN(_xlfn._xlws.FILTER(O$3:O$650,ISNUMBER(MATCH(TRIM($B$3:$B$650),TRIM(_xlfn.TEXTSPLIT($N402,",")),0)))),0)&gt;=$E$1,IFERROR(MIN(_xlfn._xlws.FILTER(O$3:O$650,ISNUMBER(MATCH(TRIM($B$3:$B$650),TRIM(_xlfn.TEXTSPLIT($N402,",")),0)))),0)+P402,P402)),IF(TRIM($D402)="EA",IF(TRIM($E402)="M",ROUNDUP(O402*0.85,0),IF(TRIM($E402)="P",O402,P402)),P402))</f>
        <v>24</v>
      </c>
      <c r="T402" t="str" cm="1">
        <f t="array" ref="T402">IFERROR(IF(D402="SET",_xlfn.TEXTJOIN(", ",TRUE,_xlfn._xlws.FILTER(TRANSPOSE(TRIM(_xlfn.TEXTSPLIT(N402,","))),COUNTIFS(B$3:B$650,TRANSPOSE(TRIM(_xlfn.TEXTSPLIT(N402,","))),O$3:O$650,"&lt;="&amp;$T$1))),""),"")</f>
        <v/>
      </c>
    </row>
    <row r="403" spans="1:20" ht="14.4" x14ac:dyDescent="0.3">
      <c r="A403" s="1">
        <v>56510</v>
      </c>
      <c r="B403" s="56" t="s">
        <v>879</v>
      </c>
      <c r="C403" s="1" t="s">
        <v>1262</v>
      </c>
      <c r="D403" s="1" t="s">
        <v>624</v>
      </c>
      <c r="E403" s="1" t="s">
        <v>686</v>
      </c>
      <c r="F403" s="9"/>
      <c r="G403" s="9"/>
      <c r="H403" s="16" t="s">
        <v>42</v>
      </c>
      <c r="I403" s="9" t="b">
        <f t="shared" si="8"/>
        <v>0</v>
      </c>
      <c r="J403" s="1" t="s">
        <v>400</v>
      </c>
      <c r="K403" s="1" t="s">
        <v>275</v>
      </c>
      <c r="L403" s="1" t="s">
        <v>1732</v>
      </c>
      <c r="M403" s="9"/>
      <c r="N403" s="35"/>
      <c r="O403" s="24">
        <v>17</v>
      </c>
      <c r="P403" s="2" cm="1">
        <f t="array" ref="P403">_xlfn.XLOOKUP(TRIM(B403),TRIM('[1]wc-product-export-16-3-2026-177'!$A:$A),'[1]wc-product-export-16-3-2026-177'!$D:$D,0,0)</f>
        <v>0</v>
      </c>
      <c r="Q403" s="2" cm="1">
        <f t="array" ref="Q403">IF(TRIM($D403)="SET",IF($K403="Steak Set1",ROUNDDOWN(IFERROR(MIN(_xlfn._xlws.FILTER(O$3:O$650,ISNUMBER(MATCH(TRIM($B$3:$B$650),TRIM(_xlfn.TEXTSPLIT($N403,",")),0)))),0)/4,0)+P403,IF(IFERROR(MIN(_xlfn._xlws.FILTER(O$3:O$650,ISNUMBER(MATCH(TRIM($B$3:$B$650),TRIM(_xlfn.TEXTSPLIT($N403,",")),0)))),0)&gt;=$E$1,IFERROR(MIN(_xlfn._xlws.FILTER(O$3:O$650,ISNUMBER(MATCH(TRIM($B$3:$B$650),TRIM(_xlfn.TEXTSPLIT($N403,",")),0)))),0)+P403,P403)),IF(TRIM($D403)="EA",IF(TRIM($E403)="M",ROUNDUP(O403*0.85,0),IF(TRIM($E403)="P",O403,P403)),P403))</f>
        <v>15</v>
      </c>
      <c r="T403" t="str" cm="1">
        <f t="array" ref="T403">IFERROR(IF(D403="SET",_xlfn.TEXTJOIN(", ",TRUE,_xlfn._xlws.FILTER(TRANSPOSE(TRIM(_xlfn.TEXTSPLIT(N403,","))),COUNTIFS(B$3:B$650,TRANSPOSE(TRIM(_xlfn.TEXTSPLIT(N403,","))),O$3:O$650,"&lt;="&amp;$T$1))),""),"")</f>
        <v/>
      </c>
    </row>
    <row r="404" spans="1:20" ht="14.4" x14ac:dyDescent="0.3">
      <c r="A404" s="1">
        <v>56512</v>
      </c>
      <c r="B404" s="55" t="s">
        <v>880</v>
      </c>
      <c r="C404" s="1" t="s">
        <v>1262</v>
      </c>
      <c r="D404" s="1" t="s">
        <v>624</v>
      </c>
      <c r="E404" s="1" t="s">
        <v>686</v>
      </c>
      <c r="F404" s="9"/>
      <c r="G404" s="9"/>
      <c r="H404" s="16" t="s">
        <v>185</v>
      </c>
      <c r="I404" s="9" t="b">
        <f t="shared" si="8"/>
        <v>0</v>
      </c>
      <c r="J404" s="1" t="s">
        <v>400</v>
      </c>
      <c r="K404" s="1" t="s">
        <v>273</v>
      </c>
      <c r="L404" s="1" t="s">
        <v>1294</v>
      </c>
      <c r="M404" s="9"/>
      <c r="N404" s="35"/>
      <c r="O404" s="24">
        <v>35</v>
      </c>
      <c r="P404" s="2" cm="1">
        <f t="array" ref="P404">_xlfn.XLOOKUP(TRIM(B404),TRIM('[1]wc-product-export-16-3-2026-177'!$A:$A),'[1]wc-product-export-16-3-2026-177'!$D:$D,0,0)</f>
        <v>0</v>
      </c>
      <c r="Q404" s="2" cm="1">
        <f t="array" ref="Q404">IF(TRIM($D404)="SET",IF($K404="Steak Set1",ROUNDDOWN(IFERROR(MIN(_xlfn._xlws.FILTER(O$3:O$650,ISNUMBER(MATCH(TRIM($B$3:$B$650),TRIM(_xlfn.TEXTSPLIT($N404,",")),0)))),0)/4,0)+P404,IF(IFERROR(MIN(_xlfn._xlws.FILTER(O$3:O$650,ISNUMBER(MATCH(TRIM($B$3:$B$650),TRIM(_xlfn.TEXTSPLIT($N404,",")),0)))),0)&gt;=$E$1,IFERROR(MIN(_xlfn._xlws.FILTER(O$3:O$650,ISNUMBER(MATCH(TRIM($B$3:$B$650),TRIM(_xlfn.TEXTSPLIT($N404,",")),0)))),0)+P404,P404)),IF(TRIM($D404)="EA",IF(TRIM($E404)="M",ROUNDUP(O404*0.85,0),IF(TRIM($E404)="P",O404,P404)),P404))</f>
        <v>30</v>
      </c>
      <c r="T404" t="str" cm="1">
        <f t="array" ref="T404">IFERROR(IF(D404="SET",_xlfn.TEXTJOIN(", ",TRUE,_xlfn._xlws.FILTER(TRANSPOSE(TRIM(_xlfn.TEXTSPLIT(N404,","))),COUNTIFS(B$3:B$650,TRANSPOSE(TRIM(_xlfn.TEXTSPLIT(N404,","))),O$3:O$650,"&lt;="&amp;$T$1))),""),"")</f>
        <v/>
      </c>
    </row>
    <row r="405" spans="1:20" ht="14.4" x14ac:dyDescent="0.3">
      <c r="A405" s="1">
        <v>56513</v>
      </c>
      <c r="B405" s="56" t="s">
        <v>881</v>
      </c>
      <c r="C405" s="1" t="s">
        <v>1262</v>
      </c>
      <c r="D405" s="1" t="s">
        <v>624</v>
      </c>
      <c r="E405" s="1" t="s">
        <v>686</v>
      </c>
      <c r="F405" s="9"/>
      <c r="G405" s="9"/>
      <c r="H405" s="16" t="s">
        <v>43</v>
      </c>
      <c r="I405" s="9" t="b">
        <f t="shared" si="8"/>
        <v>0</v>
      </c>
      <c r="J405" s="1" t="s">
        <v>400</v>
      </c>
      <c r="K405" s="1" t="s">
        <v>272</v>
      </c>
      <c r="L405" s="1" t="s">
        <v>272</v>
      </c>
      <c r="M405" s="9"/>
      <c r="N405" s="35"/>
      <c r="O405" s="24">
        <v>43</v>
      </c>
      <c r="P405" s="2" cm="1">
        <f t="array" ref="P405">_xlfn.XLOOKUP(TRIM(B405),TRIM('[1]wc-product-export-16-3-2026-177'!$A:$A),'[1]wc-product-export-16-3-2026-177'!$D:$D,0,0)</f>
        <v>0</v>
      </c>
      <c r="Q405" s="2" cm="1">
        <f t="array" ref="Q405">IF(TRIM($D405)="SET",IF($K405="Steak Set1",ROUNDDOWN(IFERROR(MIN(_xlfn._xlws.FILTER(O$3:O$650,ISNUMBER(MATCH(TRIM($B$3:$B$650),TRIM(_xlfn.TEXTSPLIT($N405,",")),0)))),0)/4,0)+P405,IF(IFERROR(MIN(_xlfn._xlws.FILTER(O$3:O$650,ISNUMBER(MATCH(TRIM($B$3:$B$650),TRIM(_xlfn.TEXTSPLIT($N405,",")),0)))),0)&gt;=$E$1,IFERROR(MIN(_xlfn._xlws.FILTER(O$3:O$650,ISNUMBER(MATCH(TRIM($B$3:$B$650),TRIM(_xlfn.TEXTSPLIT($N405,",")),0)))),0)+P405,P405)),IF(TRIM($D405)="EA",IF(TRIM($E405)="M",ROUNDUP(O405*0.85,0),IF(TRIM($E405)="P",O405,P405)),P405))</f>
        <v>37</v>
      </c>
      <c r="T405" t="str" cm="1">
        <f t="array" ref="T405">IFERROR(IF(D405="SET",_xlfn.TEXTJOIN(", ",TRUE,_xlfn._xlws.FILTER(TRANSPOSE(TRIM(_xlfn.TEXTSPLIT(N405,","))),COUNTIFS(B$3:B$650,TRANSPOSE(TRIM(_xlfn.TEXTSPLIT(N405,","))),O$3:O$650,"&lt;="&amp;$T$1))),""),"")</f>
        <v/>
      </c>
    </row>
    <row r="406" spans="1:20" ht="14.4" x14ac:dyDescent="0.3">
      <c r="A406" s="1">
        <v>56523</v>
      </c>
      <c r="B406" s="56" t="s">
        <v>882</v>
      </c>
      <c r="C406" s="1" t="s">
        <v>1262</v>
      </c>
      <c r="D406" s="1" t="s">
        <v>624</v>
      </c>
      <c r="E406" s="1" t="s">
        <v>686</v>
      </c>
      <c r="F406" s="9"/>
      <c r="G406" s="9"/>
      <c r="H406" s="16" t="s">
        <v>173</v>
      </c>
      <c r="I406" s="9" t="b">
        <f t="shared" si="8"/>
        <v>0</v>
      </c>
      <c r="J406" s="1" t="s">
        <v>400</v>
      </c>
      <c r="K406" s="1" t="s">
        <v>269</v>
      </c>
      <c r="L406" s="1" t="s">
        <v>1729</v>
      </c>
      <c r="M406" s="9"/>
      <c r="N406" s="35"/>
      <c r="O406" s="24">
        <v>63</v>
      </c>
      <c r="P406" s="2" cm="1">
        <f t="array" ref="P406">_xlfn.XLOOKUP(TRIM(B406),TRIM('[1]wc-product-export-16-3-2026-177'!$A:$A),'[1]wc-product-export-16-3-2026-177'!$D:$D,0,0)</f>
        <v>0</v>
      </c>
      <c r="Q406" s="2" cm="1">
        <f t="array" ref="Q406">IF(TRIM($D406)="SET",IF($K406="Steak Set1",ROUNDDOWN(IFERROR(MIN(_xlfn._xlws.FILTER(O$3:O$650,ISNUMBER(MATCH(TRIM($B$3:$B$650),TRIM(_xlfn.TEXTSPLIT($N406,",")),0)))),0)/4,0)+P406,IF(IFERROR(MIN(_xlfn._xlws.FILTER(O$3:O$650,ISNUMBER(MATCH(TRIM($B$3:$B$650),TRIM(_xlfn.TEXTSPLIT($N406,",")),0)))),0)&gt;=$E$1,IFERROR(MIN(_xlfn._xlws.FILTER(O$3:O$650,ISNUMBER(MATCH(TRIM($B$3:$B$650),TRIM(_xlfn.TEXTSPLIT($N406,",")),0)))),0)+P406,P406)),IF(TRIM($D406)="EA",IF(TRIM($E406)="M",ROUNDUP(O406*0.85,0),IF(TRIM($E406)="P",O406,P406)),P406))</f>
        <v>54</v>
      </c>
      <c r="T406" t="str" cm="1">
        <f t="array" ref="T406">IFERROR(IF(D406="SET",_xlfn.TEXTJOIN(", ",TRUE,_xlfn._xlws.FILTER(TRANSPOSE(TRIM(_xlfn.TEXTSPLIT(N406,","))),COUNTIFS(B$3:B$650,TRANSPOSE(TRIM(_xlfn.TEXTSPLIT(N406,","))),O$3:O$650,"&lt;="&amp;$T$1))),""),"")</f>
        <v/>
      </c>
    </row>
    <row r="407" spans="1:20" ht="14.4" x14ac:dyDescent="0.3">
      <c r="A407" s="1">
        <v>56524</v>
      </c>
      <c r="B407" s="55" t="s">
        <v>883</v>
      </c>
      <c r="C407" s="1" t="s">
        <v>1262</v>
      </c>
      <c r="D407" s="1" t="s">
        <v>628</v>
      </c>
      <c r="E407" s="1" t="s">
        <v>686</v>
      </c>
      <c r="F407" s="9"/>
      <c r="G407" s="9"/>
      <c r="H407" s="16" t="s">
        <v>537</v>
      </c>
      <c r="I407" s="9" t="b">
        <f t="shared" si="8"/>
        <v>0</v>
      </c>
      <c r="J407" s="1" t="s">
        <v>400</v>
      </c>
      <c r="K407" s="1" t="s">
        <v>1715</v>
      </c>
      <c r="L407" s="1" t="s">
        <v>1715</v>
      </c>
      <c r="M407" s="9"/>
      <c r="N407" s="35" t="s">
        <v>1336</v>
      </c>
      <c r="O407" s="24">
        <v>6</v>
      </c>
      <c r="P407" s="2" cm="1">
        <f t="array" ref="P407">_xlfn.XLOOKUP(TRIM(B407),TRIM('[1]wc-product-export-16-3-2026-177'!$A:$A),'[1]wc-product-export-16-3-2026-177'!$D:$D,0,0)</f>
        <v>0</v>
      </c>
      <c r="Q407" s="2" cm="1">
        <f t="array" ref="Q407">IF(TRIM($D407)="SET",IF($K407="Steak Set1",ROUNDDOWN(IFERROR(MIN(_xlfn._xlws.FILTER(O$3:O$650,ISNUMBER(MATCH(TRIM($B$3:$B$650),TRIM(_xlfn.TEXTSPLIT($N407,",")),0)))),0)/4,0)+P407,IF(IFERROR(MIN(_xlfn._xlws.FILTER(O$3:O$650,ISNUMBER(MATCH(TRIM($B$3:$B$650),TRIM(_xlfn.TEXTSPLIT($N407,",")),0)))),0)&gt;=$E$1,IFERROR(MIN(_xlfn._xlws.FILTER(O$3:O$650,ISNUMBER(MATCH(TRIM($B$3:$B$650),TRIM(_xlfn.TEXTSPLIT($N407,",")),0)))),0)+P407,P407)),IF(TRIM($D407)="EA",IF(TRIM($E407)="M",ROUNDUP(O407*0.85,0),IF(TRIM($E407)="P",O407,P407)),P407))</f>
        <v>2</v>
      </c>
      <c r="T407" t="str" cm="1">
        <f t="array" ref="T407">IFERROR(IF(D407="SET",_xlfn.TEXTJOIN(", ",TRUE,_xlfn._xlws.FILTER(TRANSPOSE(TRIM(_xlfn.TEXTSPLIT(N407,","))),COUNTIFS(B$3:B$650,TRANSPOSE(TRIM(_xlfn.TEXTSPLIT(N407,","))),O$3:O$650,"&lt;="&amp;$T$1))),""),"")</f>
        <v>56501</v>
      </c>
    </row>
    <row r="408" spans="1:20" ht="14.4" x14ac:dyDescent="0.3">
      <c r="A408" s="1">
        <v>56525</v>
      </c>
      <c r="B408" s="55" t="s">
        <v>884</v>
      </c>
      <c r="C408" s="1" t="s">
        <v>1262</v>
      </c>
      <c r="D408" s="1" t="s">
        <v>628</v>
      </c>
      <c r="E408" s="1" t="s">
        <v>686</v>
      </c>
      <c r="F408" s="9"/>
      <c r="G408" s="9"/>
      <c r="H408" s="16" t="s">
        <v>523</v>
      </c>
      <c r="I408" s="9" t="b">
        <f t="shared" si="8"/>
        <v>0</v>
      </c>
      <c r="J408" s="1" t="s">
        <v>400</v>
      </c>
      <c r="K408" s="1" t="s">
        <v>280</v>
      </c>
      <c r="L408" s="1" t="s">
        <v>1716</v>
      </c>
      <c r="M408" s="9"/>
      <c r="N408" s="35" t="s">
        <v>1337</v>
      </c>
      <c r="O408" s="24">
        <v>6</v>
      </c>
      <c r="P408" s="2" cm="1">
        <f t="array" ref="P408">_xlfn.XLOOKUP(TRIM(B408),TRIM('[1]wc-product-export-16-3-2026-177'!$A:$A),'[1]wc-product-export-16-3-2026-177'!$D:$D,0,0)</f>
        <v>0</v>
      </c>
      <c r="Q408" s="2" cm="1">
        <f t="array" ref="Q408">IF(TRIM($D408)="SET",IF($K408="Steak Set1",ROUNDDOWN(IFERROR(MIN(_xlfn._xlws.FILTER(O$3:O$650,ISNUMBER(MATCH(TRIM($B$3:$B$650),TRIM(_xlfn.TEXTSPLIT($N408,",")),0)))),0)/4,0)+P408,IF(IFERROR(MIN(_xlfn._xlws.FILTER(O$3:O$650,ISNUMBER(MATCH(TRIM($B$3:$B$650),TRIM(_xlfn.TEXTSPLIT($N408,",")),0)))),0)&gt;=$E$1,IFERROR(MIN(_xlfn._xlws.FILTER(O$3:O$650,ISNUMBER(MATCH(TRIM($B$3:$B$650),TRIM(_xlfn.TEXTSPLIT($N408,",")),0)))),0)+P408,P408)),IF(TRIM($D408)="EA",IF(TRIM($E408)="M",ROUNDUP(O408*0.85,0),IF(TRIM($E408)="P",O408,P408)),P408))</f>
        <v>2</v>
      </c>
      <c r="T408" t="str" cm="1">
        <f t="array" ref="T408">IFERROR(IF(D408="SET",_xlfn.TEXTJOIN(", ",TRUE,_xlfn._xlws.FILTER(TRANSPOSE(TRIM(_xlfn.TEXTSPLIT(N408,","))),COUNTIFS(B$3:B$650,TRANSPOSE(TRIM(_xlfn.TEXTSPLIT(N408,","))),O$3:O$650,"&lt;="&amp;$T$1))),""),"")</f>
        <v>56501</v>
      </c>
    </row>
    <row r="409" spans="1:20" ht="24" x14ac:dyDescent="0.3">
      <c r="A409" s="1">
        <v>56526</v>
      </c>
      <c r="B409" s="55" t="s">
        <v>885</v>
      </c>
      <c r="C409" s="1" t="s">
        <v>1262</v>
      </c>
      <c r="D409" s="1" t="s">
        <v>628</v>
      </c>
      <c r="E409" s="1" t="s">
        <v>686</v>
      </c>
      <c r="F409" s="9" t="s">
        <v>1608</v>
      </c>
      <c r="G409" s="9"/>
      <c r="H409" s="16" t="s">
        <v>524</v>
      </c>
      <c r="I409" s="9" t="b">
        <f t="shared" si="8"/>
        <v>0</v>
      </c>
      <c r="J409" s="1" t="s">
        <v>400</v>
      </c>
      <c r="K409" s="1" t="s">
        <v>1713</v>
      </c>
      <c r="L409" s="1" t="s">
        <v>1720</v>
      </c>
      <c r="M409" s="9">
        <v>1</v>
      </c>
      <c r="N409" s="35" t="s">
        <v>1747</v>
      </c>
      <c r="O409" s="24">
        <v>0</v>
      </c>
      <c r="P409" s="2" cm="1">
        <f t="array" ref="P409">_xlfn.XLOOKUP(TRIM(B409),TRIM('[1]wc-product-export-16-3-2026-177'!$A:$A),'[1]wc-product-export-16-3-2026-177'!$D:$D,0,0)</f>
        <v>0</v>
      </c>
      <c r="Q409" s="66" cm="1">
        <f t="array" ref="Q409">_xlfn.LET(_xlpm.items,TRIM(_xlfn.TEXTSPLIT($N409,",")),_xlpm.codes,TRIM($B$3:$B$650),_xlpm.qty,$O$3:$O$650,_xlpm.setMask,ISNUMBER(MATCH(_xlpm.codes,_xlpm.items,0)),_xlpm.knifeType,IF(ISNUMBER(SEARCH("fine",$H409)),"03",IF(ISNUMBER(SEARCH("serr",$H409)),"02","")),_xlpm.knifeStock,IFERROR(MIN(IF(_xlpm.setMask*(RIGHT(_xlpm.codes,2)=_xlpm.knifeType),_xlpm.qty)),0),_xlpm.otherStock,IFERROR(MIN(IF(_xlpm.setMask*(RIGHT(_xlpm.codes,2)&lt;&gt;_xlpm.knifeType),_xlpm.qty)),0),IF(_xlpm.knifeStock&gt;=8,MIN(ROUNDDOWN(_xlpm.knifeStock/8,0),_xlpm.otherStock),0)+P409)</f>
        <v>0</v>
      </c>
      <c r="T409" t="str" cm="1">
        <f t="array" ref="T409">IFERROR(IF(D409="SET",_xlfn.TEXTJOIN(", ",TRUE,_xlfn._xlws.FILTER(TRANSPOSE(TRIM(_xlfn.TEXTSPLIT(N409,","))),COUNTIFS(B$3:B$650,TRANSPOSE(TRIM(_xlfn.TEXTSPLIT(N409,","))),O$3:O$650,"&lt;="&amp;$T$1))),""),"")</f>
        <v>56501, 56502</v>
      </c>
    </row>
    <row r="410" spans="1:20" ht="24" x14ac:dyDescent="0.3">
      <c r="A410" s="1">
        <v>56527</v>
      </c>
      <c r="B410" s="55" t="s">
        <v>886</v>
      </c>
      <c r="C410" s="1" t="s">
        <v>1262</v>
      </c>
      <c r="D410" s="1" t="s">
        <v>628</v>
      </c>
      <c r="E410" s="1" t="s">
        <v>686</v>
      </c>
      <c r="F410" s="9"/>
      <c r="G410" s="9"/>
      <c r="H410" s="16" t="s">
        <v>550</v>
      </c>
      <c r="I410" s="9" t="b">
        <f t="shared" si="8"/>
        <v>0</v>
      </c>
      <c r="J410" s="1" t="s">
        <v>400</v>
      </c>
      <c r="K410" s="1" t="s">
        <v>1713</v>
      </c>
      <c r="L410" s="1" t="s">
        <v>1720</v>
      </c>
      <c r="M410" s="9">
        <v>1</v>
      </c>
      <c r="N410" s="35" t="s">
        <v>1748</v>
      </c>
      <c r="O410" s="24">
        <v>0</v>
      </c>
      <c r="P410" s="2" cm="1">
        <f t="array" ref="P410">_xlfn.XLOOKUP(TRIM(B410),TRIM('[1]wc-product-export-16-3-2026-177'!$A:$A),'[1]wc-product-export-16-3-2026-177'!$D:$D,0,0)</f>
        <v>0</v>
      </c>
      <c r="Q410" s="66" cm="1">
        <f t="array" ref="Q410">_xlfn.LET(_xlpm.items,TRIM(_xlfn.TEXTSPLIT($N410,",")),_xlpm.codes,TRIM($B$3:$B$650),_xlpm.qty,$O$3:$O$650,_xlpm.setMask,ISNUMBER(MATCH(_xlpm.codes,_xlpm.items,0)),_xlpm.knifeType,IF(ISNUMBER(SEARCH("fine",$H410)),"03",IF(ISNUMBER(SEARCH("serr",$H410)),"02","")),_xlpm.knifeStock,IFERROR(MIN(IF(_xlpm.setMask*(RIGHT(_xlpm.codes,2)=_xlpm.knifeType),_xlpm.qty)),0),_xlpm.otherStock,IFERROR(MIN(IF(_xlpm.setMask*(RIGHT(_xlpm.codes,2)&lt;&gt;_xlpm.knifeType),_xlpm.qty)),0),IF(_xlpm.knifeStock&gt;=8,MIN(ROUNDDOWN(_xlpm.knifeStock/8,0),_xlpm.otherStock),0)+P410)</f>
        <v>0</v>
      </c>
      <c r="T410" t="str" cm="1">
        <f t="array" ref="T410">IFERROR(IF(D410="SET",_xlfn.TEXTJOIN(", ",TRUE,_xlfn._xlws.FILTER(TRANSPOSE(TRIM(_xlfn.TEXTSPLIT(N410,","))),COUNTIFS(B$3:B$650,TRANSPOSE(TRIM(_xlfn.TEXTSPLIT(N410,","))),O$3:O$650,"&lt;="&amp;$T$1))),""),"")</f>
        <v>56501, 56503</v>
      </c>
    </row>
    <row r="411" spans="1:20" ht="14.4" x14ac:dyDescent="0.3">
      <c r="A411" s="1">
        <v>56528</v>
      </c>
      <c r="B411" s="55" t="s">
        <v>887</v>
      </c>
      <c r="C411" s="1" t="s">
        <v>1259</v>
      </c>
      <c r="D411" s="1" t="s">
        <v>624</v>
      </c>
      <c r="E411" s="1" t="s">
        <v>686</v>
      </c>
      <c r="F411" s="9"/>
      <c r="G411" s="9"/>
      <c r="H411" s="16" t="s">
        <v>330</v>
      </c>
      <c r="I411" s="9" t="b">
        <f t="shared" si="8"/>
        <v>0</v>
      </c>
      <c r="J411" s="1" t="s">
        <v>401</v>
      </c>
      <c r="K411" s="1" t="s">
        <v>269</v>
      </c>
      <c r="L411" s="1" t="s">
        <v>401</v>
      </c>
      <c r="M411" s="9"/>
      <c r="N411" s="35"/>
      <c r="O411" s="24">
        <v>0</v>
      </c>
      <c r="P411" s="2" cm="1">
        <f t="array" ref="P411">_xlfn.XLOOKUP(TRIM(B411),TRIM('[1]wc-product-export-16-3-2026-177'!$A:$A),'[1]wc-product-export-16-3-2026-177'!$D:$D,0,0)</f>
        <v>0</v>
      </c>
      <c r="Q411" s="2" cm="1">
        <f t="array" ref="Q411">IF(TRIM($D411)="SET",IF($K411="Steak Set1",ROUNDDOWN(IFERROR(MIN(_xlfn._xlws.FILTER(O$3:O$650,ISNUMBER(MATCH(TRIM($B$3:$B$650),TRIM(_xlfn.TEXTSPLIT($N411,",")),0)))),0)/4,0)+P411,IF(IFERROR(MIN(_xlfn._xlws.FILTER(O$3:O$650,ISNUMBER(MATCH(TRIM($B$3:$B$650),TRIM(_xlfn.TEXTSPLIT($N411,",")),0)))),0)&gt;=$E$1,IFERROR(MIN(_xlfn._xlws.FILTER(O$3:O$650,ISNUMBER(MATCH(TRIM($B$3:$B$650),TRIM(_xlfn.TEXTSPLIT($N411,",")),0)))),0)+P411,P411)),IF(TRIM($D411)="EA",IF(TRIM($E411)="M",ROUNDUP(O411*0.85,0),IF(TRIM($E411)="P",O411,P411)),P411))</f>
        <v>0</v>
      </c>
      <c r="T411" t="str" cm="1">
        <f t="array" ref="T411">IFERROR(IF(D411="SET",_xlfn.TEXTJOIN(", ",TRUE,_xlfn._xlws.FILTER(TRANSPOSE(TRIM(_xlfn.TEXTSPLIT(N411,","))),COUNTIFS(B$3:B$650,TRANSPOSE(TRIM(_xlfn.TEXTSPLIT(N411,","))),O$3:O$650,"&lt;="&amp;$T$1))),""),"")</f>
        <v/>
      </c>
    </row>
    <row r="412" spans="1:20" ht="14.4" hidden="1" x14ac:dyDescent="0.3">
      <c r="A412" s="1">
        <v>56533</v>
      </c>
      <c r="B412" s="1" t="s">
        <v>888</v>
      </c>
      <c r="C412" s="1" t="s">
        <v>1259</v>
      </c>
      <c r="D412" s="1" t="s">
        <v>624</v>
      </c>
      <c r="E412" s="1" t="s">
        <v>686</v>
      </c>
      <c r="F412" s="9" t="s">
        <v>1689</v>
      </c>
      <c r="G412" s="9"/>
      <c r="H412" s="53" t="s">
        <v>414</v>
      </c>
      <c r="I412" s="9" t="b">
        <f t="shared" si="8"/>
        <v>1</v>
      </c>
      <c r="J412" s="1" t="s">
        <v>401</v>
      </c>
      <c r="K412" s="1" t="s">
        <v>287</v>
      </c>
      <c r="L412" s="1" t="s">
        <v>401</v>
      </c>
      <c r="M412" s="9"/>
      <c r="N412" s="35"/>
      <c r="O412" s="2" t="s">
        <v>458</v>
      </c>
      <c r="P412" s="2" cm="1">
        <f t="array" ref="P412">_xlfn.XLOOKUP(TRIM(B412),TRIM('[1]wc-product-export-16-3-2026-177'!$A:$A),'[1]wc-product-export-16-3-2026-177'!$D:$D,0,0)</f>
        <v>0</v>
      </c>
      <c r="Q412" s="2" t="e" cm="1">
        <f t="array" ref="Q412">IF(TRIM($D412)="SET",IF($K412="Steak Set1",ROUNDDOWN(IFERROR(MIN(_xlfn._xlws.FILTER(O$3:O$650,ISNUMBER(MATCH(TRIM($B$3:$B$650),TRIM(_xlfn.TEXTSPLIT($N412,",")),0)))),0)/4,0)+P412,IF(IFERROR(MIN(_xlfn._xlws.FILTER(O$3:O$650,ISNUMBER(MATCH(TRIM($B$3:$B$650),TRIM(_xlfn.TEXTSPLIT($N412,",")),0)))),0)&gt;=$E$1,IFERROR(MIN(_xlfn._xlws.FILTER(O$3:O$650,ISNUMBER(MATCH(TRIM($B$3:$B$650),TRIM(_xlfn.TEXTSPLIT($N412,",")),0)))),0)+P412,P412)),IF(TRIM($D412)="EA",IF(TRIM($E412)="M",ROUNDUP(O412*0.85,0),IF(TRIM($E412)="P",O412,P412)),P412))</f>
        <v>#VALUE!</v>
      </c>
      <c r="T412" t="str" cm="1">
        <f t="array" ref="T412">IFERROR(IF(D412="SET",_xlfn.TEXTJOIN(", ",TRUE,_xlfn._xlws.FILTER(TRANSPOSE(TRIM(_xlfn.TEXTSPLIT(N412,","))),COUNTIFS(B$3:B$650,TRANSPOSE(TRIM(_xlfn.TEXTSPLIT(N412,","))),O$3:O$650,"&lt;="&amp;$T$1))),""),"")</f>
        <v/>
      </c>
    </row>
    <row r="413" spans="1:20" ht="14.4" hidden="1" x14ac:dyDescent="0.3">
      <c r="A413" s="1">
        <v>56534</v>
      </c>
      <c r="B413" s="1" t="s">
        <v>889</v>
      </c>
      <c r="C413" s="1" t="s">
        <v>1259</v>
      </c>
      <c r="D413" s="1" t="s">
        <v>624</v>
      </c>
      <c r="E413" s="1" t="s">
        <v>686</v>
      </c>
      <c r="F413" s="9" t="s">
        <v>1689</v>
      </c>
      <c r="G413" s="9"/>
      <c r="H413" s="16" t="s">
        <v>415</v>
      </c>
      <c r="I413" s="9" t="b">
        <f t="shared" si="8"/>
        <v>1</v>
      </c>
      <c r="J413" s="1" t="s">
        <v>401</v>
      </c>
      <c r="K413" s="1" t="s">
        <v>287</v>
      </c>
      <c r="L413" s="1" t="s">
        <v>401</v>
      </c>
      <c r="M413" s="9"/>
      <c r="N413" s="35"/>
      <c r="O413" s="2" t="s">
        <v>458</v>
      </c>
      <c r="P413" s="2" cm="1">
        <f t="array" ref="P413">_xlfn.XLOOKUP(TRIM(B413),TRIM('[1]wc-product-export-16-3-2026-177'!$A:$A),'[1]wc-product-export-16-3-2026-177'!$D:$D,0,0)</f>
        <v>0</v>
      </c>
      <c r="Q413" s="2" t="e" cm="1">
        <f t="array" ref="Q413">IF(TRIM($D413)="SET",IF($K413="Steak Set1",ROUNDDOWN(IFERROR(MIN(_xlfn._xlws.FILTER(O$3:O$650,ISNUMBER(MATCH(TRIM($B$3:$B$650),TRIM(_xlfn.TEXTSPLIT($N413,",")),0)))),0)/4,0)+P413,IF(IFERROR(MIN(_xlfn._xlws.FILTER(O$3:O$650,ISNUMBER(MATCH(TRIM($B$3:$B$650),TRIM(_xlfn.TEXTSPLIT($N413,",")),0)))),0)&gt;=$E$1,IFERROR(MIN(_xlfn._xlws.FILTER(O$3:O$650,ISNUMBER(MATCH(TRIM($B$3:$B$650),TRIM(_xlfn.TEXTSPLIT($N413,",")),0)))),0)+P413,P413)),IF(TRIM($D413)="EA",IF(TRIM($E413)="M",ROUNDUP(O413*0.85,0),IF(TRIM($E413)="P",O413,P413)),P413))</f>
        <v>#VALUE!</v>
      </c>
      <c r="T413" t="str" cm="1">
        <f t="array" ref="T413">IFERROR(IF(D413="SET",_xlfn.TEXTJOIN(", ",TRUE,_xlfn._xlws.FILTER(TRANSPOSE(TRIM(_xlfn.TEXTSPLIT(N413,","))),COUNTIFS(B$3:B$650,TRANSPOSE(TRIM(_xlfn.TEXTSPLIT(N413,","))),O$3:O$650,"&lt;="&amp;$T$1))),""),"")</f>
        <v/>
      </c>
    </row>
    <row r="414" spans="1:20" ht="14.4" hidden="1" x14ac:dyDescent="0.3">
      <c r="A414" s="1">
        <v>56535</v>
      </c>
      <c r="B414" s="1" t="s">
        <v>1188</v>
      </c>
      <c r="C414" s="1" t="s">
        <v>1259</v>
      </c>
      <c r="D414" s="1" t="s">
        <v>624</v>
      </c>
      <c r="E414" s="1" t="s">
        <v>686</v>
      </c>
      <c r="F414" s="9" t="s">
        <v>1689</v>
      </c>
      <c r="G414" s="9"/>
      <c r="H414" s="16" t="s">
        <v>1189</v>
      </c>
      <c r="I414" s="9" t="b">
        <f t="shared" si="8"/>
        <v>1</v>
      </c>
      <c r="J414" s="1" t="s">
        <v>401</v>
      </c>
      <c r="K414" s="1" t="s">
        <v>287</v>
      </c>
      <c r="L414" s="1" t="s">
        <v>401</v>
      </c>
      <c r="M414" s="9"/>
      <c r="N414" s="35"/>
      <c r="O414" s="2" t="s">
        <v>458</v>
      </c>
      <c r="P414" s="2" cm="1">
        <f t="array" ref="P414">_xlfn.XLOOKUP(TRIM(B414),TRIM('[1]wc-product-export-16-3-2026-177'!$A:$A),'[1]wc-product-export-16-3-2026-177'!$D:$D,0,0)</f>
        <v>0</v>
      </c>
      <c r="Q414" s="2" t="e" cm="1">
        <f t="array" ref="Q414">IF(TRIM($D414)="SET",IF($K414="Steak Set1",ROUNDDOWN(IFERROR(MIN(_xlfn._xlws.FILTER(O$3:O$650,ISNUMBER(MATCH(TRIM($B$3:$B$650),TRIM(_xlfn.TEXTSPLIT($N414,",")),0)))),0)/4,0)+P414,IF(IFERROR(MIN(_xlfn._xlws.FILTER(O$3:O$650,ISNUMBER(MATCH(TRIM($B$3:$B$650),TRIM(_xlfn.TEXTSPLIT($N414,",")),0)))),0)&gt;=$E$1,IFERROR(MIN(_xlfn._xlws.FILTER(O$3:O$650,ISNUMBER(MATCH(TRIM($B$3:$B$650),TRIM(_xlfn.TEXTSPLIT($N414,",")),0)))),0)+P414,P414)),IF(TRIM($D414)="EA",IF(TRIM($E414)="M",ROUNDUP(O414*0.85,0),IF(TRIM($E414)="P",O414,P414)),P414))</f>
        <v>#VALUE!</v>
      </c>
      <c r="T414" t="str" cm="1">
        <f t="array" ref="T414">IFERROR(IF(D414="SET",_xlfn.TEXTJOIN(", ",TRUE,_xlfn._xlws.FILTER(TRANSPOSE(TRIM(_xlfn.TEXTSPLIT(N414,","))),COUNTIFS(B$3:B$650,TRANSPOSE(TRIM(_xlfn.TEXTSPLIT(N414,","))),O$3:O$650,"&lt;="&amp;$T$1))),""),"")</f>
        <v/>
      </c>
    </row>
    <row r="415" spans="1:20" ht="14.4" x14ac:dyDescent="0.3">
      <c r="A415" s="1">
        <v>56538</v>
      </c>
      <c r="B415" s="56" t="s">
        <v>890</v>
      </c>
      <c r="C415" s="1" t="s">
        <v>1262</v>
      </c>
      <c r="D415" s="1" t="s">
        <v>624</v>
      </c>
      <c r="E415" s="1" t="s">
        <v>686</v>
      </c>
      <c r="F415" s="9"/>
      <c r="G415" s="9"/>
      <c r="H415" s="16" t="s">
        <v>174</v>
      </c>
      <c r="I415" s="9" t="b">
        <f t="shared" si="8"/>
        <v>0</v>
      </c>
      <c r="J415" s="1" t="s">
        <v>400</v>
      </c>
      <c r="K415" s="1" t="s">
        <v>285</v>
      </c>
      <c r="L415" s="1" t="s">
        <v>285</v>
      </c>
      <c r="M415" s="9"/>
      <c r="N415" s="35"/>
      <c r="O415" s="24">
        <v>0</v>
      </c>
      <c r="P415" s="2" cm="1">
        <f t="array" ref="P415">_xlfn.XLOOKUP(TRIM(B415),TRIM('[1]wc-product-export-16-3-2026-177'!$A:$A),'[1]wc-product-export-16-3-2026-177'!$D:$D,0,0)</f>
        <v>0</v>
      </c>
      <c r="Q415" s="2" cm="1">
        <f t="array" ref="Q415">IF(TRIM($D415)="SET",IF($K415="Steak Set1",ROUNDDOWN(IFERROR(MIN(_xlfn._xlws.FILTER(O$3:O$650,ISNUMBER(MATCH(TRIM($B$3:$B$650),TRIM(_xlfn.TEXTSPLIT($N415,",")),0)))),0)/4,0)+P415,IF(IFERROR(MIN(_xlfn._xlws.FILTER(O$3:O$650,ISNUMBER(MATCH(TRIM($B$3:$B$650),TRIM(_xlfn.TEXTSPLIT($N415,",")),0)))),0)&gt;=$E$1,IFERROR(MIN(_xlfn._xlws.FILTER(O$3:O$650,ISNUMBER(MATCH(TRIM($B$3:$B$650),TRIM(_xlfn.TEXTSPLIT($N415,",")),0)))),0)+P415,P415)),IF(TRIM($D415)="EA",IF(TRIM($E415)="M",ROUNDUP(O415*0.85,0),IF(TRIM($E415)="P",O415,P415)),P415))</f>
        <v>0</v>
      </c>
      <c r="T415" t="str" cm="1">
        <f t="array" ref="T415">IFERROR(IF(D415="SET",_xlfn.TEXTJOIN(", ",TRUE,_xlfn._xlws.FILTER(TRANSPOSE(TRIM(_xlfn.TEXTSPLIT(N415,","))),COUNTIFS(B$3:B$650,TRANSPOSE(TRIM(_xlfn.TEXTSPLIT(N415,","))),O$3:O$650,"&lt;="&amp;$T$1))),""),"")</f>
        <v/>
      </c>
    </row>
    <row r="416" spans="1:20" ht="14.4" x14ac:dyDescent="0.3">
      <c r="A416" s="1">
        <v>56539</v>
      </c>
      <c r="B416" s="55" t="s">
        <v>891</v>
      </c>
      <c r="C416" s="1" t="s">
        <v>1262</v>
      </c>
      <c r="D416" s="1" t="s">
        <v>624</v>
      </c>
      <c r="E416" s="1" t="s">
        <v>686</v>
      </c>
      <c r="F416" s="9"/>
      <c r="G416" s="9"/>
      <c r="H416" s="16" t="s">
        <v>175</v>
      </c>
      <c r="I416" s="9" t="b">
        <f t="shared" si="8"/>
        <v>1</v>
      </c>
      <c r="J416" s="1" t="s">
        <v>400</v>
      </c>
      <c r="K416" s="1" t="s">
        <v>287</v>
      </c>
      <c r="L416" s="1" t="s">
        <v>287</v>
      </c>
      <c r="M416" s="9"/>
      <c r="N416" s="35"/>
      <c r="O416" s="24">
        <v>0</v>
      </c>
      <c r="P416" s="2" cm="1">
        <f t="array" ref="P416">_xlfn.XLOOKUP(TRIM(B416),TRIM('[1]wc-product-export-16-3-2026-177'!$A:$A),'[1]wc-product-export-16-3-2026-177'!$D:$D,0,0)</f>
        <v>0</v>
      </c>
      <c r="Q416" s="2" cm="1">
        <f t="array" ref="Q416">IF(TRIM($D416)="SET",IF($K416="Steak Set1",ROUNDDOWN(IFERROR(MIN(_xlfn._xlws.FILTER(O$3:O$650,ISNUMBER(MATCH(TRIM($B$3:$B$650),TRIM(_xlfn.TEXTSPLIT($N416,",")),0)))),0)/4,0)+P416,IF(IFERROR(MIN(_xlfn._xlws.FILTER(O$3:O$650,ISNUMBER(MATCH(TRIM($B$3:$B$650),TRIM(_xlfn.TEXTSPLIT($N416,",")),0)))),0)&gt;=$E$1,IFERROR(MIN(_xlfn._xlws.FILTER(O$3:O$650,ISNUMBER(MATCH(TRIM($B$3:$B$650),TRIM(_xlfn.TEXTSPLIT($N416,",")),0)))),0)+P416,P416)),IF(TRIM($D416)="EA",IF(TRIM($E416)="M",ROUNDUP(O416*0.85,0),IF(TRIM($E416)="P",O416,P416)),P416))</f>
        <v>0</v>
      </c>
      <c r="T416" t="str" cm="1">
        <f t="array" ref="T416">IFERROR(IF(D416="SET",_xlfn.TEXTJOIN(", ",TRUE,_xlfn._xlws.FILTER(TRANSPOSE(TRIM(_xlfn.TEXTSPLIT(N416,","))),COUNTIFS(B$3:B$650,TRANSPOSE(TRIM(_xlfn.TEXTSPLIT(N416,","))),O$3:O$650,"&lt;="&amp;$T$1))),""),"")</f>
        <v/>
      </c>
    </row>
    <row r="417" spans="1:20" ht="14.4" x14ac:dyDescent="0.3">
      <c r="A417" s="1">
        <v>56540</v>
      </c>
      <c r="B417" s="55" t="s">
        <v>892</v>
      </c>
      <c r="C417" s="1" t="s">
        <v>1262</v>
      </c>
      <c r="D417" s="1" t="s">
        <v>624</v>
      </c>
      <c r="E417" s="1" t="s">
        <v>686</v>
      </c>
      <c r="F417" s="9"/>
      <c r="G417" s="9"/>
      <c r="H417" s="16" t="s">
        <v>111</v>
      </c>
      <c r="I417" s="9" t="b">
        <f t="shared" si="8"/>
        <v>0</v>
      </c>
      <c r="J417" s="1" t="s">
        <v>400</v>
      </c>
      <c r="K417" s="1" t="s">
        <v>286</v>
      </c>
      <c r="L417" s="1" t="s">
        <v>286</v>
      </c>
      <c r="M417" s="9"/>
      <c r="N417" s="35"/>
      <c r="O417" s="24">
        <v>0</v>
      </c>
      <c r="P417" s="2" cm="1">
        <f t="array" ref="P417">_xlfn.XLOOKUP(TRIM(B417),TRIM('[1]wc-product-export-16-3-2026-177'!$A:$A),'[1]wc-product-export-16-3-2026-177'!$D:$D,0,0)</f>
        <v>0</v>
      </c>
      <c r="Q417" s="2" cm="1">
        <f t="array" ref="Q417">IF(TRIM($D417)="SET",IF($K417="Steak Set1",ROUNDDOWN(IFERROR(MIN(_xlfn._xlws.FILTER(O$3:O$650,ISNUMBER(MATCH(TRIM($B$3:$B$650),TRIM(_xlfn.TEXTSPLIT($N417,",")),0)))),0)/4,0)+P417,IF(IFERROR(MIN(_xlfn._xlws.FILTER(O$3:O$650,ISNUMBER(MATCH(TRIM($B$3:$B$650),TRIM(_xlfn.TEXTSPLIT($N417,",")),0)))),0)&gt;=$E$1,IFERROR(MIN(_xlfn._xlws.FILTER(O$3:O$650,ISNUMBER(MATCH(TRIM($B$3:$B$650),TRIM(_xlfn.TEXTSPLIT($N417,",")),0)))),0)+P417,P417)),IF(TRIM($D417)="EA",IF(TRIM($E417)="M",ROUNDUP(O417*0.85,0),IF(TRIM($E417)="P",O417,P417)),P417))</f>
        <v>0</v>
      </c>
      <c r="T417" t="str" cm="1">
        <f t="array" ref="T417">IFERROR(IF(D417="SET",_xlfn.TEXTJOIN(", ",TRUE,_xlfn._xlws.FILTER(TRANSPOSE(TRIM(_xlfn.TEXTSPLIT(N417,","))),COUNTIFS(B$3:B$650,TRANSPOSE(TRIM(_xlfn.TEXTSPLIT(N417,","))),O$3:O$650,"&lt;="&amp;$T$1))),""),"")</f>
        <v/>
      </c>
    </row>
    <row r="418" spans="1:20" ht="14.4" x14ac:dyDescent="0.3">
      <c r="A418" s="1">
        <v>56543</v>
      </c>
      <c r="B418" s="55" t="s">
        <v>893</v>
      </c>
      <c r="C418" s="1" t="s">
        <v>1262</v>
      </c>
      <c r="D418" s="1" t="s">
        <v>624</v>
      </c>
      <c r="E418" s="1" t="s">
        <v>686</v>
      </c>
      <c r="F418" s="9"/>
      <c r="G418" s="9"/>
      <c r="H418" s="16" t="s">
        <v>75</v>
      </c>
      <c r="I418" s="9" t="b">
        <f t="shared" si="8"/>
        <v>0</v>
      </c>
      <c r="J418" s="1" t="s">
        <v>400</v>
      </c>
      <c r="K418" s="1" t="s">
        <v>274</v>
      </c>
      <c r="L418" s="1" t="s">
        <v>274</v>
      </c>
      <c r="M418" s="9"/>
      <c r="N418" s="35"/>
      <c r="O418" s="24">
        <v>35</v>
      </c>
      <c r="P418" s="2" cm="1">
        <f t="array" ref="P418">_xlfn.XLOOKUP(TRIM(B418),TRIM('[1]wc-product-export-16-3-2026-177'!$A:$A),'[1]wc-product-export-16-3-2026-177'!$D:$D,0,0)</f>
        <v>0</v>
      </c>
      <c r="Q418" s="2" cm="1">
        <f t="array" ref="Q418">IF(TRIM($D418)="SET",IF($K418="Steak Set1",ROUNDDOWN(IFERROR(MIN(_xlfn._xlws.FILTER(O$3:O$650,ISNUMBER(MATCH(TRIM($B$3:$B$650),TRIM(_xlfn.TEXTSPLIT($N418,",")),0)))),0)/4,0)+P418,IF(IFERROR(MIN(_xlfn._xlws.FILTER(O$3:O$650,ISNUMBER(MATCH(TRIM($B$3:$B$650),TRIM(_xlfn.TEXTSPLIT($N418,",")),0)))),0)&gt;=$E$1,IFERROR(MIN(_xlfn._xlws.FILTER(O$3:O$650,ISNUMBER(MATCH(TRIM($B$3:$B$650),TRIM(_xlfn.TEXTSPLIT($N418,",")),0)))),0)+P418,P418)),IF(TRIM($D418)="EA",IF(TRIM($E418)="M",ROUNDUP(O418*0.85,0),IF(TRIM($E418)="P",O418,P418)),P418))</f>
        <v>30</v>
      </c>
      <c r="T418" t="str" cm="1">
        <f t="array" ref="T418">IFERROR(IF(D418="SET",_xlfn.TEXTJOIN(", ",TRUE,_xlfn._xlws.FILTER(TRANSPOSE(TRIM(_xlfn.TEXTSPLIT(N418,","))),COUNTIFS(B$3:B$650,TRANSPOSE(TRIM(_xlfn.TEXTSPLIT(N418,","))),O$3:O$650,"&lt;="&amp;$T$1))),""),"")</f>
        <v/>
      </c>
    </row>
    <row r="419" spans="1:20" ht="14.4" x14ac:dyDescent="0.3">
      <c r="A419" s="1">
        <v>56544</v>
      </c>
      <c r="B419" s="55" t="s">
        <v>894</v>
      </c>
      <c r="C419" s="1" t="s">
        <v>1262</v>
      </c>
      <c r="D419" s="1" t="s">
        <v>628</v>
      </c>
      <c r="E419" s="1" t="s">
        <v>686</v>
      </c>
      <c r="F419" s="9"/>
      <c r="G419" s="9"/>
      <c r="H419" s="16" t="s">
        <v>559</v>
      </c>
      <c r="I419" s="9" t="b">
        <f t="shared" si="8"/>
        <v>0</v>
      </c>
      <c r="J419" s="1" t="s">
        <v>400</v>
      </c>
      <c r="K419" s="1" t="s">
        <v>1715</v>
      </c>
      <c r="L419" s="1" t="s">
        <v>1715</v>
      </c>
      <c r="M419" s="9"/>
      <c r="N419" s="35" t="s">
        <v>1336</v>
      </c>
      <c r="O419" s="24">
        <v>6</v>
      </c>
      <c r="P419" s="2" cm="1">
        <f t="array" ref="P419">_xlfn.XLOOKUP(TRIM(B419),TRIM('[1]wc-product-export-16-3-2026-177'!$A:$A),'[1]wc-product-export-16-3-2026-177'!$D:$D,0,0)</f>
        <v>0</v>
      </c>
      <c r="Q419" s="2" cm="1">
        <f t="array" ref="Q419">IF(TRIM($D419)="SET",IF($K419="Steak Set1",ROUNDDOWN(IFERROR(MIN(_xlfn._xlws.FILTER(O$3:O$650,ISNUMBER(MATCH(TRIM($B$3:$B$650),TRIM(_xlfn.TEXTSPLIT($N419,",")),0)))),0)/4,0)+P419,IF(IFERROR(MIN(_xlfn._xlws.FILTER(O$3:O$650,ISNUMBER(MATCH(TRIM($B$3:$B$650),TRIM(_xlfn.TEXTSPLIT($N419,",")),0)))),0)&gt;=$E$1,IFERROR(MIN(_xlfn._xlws.FILTER(O$3:O$650,ISNUMBER(MATCH(TRIM($B$3:$B$650),TRIM(_xlfn.TEXTSPLIT($N419,",")),0)))),0)+P419,P419)),IF(TRIM($D419)="EA",IF(TRIM($E419)="M",ROUNDUP(O419*0.85,0),IF(TRIM($E419)="P",O419,P419)),P419))</f>
        <v>2</v>
      </c>
      <c r="T419" t="str" cm="1">
        <f t="array" ref="T419">IFERROR(IF(D419="SET",_xlfn.TEXTJOIN(", ",TRUE,_xlfn._xlws.FILTER(TRANSPOSE(TRIM(_xlfn.TEXTSPLIT(N419,","))),COUNTIFS(B$3:B$650,TRANSPOSE(TRIM(_xlfn.TEXTSPLIT(N419,","))),O$3:O$650,"&lt;="&amp;$T$1))),""),"")</f>
        <v>56501</v>
      </c>
    </row>
    <row r="420" spans="1:20" ht="14.4" x14ac:dyDescent="0.3">
      <c r="A420" s="1">
        <v>56545</v>
      </c>
      <c r="B420" s="55" t="s">
        <v>895</v>
      </c>
      <c r="C420" s="1" t="s">
        <v>1262</v>
      </c>
      <c r="D420" s="1" t="s">
        <v>628</v>
      </c>
      <c r="E420" s="1" t="s">
        <v>686</v>
      </c>
      <c r="F420" s="9"/>
      <c r="G420" s="9"/>
      <c r="H420" s="16" t="s">
        <v>560</v>
      </c>
      <c r="I420" s="9" t="b">
        <f t="shared" si="8"/>
        <v>0</v>
      </c>
      <c r="J420" s="1" t="s">
        <v>400</v>
      </c>
      <c r="K420" s="1" t="s">
        <v>1716</v>
      </c>
      <c r="L420" s="1" t="s">
        <v>1716</v>
      </c>
      <c r="M420" s="9"/>
      <c r="N420" s="35" t="s">
        <v>1337</v>
      </c>
      <c r="O420" s="24">
        <v>6</v>
      </c>
      <c r="P420" s="2" cm="1">
        <f t="array" ref="P420">_xlfn.XLOOKUP(TRIM(B420),TRIM('[1]wc-product-export-16-3-2026-177'!$A:$A),'[1]wc-product-export-16-3-2026-177'!$D:$D,0,0)</f>
        <v>0</v>
      </c>
      <c r="Q420" s="2" cm="1">
        <f t="array" ref="Q420">IF(TRIM($D420)="SET",IF($K420="Steak Set1",ROUNDDOWN(IFERROR(MIN(_xlfn._xlws.FILTER(O$3:O$650,ISNUMBER(MATCH(TRIM($B$3:$B$650),TRIM(_xlfn.TEXTSPLIT($N420,",")),0)))),0)/4,0)+P420,IF(IFERROR(MIN(_xlfn._xlws.FILTER(O$3:O$650,ISNUMBER(MATCH(TRIM($B$3:$B$650),TRIM(_xlfn.TEXTSPLIT($N420,",")),0)))),0)&gt;=$E$1,IFERROR(MIN(_xlfn._xlws.FILTER(O$3:O$650,ISNUMBER(MATCH(TRIM($B$3:$B$650),TRIM(_xlfn.TEXTSPLIT($N420,",")),0)))),0)+P420,P420)),IF(TRIM($D420)="EA",IF(TRIM($E420)="M",ROUNDUP(O420*0.85,0),IF(TRIM($E420)="P",O420,P420)),P420))</f>
        <v>2</v>
      </c>
      <c r="T420" t="str" cm="1">
        <f t="array" ref="T420">IFERROR(IF(D420="SET",_xlfn.TEXTJOIN(", ",TRUE,_xlfn._xlws.FILTER(TRANSPOSE(TRIM(_xlfn.TEXTSPLIT(N420,","))),COUNTIFS(B$3:B$650,TRANSPOSE(TRIM(_xlfn.TEXTSPLIT(N420,","))),O$3:O$650,"&lt;="&amp;$T$1))),""),"")</f>
        <v>56501</v>
      </c>
    </row>
    <row r="421" spans="1:20" ht="24" x14ac:dyDescent="0.3">
      <c r="A421" s="1">
        <v>56546</v>
      </c>
      <c r="B421" s="55" t="s">
        <v>896</v>
      </c>
      <c r="C421" s="1" t="s">
        <v>1262</v>
      </c>
      <c r="D421" s="1" t="s">
        <v>628</v>
      </c>
      <c r="E421" s="1" t="s">
        <v>686</v>
      </c>
      <c r="F421" s="9"/>
      <c r="G421" s="9"/>
      <c r="H421" s="16" t="s">
        <v>561</v>
      </c>
      <c r="I421" s="9" t="b">
        <f t="shared" si="8"/>
        <v>0</v>
      </c>
      <c r="J421" s="1" t="s">
        <v>400</v>
      </c>
      <c r="K421" s="1" t="s">
        <v>1713</v>
      </c>
      <c r="L421" s="1" t="s">
        <v>1720</v>
      </c>
      <c r="M421" s="9">
        <v>1</v>
      </c>
      <c r="N421" s="35" t="s">
        <v>1747</v>
      </c>
      <c r="O421" s="24">
        <v>0</v>
      </c>
      <c r="P421" s="2" cm="1">
        <f t="array" ref="P421">_xlfn.XLOOKUP(TRIM(B421),TRIM('[1]wc-product-export-16-3-2026-177'!$A:$A),'[1]wc-product-export-16-3-2026-177'!$D:$D,0,0)</f>
        <v>0</v>
      </c>
      <c r="Q421" s="66" cm="1">
        <f t="array" ref="Q421">_xlfn.LET(_xlpm.items,TRIM(_xlfn.TEXTSPLIT($N421,",")),_xlpm.codes,TRIM($B$3:$B$650),_xlpm.qty,$O$3:$O$650,_xlpm.setMask,ISNUMBER(MATCH(_xlpm.codes,_xlpm.items,0)),_xlpm.knifeType,IF(ISNUMBER(SEARCH("fine",$H421)),"03",IF(ISNUMBER(SEARCH("serr",$H421)),"02","")),_xlpm.knifeStock,IFERROR(MIN(IF(_xlpm.setMask*(RIGHT(_xlpm.codes,2)=_xlpm.knifeType),_xlpm.qty)),0),_xlpm.otherStock,IFERROR(MIN(IF(_xlpm.setMask*(RIGHT(_xlpm.codes,2)&lt;&gt;_xlpm.knifeType),_xlpm.qty)),0),IF(_xlpm.knifeStock&gt;=8,MIN(ROUNDDOWN(_xlpm.knifeStock/8,0),_xlpm.otherStock),0)+P421)</f>
        <v>0</v>
      </c>
      <c r="T421" t="str" cm="1">
        <f t="array" ref="T421">IFERROR(IF(D421="SET",_xlfn.TEXTJOIN(", ",TRUE,_xlfn._xlws.FILTER(TRANSPOSE(TRIM(_xlfn.TEXTSPLIT(N421,","))),COUNTIFS(B$3:B$650,TRANSPOSE(TRIM(_xlfn.TEXTSPLIT(N421,","))),O$3:O$650,"&lt;="&amp;$T$1))),""),"")</f>
        <v>56501, 56502</v>
      </c>
    </row>
    <row r="422" spans="1:20" ht="24" x14ac:dyDescent="0.3">
      <c r="A422" s="1">
        <v>56547</v>
      </c>
      <c r="B422" s="55" t="s">
        <v>897</v>
      </c>
      <c r="C422" s="1" t="s">
        <v>1262</v>
      </c>
      <c r="D422" s="1" t="s">
        <v>628</v>
      </c>
      <c r="E422" s="1" t="s">
        <v>686</v>
      </c>
      <c r="F422" s="9"/>
      <c r="G422" s="9"/>
      <c r="H422" s="16" t="s">
        <v>562</v>
      </c>
      <c r="I422" s="9" t="b">
        <f t="shared" si="8"/>
        <v>0</v>
      </c>
      <c r="J422" s="1" t="s">
        <v>400</v>
      </c>
      <c r="K422" s="1" t="s">
        <v>1713</v>
      </c>
      <c r="L422" s="1" t="s">
        <v>1720</v>
      </c>
      <c r="M422" s="9">
        <v>1</v>
      </c>
      <c r="N422" s="35" t="s">
        <v>1748</v>
      </c>
      <c r="O422" s="24">
        <v>0</v>
      </c>
      <c r="P422" s="2" cm="1">
        <f t="array" ref="P422">_xlfn.XLOOKUP(TRIM(B422),TRIM('[1]wc-product-export-16-3-2026-177'!$A:$A),'[1]wc-product-export-16-3-2026-177'!$D:$D,0,0)</f>
        <v>0</v>
      </c>
      <c r="Q422" s="66" cm="1">
        <f t="array" ref="Q422">_xlfn.LET(_xlpm.items,TRIM(_xlfn.TEXTSPLIT($N422,",")),_xlpm.codes,TRIM($B$3:$B$650),_xlpm.qty,$O$3:$O$650,_xlpm.setMask,ISNUMBER(MATCH(_xlpm.codes,_xlpm.items,0)),_xlpm.knifeType,IF(ISNUMBER(SEARCH("fine",$H422)),"03",IF(ISNUMBER(SEARCH("serr",$H422)),"02","")),_xlpm.knifeStock,IFERROR(MIN(IF(_xlpm.setMask*(RIGHT(_xlpm.codes,2)=_xlpm.knifeType),_xlpm.qty)),0),_xlpm.otherStock,IFERROR(MIN(IF(_xlpm.setMask*(RIGHT(_xlpm.codes,2)&lt;&gt;_xlpm.knifeType),_xlpm.qty)),0),IF(_xlpm.knifeStock&gt;=8,MIN(ROUNDDOWN(_xlpm.knifeStock/8,0),_xlpm.otherStock),0)+P422)</f>
        <v>0</v>
      </c>
      <c r="T422" t="str" cm="1">
        <f t="array" ref="T422">IFERROR(IF(D422="SET",_xlfn.TEXTJOIN(", ",TRUE,_xlfn._xlws.FILTER(TRANSPOSE(TRIM(_xlfn.TEXTSPLIT(N422,","))),COUNTIFS(B$3:B$650,TRANSPOSE(TRIM(_xlfn.TEXTSPLIT(N422,","))),O$3:O$650,"&lt;="&amp;$T$1))),""),"")</f>
        <v>56501, 56503</v>
      </c>
    </row>
    <row r="423" spans="1:20" ht="14.4" x14ac:dyDescent="0.3">
      <c r="A423" s="1">
        <v>56548</v>
      </c>
      <c r="B423" s="1" t="s">
        <v>898</v>
      </c>
      <c r="C423" s="1" t="s">
        <v>1262</v>
      </c>
      <c r="D423" s="1" t="s">
        <v>628</v>
      </c>
      <c r="E423" s="1" t="s">
        <v>686</v>
      </c>
      <c r="F423" s="9" t="s">
        <v>1689</v>
      </c>
      <c r="G423" s="9"/>
      <c r="H423" s="53" t="s">
        <v>389</v>
      </c>
      <c r="I423" s="9" t="b">
        <f t="shared" si="8"/>
        <v>0</v>
      </c>
      <c r="J423" s="1" t="s">
        <v>400</v>
      </c>
      <c r="K423" s="1" t="s">
        <v>280</v>
      </c>
      <c r="L423" s="1" t="s">
        <v>1721</v>
      </c>
      <c r="M423" s="9"/>
      <c r="N423" s="35" t="s">
        <v>1338</v>
      </c>
      <c r="O423" s="2" t="s">
        <v>458</v>
      </c>
      <c r="P423" s="2" cm="1">
        <f t="array" ref="P423">_xlfn.XLOOKUP(TRIM(B423),TRIM('[1]wc-product-export-16-3-2026-177'!$A:$A),'[1]wc-product-export-16-3-2026-177'!$D:$D,0,0)</f>
        <v>0</v>
      </c>
      <c r="Q423" s="2" cm="1">
        <f t="array" ref="Q423">IF(TRIM($D423)="SET",IF($K423="Steak Set1",ROUNDDOWN(IFERROR(MIN(_xlfn._xlws.FILTER(O$3:O$650,ISNUMBER(MATCH(TRIM($B$3:$B$650),TRIM(_xlfn.TEXTSPLIT($N423,",")),0)))),0)/4,0)+P423,IF(IFERROR(MIN(_xlfn._xlws.FILTER(O$3:O$650,ISNUMBER(MATCH(TRIM($B$3:$B$650),TRIM(_xlfn.TEXTSPLIT($N423,",")),0)))),0)&gt;=$E$1,IFERROR(MIN(_xlfn._xlws.FILTER(O$3:O$650,ISNUMBER(MATCH(TRIM($B$3:$B$650),TRIM(_xlfn.TEXTSPLIT($N423,",")),0)))),0)+P423,P423)),IF(TRIM($D423)="EA",IF(TRIM($E423)="M",ROUNDUP(O423*0.85,0),IF(TRIM($E423)="P",O423,P423)),P423))</f>
        <v>2</v>
      </c>
      <c r="T423" t="str" cm="1">
        <f t="array" ref="T423">IFERROR(IF(D423="SET",_xlfn.TEXTJOIN(", ",TRUE,_xlfn._xlws.FILTER(TRANSPOSE(TRIM(_xlfn.TEXTSPLIT(N423,","))),COUNTIFS(B$3:B$650,TRANSPOSE(TRIM(_xlfn.TEXTSPLIT(N423,","))),O$3:O$650,"&lt;="&amp;$T$1))),""),"")</f>
        <v>56501</v>
      </c>
    </row>
    <row r="424" spans="1:20" ht="14.4" x14ac:dyDescent="0.3">
      <c r="A424" s="1">
        <v>56549</v>
      </c>
      <c r="B424" s="1" t="s">
        <v>899</v>
      </c>
      <c r="C424" s="1" t="s">
        <v>1262</v>
      </c>
      <c r="D424" s="1" t="s">
        <v>628</v>
      </c>
      <c r="E424" s="1" t="s">
        <v>686</v>
      </c>
      <c r="F424" s="9" t="s">
        <v>1689</v>
      </c>
      <c r="G424" s="9"/>
      <c r="H424" s="16" t="s">
        <v>390</v>
      </c>
      <c r="I424" s="9" t="b">
        <f t="shared" si="8"/>
        <v>0</v>
      </c>
      <c r="J424" s="1" t="s">
        <v>400</v>
      </c>
      <c r="K424" s="1" t="s">
        <v>280</v>
      </c>
      <c r="L424" s="1" t="s">
        <v>1721</v>
      </c>
      <c r="M424" s="9"/>
      <c r="N424" s="35" t="s">
        <v>1339</v>
      </c>
      <c r="O424" s="2" t="s">
        <v>458</v>
      </c>
      <c r="P424" s="2" cm="1">
        <f t="array" ref="P424">_xlfn.XLOOKUP(TRIM(B424),TRIM('[1]wc-product-export-16-3-2026-177'!$A:$A),'[1]wc-product-export-16-3-2026-177'!$D:$D,0,0)</f>
        <v>0</v>
      </c>
      <c r="Q424" s="2" cm="1">
        <f t="array" ref="Q424">IF(TRIM($D424)="SET",IF($K424="Steak Set1",ROUNDDOWN(IFERROR(MIN(_xlfn._xlws.FILTER(O$3:O$650,ISNUMBER(MATCH(TRIM($B$3:$B$650),TRIM(_xlfn.TEXTSPLIT($N424,",")),0)))),0)/4,0)+P424,IF(IFERROR(MIN(_xlfn._xlws.FILTER(O$3:O$650,ISNUMBER(MATCH(TRIM($B$3:$B$650),TRIM(_xlfn.TEXTSPLIT($N424,",")),0)))),0)&gt;=$E$1,IFERROR(MIN(_xlfn._xlws.FILTER(O$3:O$650,ISNUMBER(MATCH(TRIM($B$3:$B$650),TRIM(_xlfn.TEXTSPLIT($N424,",")),0)))),0)+P424,P424)),IF(TRIM($D424)="EA",IF(TRIM($E424)="M",ROUNDUP(O424*0.85,0),IF(TRIM($E424)="P",O424,P424)),P424))</f>
        <v>2</v>
      </c>
      <c r="T424" t="str" cm="1">
        <f t="array" ref="T424">IFERROR(IF(D424="SET",_xlfn.TEXTJOIN(", ",TRUE,_xlfn._xlws.FILTER(TRANSPOSE(TRIM(_xlfn.TEXTSPLIT(N424,","))),COUNTIFS(B$3:B$650,TRANSPOSE(TRIM(_xlfn.TEXTSPLIT(N424,","))),O$3:O$650,"&lt;="&amp;$T$1))),""),"")</f>
        <v>56501</v>
      </c>
    </row>
    <row r="425" spans="1:20" ht="14.4" x14ac:dyDescent="0.3">
      <c r="A425" s="1">
        <v>56550</v>
      </c>
      <c r="B425" s="1" t="s">
        <v>900</v>
      </c>
      <c r="C425" s="1" t="s">
        <v>1262</v>
      </c>
      <c r="D425" s="1" t="s">
        <v>628</v>
      </c>
      <c r="E425" s="1" t="s">
        <v>686</v>
      </c>
      <c r="F425" s="9" t="s">
        <v>1689</v>
      </c>
      <c r="G425" s="9"/>
      <c r="H425" s="16" t="s">
        <v>391</v>
      </c>
      <c r="I425" s="9" t="b">
        <f t="shared" si="8"/>
        <v>0</v>
      </c>
      <c r="J425" s="1" t="s">
        <v>400</v>
      </c>
      <c r="K425" s="1" t="s">
        <v>280</v>
      </c>
      <c r="L425" s="1" t="s">
        <v>1721</v>
      </c>
      <c r="M425" s="9"/>
      <c r="N425" s="35" t="s">
        <v>1340</v>
      </c>
      <c r="O425" s="2" t="s">
        <v>458</v>
      </c>
      <c r="P425" s="2" cm="1">
        <f t="array" ref="P425">_xlfn.XLOOKUP(TRIM(B425),TRIM('[1]wc-product-export-16-3-2026-177'!$A:$A),'[1]wc-product-export-16-3-2026-177'!$D:$D,0,0)</f>
        <v>0</v>
      </c>
      <c r="Q425" s="2" cm="1">
        <f t="array" ref="Q425">IF(TRIM($D425)="SET",IF($K425="Steak Set1",ROUNDDOWN(IFERROR(MIN(_xlfn._xlws.FILTER(O$3:O$650,ISNUMBER(MATCH(TRIM($B$3:$B$650),TRIM(_xlfn.TEXTSPLIT($N425,",")),0)))),0)/4,0)+P425,IF(IFERROR(MIN(_xlfn._xlws.FILTER(O$3:O$650,ISNUMBER(MATCH(TRIM($B$3:$B$650),TRIM(_xlfn.TEXTSPLIT($N425,",")),0)))),0)&gt;=$E$1,IFERROR(MIN(_xlfn._xlws.FILTER(O$3:O$650,ISNUMBER(MATCH(TRIM($B$3:$B$650),TRIM(_xlfn.TEXTSPLIT($N425,",")),0)))),0)+P425,P425)),IF(TRIM($D425)="EA",IF(TRIM($E425)="M",ROUNDUP(O425*0.85,0),IF(TRIM($E425)="P",O425,P425)),P425))</f>
        <v>0</v>
      </c>
      <c r="T425" t="str" cm="1">
        <f t="array" ref="T425">IFERROR(IF(D425="SET",_xlfn.TEXTJOIN(", ",TRUE,_xlfn._xlws.FILTER(TRANSPOSE(TRIM(_xlfn.TEXTSPLIT(N425,","))),COUNTIFS(B$3:B$650,TRANSPOSE(TRIM(_xlfn.TEXTSPLIT(N425,","))),O$3:O$650,"&lt;="&amp;$T$1))),""),"")</f>
        <v>56501, 56503</v>
      </c>
    </row>
    <row r="426" spans="1:20" ht="14.4" x14ac:dyDescent="0.3">
      <c r="A426" s="1">
        <v>56551</v>
      </c>
      <c r="B426" s="1" t="s">
        <v>901</v>
      </c>
      <c r="C426" s="1" t="s">
        <v>1262</v>
      </c>
      <c r="D426" s="1" t="s">
        <v>628</v>
      </c>
      <c r="E426" s="1" t="s">
        <v>686</v>
      </c>
      <c r="F426" s="9" t="s">
        <v>1689</v>
      </c>
      <c r="G426" s="9"/>
      <c r="H426" s="16" t="s">
        <v>392</v>
      </c>
      <c r="I426" s="9" t="b">
        <f t="shared" si="8"/>
        <v>0</v>
      </c>
      <c r="J426" s="1" t="s">
        <v>400</v>
      </c>
      <c r="K426" s="1" t="s">
        <v>280</v>
      </c>
      <c r="L426" s="1" t="s">
        <v>1721</v>
      </c>
      <c r="M426" s="9"/>
      <c r="N426" s="35" t="s">
        <v>1341</v>
      </c>
      <c r="O426" s="2" t="s">
        <v>458</v>
      </c>
      <c r="P426" s="2" cm="1">
        <f t="array" ref="P426">_xlfn.XLOOKUP(TRIM(B426),TRIM('[1]wc-product-export-16-3-2026-177'!$A:$A),'[1]wc-product-export-16-3-2026-177'!$D:$D,0,0)</f>
        <v>0</v>
      </c>
      <c r="Q426" s="2" cm="1">
        <f t="array" ref="Q426">IF(TRIM($D426)="SET",IF($K426="Steak Set1",ROUNDDOWN(IFERROR(MIN(_xlfn._xlws.FILTER(O$3:O$650,ISNUMBER(MATCH(TRIM($B$3:$B$650),TRIM(_xlfn.TEXTSPLIT($N426,",")),0)))),0)/4,0)+P426,IF(IFERROR(MIN(_xlfn._xlws.FILTER(O$3:O$650,ISNUMBER(MATCH(TRIM($B$3:$B$650),TRIM(_xlfn.TEXTSPLIT($N426,",")),0)))),0)&gt;=$E$1,IFERROR(MIN(_xlfn._xlws.FILTER(O$3:O$650,ISNUMBER(MATCH(TRIM($B$3:$B$650),TRIM(_xlfn.TEXTSPLIT($N426,",")),0)))),0)+P426,P426)),IF(TRIM($D426)="EA",IF(TRIM($E426)="M",ROUNDUP(O426*0.85,0),IF(TRIM($E426)="P",O426,P426)),P426))</f>
        <v>2</v>
      </c>
      <c r="T426" t="str" cm="1">
        <f t="array" ref="T426">IFERROR(IF(D426="SET",_xlfn.TEXTJOIN(", ",TRUE,_xlfn._xlws.FILTER(TRANSPOSE(TRIM(_xlfn.TEXTSPLIT(N426,","))),COUNTIFS(B$3:B$650,TRANSPOSE(TRIM(_xlfn.TEXTSPLIT(N426,","))),O$3:O$650,"&lt;="&amp;$T$1))),""),"")</f>
        <v>56501, 56502</v>
      </c>
    </row>
    <row r="427" spans="1:20" ht="14.4" x14ac:dyDescent="0.3">
      <c r="A427" s="1">
        <v>56555</v>
      </c>
      <c r="B427" s="55" t="s">
        <v>902</v>
      </c>
      <c r="C427" s="1" t="s">
        <v>1259</v>
      </c>
      <c r="D427" s="1" t="s">
        <v>628</v>
      </c>
      <c r="E427" s="1" t="s">
        <v>686</v>
      </c>
      <c r="F427" s="9"/>
      <c r="G427" s="9"/>
      <c r="H427" s="16" t="s">
        <v>332</v>
      </c>
      <c r="I427" s="9" t="b">
        <f t="shared" si="8"/>
        <v>0</v>
      </c>
      <c r="J427" s="1" t="s">
        <v>401</v>
      </c>
      <c r="K427" s="1" t="s">
        <v>281</v>
      </c>
      <c r="L427" s="1" t="s">
        <v>1740</v>
      </c>
      <c r="M427" s="9"/>
      <c r="N427" s="35" t="s">
        <v>1354</v>
      </c>
      <c r="O427" s="24">
        <v>0</v>
      </c>
      <c r="P427" s="2" cm="1">
        <f t="array" ref="P427">_xlfn.XLOOKUP(TRIM(B427),TRIM('[1]wc-product-export-16-3-2026-177'!$A:$A),'[1]wc-product-export-16-3-2026-177'!$D:$D,0,0)</f>
        <v>0</v>
      </c>
      <c r="Q427" s="2" cm="1">
        <f t="array" ref="Q427">IF(TRIM($D427)="SET",IF($K427="Steak Set1",ROUNDDOWN(IFERROR(MIN(_xlfn._xlws.FILTER(O$3:O$650,ISNUMBER(MATCH(TRIM($B$3:$B$650),TRIM(_xlfn.TEXTSPLIT($N427,",")),0)))),0)/4,0)+P427,IF(IFERROR(MIN(_xlfn._xlws.FILTER(O$3:O$650,ISNUMBER(MATCH(TRIM($B$3:$B$650),TRIM(_xlfn.TEXTSPLIT($N427,",")),0)))),0)&gt;=$E$1,IFERROR(MIN(_xlfn._xlws.FILTER(O$3:O$650,ISNUMBER(MATCH(TRIM($B$3:$B$650),TRIM(_xlfn.TEXTSPLIT($N427,",")),0)))),0)+P427,P427)),IF(TRIM($D427)="EA",IF(TRIM($E427)="M",ROUNDUP(O427*0.85,0),IF(TRIM($E427)="P",O427,P427)),P427))</f>
        <v>0</v>
      </c>
      <c r="T427" t="str" cm="1">
        <f t="array" ref="T427">IFERROR(IF(D427="SET",_xlfn.TEXTJOIN(", ",TRUE,_xlfn._xlws.FILTER(TRANSPOSE(TRIM(_xlfn.TEXTSPLIT(N427,","))),COUNTIFS(B$3:B$650,TRANSPOSE(TRIM(_xlfn.TEXTSPLIT(N427,","))),O$3:O$650,"&lt;="&amp;$T$1))),""),"")</f>
        <v>56528</v>
      </c>
    </row>
    <row r="428" spans="1:20" ht="14.4" x14ac:dyDescent="0.3">
      <c r="A428" s="1">
        <v>56556</v>
      </c>
      <c r="B428" s="55" t="s">
        <v>903</v>
      </c>
      <c r="C428" s="1" t="s">
        <v>1262</v>
      </c>
      <c r="D428" s="1" t="s">
        <v>624</v>
      </c>
      <c r="E428" s="1" t="s">
        <v>686</v>
      </c>
      <c r="F428" s="9"/>
      <c r="G428" s="9"/>
      <c r="H428" s="16" t="s">
        <v>113</v>
      </c>
      <c r="I428" s="9" t="b">
        <f t="shared" si="8"/>
        <v>0</v>
      </c>
      <c r="J428" s="1" t="s">
        <v>400</v>
      </c>
      <c r="K428" s="1" t="s">
        <v>269</v>
      </c>
      <c r="L428" s="1" t="s">
        <v>1724</v>
      </c>
      <c r="M428" s="9"/>
      <c r="N428" s="35"/>
      <c r="O428" s="24">
        <v>40</v>
      </c>
      <c r="P428" s="2" cm="1">
        <f t="array" ref="P428">_xlfn.XLOOKUP(TRIM(B428),TRIM('[1]wc-product-export-16-3-2026-177'!$A:$A),'[1]wc-product-export-16-3-2026-177'!$D:$D,0,0)</f>
        <v>0</v>
      </c>
      <c r="Q428" s="2" cm="1">
        <f t="array" ref="Q428">IF(TRIM($D428)="SET",IF($K428="Steak Set1",ROUNDDOWN(IFERROR(MIN(_xlfn._xlws.FILTER(O$3:O$650,ISNUMBER(MATCH(TRIM($B$3:$B$650),TRIM(_xlfn.TEXTSPLIT($N428,",")),0)))),0)/4,0)+P428,IF(IFERROR(MIN(_xlfn._xlws.FILTER(O$3:O$650,ISNUMBER(MATCH(TRIM($B$3:$B$650),TRIM(_xlfn.TEXTSPLIT($N428,",")),0)))),0)&gt;=$E$1,IFERROR(MIN(_xlfn._xlws.FILTER(O$3:O$650,ISNUMBER(MATCH(TRIM($B$3:$B$650),TRIM(_xlfn.TEXTSPLIT($N428,",")),0)))),0)+P428,P428)),IF(TRIM($D428)="EA",IF(TRIM($E428)="M",ROUNDUP(O428*0.85,0),IF(TRIM($E428)="P",O428,P428)),P428))</f>
        <v>34</v>
      </c>
      <c r="T428" t="str" cm="1">
        <f t="array" ref="T428">IFERROR(IF(D428="SET",_xlfn.TEXTJOIN(", ",TRUE,_xlfn._xlws.FILTER(TRANSPOSE(TRIM(_xlfn.TEXTSPLIT(N428,","))),COUNTIFS(B$3:B$650,TRANSPOSE(TRIM(_xlfn.TEXTSPLIT(N428,","))),O$3:O$650,"&lt;="&amp;$T$1))),""),"")</f>
        <v/>
      </c>
    </row>
    <row r="429" spans="1:20" ht="14.4" x14ac:dyDescent="0.3">
      <c r="A429" s="1">
        <v>56557</v>
      </c>
      <c r="B429" s="55" t="s">
        <v>904</v>
      </c>
      <c r="C429" s="1" t="s">
        <v>1262</v>
      </c>
      <c r="D429" s="1" t="s">
        <v>624</v>
      </c>
      <c r="E429" s="1" t="s">
        <v>686</v>
      </c>
      <c r="F429" s="9"/>
      <c r="G429" s="9"/>
      <c r="H429" s="16" t="s">
        <v>114</v>
      </c>
      <c r="I429" s="9" t="b">
        <f t="shared" si="8"/>
        <v>0</v>
      </c>
      <c r="J429" s="1" t="s">
        <v>400</v>
      </c>
      <c r="K429" s="1" t="s">
        <v>269</v>
      </c>
      <c r="L429" s="1" t="s">
        <v>1724</v>
      </c>
      <c r="M429" s="9"/>
      <c r="N429" s="35"/>
      <c r="O429" s="24">
        <v>15</v>
      </c>
      <c r="P429" s="2" cm="1">
        <f t="array" ref="P429">_xlfn.XLOOKUP(TRIM(B429),TRIM('[1]wc-product-export-16-3-2026-177'!$A:$A),'[1]wc-product-export-16-3-2026-177'!$D:$D,0,0)</f>
        <v>0</v>
      </c>
      <c r="Q429" s="2" cm="1">
        <f t="array" ref="Q429">IF(TRIM($D429)="SET",IF($K429="Steak Set1",ROUNDDOWN(IFERROR(MIN(_xlfn._xlws.FILTER(O$3:O$650,ISNUMBER(MATCH(TRIM($B$3:$B$650),TRIM(_xlfn.TEXTSPLIT($N429,",")),0)))),0)/4,0)+P429,IF(IFERROR(MIN(_xlfn._xlws.FILTER(O$3:O$650,ISNUMBER(MATCH(TRIM($B$3:$B$650),TRIM(_xlfn.TEXTSPLIT($N429,",")),0)))),0)&gt;=$E$1,IFERROR(MIN(_xlfn._xlws.FILTER(O$3:O$650,ISNUMBER(MATCH(TRIM($B$3:$B$650),TRIM(_xlfn.TEXTSPLIT($N429,",")),0)))),0)+P429,P429)),IF(TRIM($D429)="EA",IF(TRIM($E429)="M",ROUNDUP(O429*0.85,0),IF(TRIM($E429)="P",O429,P429)),P429))</f>
        <v>13</v>
      </c>
      <c r="T429" t="str" cm="1">
        <f t="array" ref="T429">IFERROR(IF(D429="SET",_xlfn.TEXTJOIN(", ",TRUE,_xlfn._xlws.FILTER(TRANSPOSE(TRIM(_xlfn.TEXTSPLIT(N429,","))),COUNTIFS(B$3:B$650,TRANSPOSE(TRIM(_xlfn.TEXTSPLIT(N429,","))),O$3:O$650,"&lt;="&amp;$T$1))),""),"")</f>
        <v/>
      </c>
    </row>
    <row r="430" spans="1:20" ht="14.4" x14ac:dyDescent="0.3">
      <c r="A430" s="1">
        <v>56558</v>
      </c>
      <c r="B430" s="55" t="s">
        <v>905</v>
      </c>
      <c r="C430" s="1" t="s">
        <v>1259</v>
      </c>
      <c r="D430" s="1" t="s">
        <v>624</v>
      </c>
      <c r="E430" s="1" t="s">
        <v>686</v>
      </c>
      <c r="F430" s="9"/>
      <c r="G430" s="9"/>
      <c r="H430" s="16" t="s">
        <v>331</v>
      </c>
      <c r="I430" s="9" t="b">
        <f t="shared" si="8"/>
        <v>0</v>
      </c>
      <c r="J430" s="1" t="s">
        <v>401</v>
      </c>
      <c r="K430" s="1" t="s">
        <v>269</v>
      </c>
      <c r="L430" s="1" t="s">
        <v>401</v>
      </c>
      <c r="M430" s="9"/>
      <c r="N430" s="35"/>
      <c r="O430" s="24">
        <v>35</v>
      </c>
      <c r="P430" s="2" cm="1">
        <f t="array" ref="P430">_xlfn.XLOOKUP(TRIM(B430),TRIM('[1]wc-product-export-16-3-2026-177'!$A:$A),'[1]wc-product-export-16-3-2026-177'!$D:$D,0,0)</f>
        <v>0</v>
      </c>
      <c r="Q430" s="2" cm="1">
        <f t="array" ref="Q430">IF(TRIM($D430)="SET",IF($K430="Steak Set1",ROUNDDOWN(IFERROR(MIN(_xlfn._xlws.FILTER(O$3:O$650,ISNUMBER(MATCH(TRIM($B$3:$B$650),TRIM(_xlfn.TEXTSPLIT($N430,",")),0)))),0)/4,0)+P430,IF(IFERROR(MIN(_xlfn._xlws.FILTER(O$3:O$650,ISNUMBER(MATCH(TRIM($B$3:$B$650),TRIM(_xlfn.TEXTSPLIT($N430,",")),0)))),0)&gt;=$E$1,IFERROR(MIN(_xlfn._xlws.FILTER(O$3:O$650,ISNUMBER(MATCH(TRIM($B$3:$B$650),TRIM(_xlfn.TEXTSPLIT($N430,",")),0)))),0)+P430,P430)),IF(TRIM($D430)="EA",IF(TRIM($E430)="M",ROUNDUP(O430*0.85,0),IF(TRIM($E430)="P",O430,P430)),P430))</f>
        <v>30</v>
      </c>
      <c r="T430" t="str" cm="1">
        <f t="array" ref="T430">IFERROR(IF(D430="SET",_xlfn.TEXTJOIN(", ",TRUE,_xlfn._xlws.FILTER(TRANSPOSE(TRIM(_xlfn.TEXTSPLIT(N430,","))),COUNTIFS(B$3:B$650,TRANSPOSE(TRIM(_xlfn.TEXTSPLIT(N430,","))),O$3:O$650,"&lt;="&amp;$T$1))),""),"")</f>
        <v/>
      </c>
    </row>
    <row r="431" spans="1:20" ht="14.4" x14ac:dyDescent="0.3">
      <c r="A431" s="1">
        <v>56560</v>
      </c>
      <c r="B431" s="56" t="s">
        <v>906</v>
      </c>
      <c r="C431" s="1" t="s">
        <v>1262</v>
      </c>
      <c r="D431" s="1" t="s">
        <v>624</v>
      </c>
      <c r="E431" s="1" t="s">
        <v>686</v>
      </c>
      <c r="F431" s="9"/>
      <c r="G431" s="9"/>
      <c r="H431" s="16" t="s">
        <v>112</v>
      </c>
      <c r="I431" s="9" t="b">
        <f t="shared" si="8"/>
        <v>0</v>
      </c>
      <c r="J431" s="1" t="s">
        <v>400</v>
      </c>
      <c r="K431" s="1" t="s">
        <v>276</v>
      </c>
      <c r="L431" s="1" t="s">
        <v>276</v>
      </c>
      <c r="M431" s="9"/>
      <c r="N431" s="35"/>
      <c r="O431" s="24">
        <v>80</v>
      </c>
      <c r="P431" s="2" cm="1">
        <f t="array" ref="P431">_xlfn.XLOOKUP(TRIM(B431),TRIM('[1]wc-product-export-16-3-2026-177'!$A:$A),'[1]wc-product-export-16-3-2026-177'!$D:$D,0,0)</f>
        <v>0</v>
      </c>
      <c r="Q431" s="2" cm="1">
        <f t="array" ref="Q431">IF(TRIM($D431)="SET",IF($K431="Steak Set1",ROUNDDOWN(IFERROR(MIN(_xlfn._xlws.FILTER(O$3:O$650,ISNUMBER(MATCH(TRIM($B$3:$B$650),TRIM(_xlfn.TEXTSPLIT($N431,",")),0)))),0)/4,0)+P431,IF(IFERROR(MIN(_xlfn._xlws.FILTER(O$3:O$650,ISNUMBER(MATCH(TRIM($B$3:$B$650),TRIM(_xlfn.TEXTSPLIT($N431,",")),0)))),0)&gt;=$E$1,IFERROR(MIN(_xlfn._xlws.FILTER(O$3:O$650,ISNUMBER(MATCH(TRIM($B$3:$B$650),TRIM(_xlfn.TEXTSPLIT($N431,",")),0)))),0)+P431,P431)),IF(TRIM($D431)="EA",IF(TRIM($E431)="M",ROUNDUP(O431*0.85,0),IF(TRIM($E431)="P",O431,P431)),P431))</f>
        <v>68</v>
      </c>
      <c r="T431" t="str" cm="1">
        <f t="array" ref="T431">IFERROR(IF(D431="SET",_xlfn.TEXTJOIN(", ",TRUE,_xlfn._xlws.FILTER(TRANSPOSE(TRIM(_xlfn.TEXTSPLIT(N431,","))),COUNTIFS(B$3:B$650,TRANSPOSE(TRIM(_xlfn.TEXTSPLIT(N431,","))),O$3:O$650,"&lt;="&amp;$T$1))),""),"")</f>
        <v/>
      </c>
    </row>
    <row r="432" spans="1:20" ht="14.4" x14ac:dyDescent="0.3">
      <c r="A432" s="1">
        <v>56561</v>
      </c>
      <c r="B432" s="55" t="s">
        <v>907</v>
      </c>
      <c r="C432" s="1" t="s">
        <v>1262</v>
      </c>
      <c r="D432" s="1" t="s">
        <v>628</v>
      </c>
      <c r="E432" s="1" t="s">
        <v>686</v>
      </c>
      <c r="F432" s="9"/>
      <c r="G432" s="9"/>
      <c r="H432" s="16" t="s">
        <v>140</v>
      </c>
      <c r="I432" s="9" t="b">
        <f t="shared" si="8"/>
        <v>0</v>
      </c>
      <c r="J432" s="1" t="s">
        <v>400</v>
      </c>
      <c r="K432" s="1" t="s">
        <v>278</v>
      </c>
      <c r="L432" s="1" t="s">
        <v>1735</v>
      </c>
      <c r="M432" s="9"/>
      <c r="N432" s="35" t="s">
        <v>1710</v>
      </c>
      <c r="O432" s="24">
        <v>21</v>
      </c>
      <c r="P432" s="2" cm="1">
        <f t="array" ref="P432">_xlfn.XLOOKUP(TRIM(B432),TRIM('[1]wc-product-export-16-3-2026-177'!$A:$A),'[1]wc-product-export-16-3-2026-177'!$D:$D,0,0)</f>
        <v>0</v>
      </c>
      <c r="Q432" s="2" cm="1">
        <f t="array" ref="Q432">IF(TRIM($D432)="SET",IF($K432="Steak Set1",ROUNDDOWN(IFERROR(MIN(_xlfn._xlws.FILTER(O$3:O$650,ISNUMBER(MATCH(TRIM($B$3:$B$650),TRIM(_xlfn.TEXTSPLIT($N432,",")),0)))),0)/4,0)+P432,IF(IFERROR(MIN(_xlfn._xlws.FILTER(O$3:O$650,ISNUMBER(MATCH(TRIM($B$3:$B$650),TRIM(_xlfn.TEXTSPLIT($N432,",")),0)))),0)&gt;=$E$1,IFERROR(MIN(_xlfn._xlws.FILTER(O$3:O$650,ISNUMBER(MATCH(TRIM($B$3:$B$650),TRIM(_xlfn.TEXTSPLIT($N432,",")),0)))),0)+P432,P432)),IF(TRIM($D432)="EA",IF(TRIM($E432)="M",ROUNDUP(O432*0.85,0),IF(TRIM($E432)="P",O432,P432)),P432))</f>
        <v>17</v>
      </c>
      <c r="T432" t="str" cm="1">
        <f t="array" ref="T432">IFERROR(IF(D432="SET",_xlfn.TEXTJOIN(", ",TRUE,_xlfn._xlws.FILTER(TRANSPOSE(TRIM(_xlfn.TEXTSPLIT(N432,","))),COUNTIFS(B$3:B$650,TRANSPOSE(TRIM(_xlfn.TEXTSPLIT(N432,","))),O$3:O$650,"&lt;="&amp;$T$1))),""),"")</f>
        <v/>
      </c>
    </row>
    <row r="433" spans="1:22" ht="14.4" x14ac:dyDescent="0.3">
      <c r="A433" s="1">
        <v>56562</v>
      </c>
      <c r="B433" s="55" t="s">
        <v>908</v>
      </c>
      <c r="C433" s="1" t="s">
        <v>1262</v>
      </c>
      <c r="D433" s="1" t="s">
        <v>628</v>
      </c>
      <c r="E433" s="1" t="s">
        <v>686</v>
      </c>
      <c r="F433" s="9"/>
      <c r="G433" s="9"/>
      <c r="H433" s="16" t="s">
        <v>147</v>
      </c>
      <c r="I433" s="9" t="b">
        <f t="shared" si="8"/>
        <v>0</v>
      </c>
      <c r="J433" s="1" t="s">
        <v>400</v>
      </c>
      <c r="K433" s="1" t="s">
        <v>281</v>
      </c>
      <c r="L433" s="1" t="s">
        <v>281</v>
      </c>
      <c r="M433" s="9"/>
      <c r="N433" s="35" t="s">
        <v>1352</v>
      </c>
      <c r="O433" s="24">
        <v>15</v>
      </c>
      <c r="P433" s="2" cm="1">
        <f t="array" ref="P433">_xlfn.XLOOKUP(TRIM(B433),TRIM('[1]wc-product-export-16-3-2026-177'!$A:$A),'[1]wc-product-export-16-3-2026-177'!$D:$D,0,0)</f>
        <v>0</v>
      </c>
      <c r="Q433" s="2" cm="1">
        <f t="array" ref="Q433">IF(TRIM($D433)="SET",IF($K433="Steak Set1",ROUNDDOWN(IFERROR(MIN(_xlfn._xlws.FILTER(O$3:O$650,ISNUMBER(MATCH(TRIM($B$3:$B$650),TRIM(_xlfn.TEXTSPLIT($N433,",")),0)))),0)/4,0)+P433,IF(IFERROR(MIN(_xlfn._xlws.FILTER(O$3:O$650,ISNUMBER(MATCH(TRIM($B$3:$B$650),TRIM(_xlfn.TEXTSPLIT($N433,",")),0)))),0)&gt;=$E$1,IFERROR(MIN(_xlfn._xlws.FILTER(O$3:O$650,ISNUMBER(MATCH(TRIM($B$3:$B$650),TRIM(_xlfn.TEXTSPLIT($N433,",")),0)))),0)+P433,P433)),IF(TRIM($D433)="EA",IF(TRIM($E433)="M",ROUNDUP(O433*0.85,0),IF(TRIM($E433)="P",O433,P433)),P433))</f>
        <v>15</v>
      </c>
      <c r="T433" t="str" cm="1">
        <f t="array" ref="T433">IFERROR(IF(D433="SET",_xlfn.TEXTJOIN(", ",TRUE,_xlfn._xlws.FILTER(TRANSPOSE(TRIM(_xlfn.TEXTSPLIT(N433,","))),COUNTIFS(B$3:B$650,TRANSPOSE(TRIM(_xlfn.TEXTSPLIT(N433,","))),O$3:O$650,"&lt;="&amp;$T$1))),""),"")</f>
        <v/>
      </c>
    </row>
    <row r="434" spans="1:22" ht="14.4" x14ac:dyDescent="0.3">
      <c r="A434" s="1">
        <v>56563</v>
      </c>
      <c r="B434" s="55" t="s">
        <v>909</v>
      </c>
      <c r="C434" s="1" t="s">
        <v>1262</v>
      </c>
      <c r="D434" s="1" t="s">
        <v>628</v>
      </c>
      <c r="E434" s="1" t="s">
        <v>686</v>
      </c>
      <c r="F434" s="9"/>
      <c r="G434" s="9"/>
      <c r="H434" s="16" t="s">
        <v>139</v>
      </c>
      <c r="I434" s="9" t="b">
        <f t="shared" si="8"/>
        <v>0</v>
      </c>
      <c r="J434" s="1" t="s">
        <v>400</v>
      </c>
      <c r="K434" s="1" t="s">
        <v>278</v>
      </c>
      <c r="L434" s="1" t="s">
        <v>1735</v>
      </c>
      <c r="M434" s="9"/>
      <c r="N434" s="35" t="s">
        <v>1346</v>
      </c>
      <c r="O434" s="24">
        <v>6</v>
      </c>
      <c r="P434" s="2" cm="1">
        <f t="array" ref="P434">_xlfn.XLOOKUP(TRIM(B434),TRIM('[1]wc-product-export-16-3-2026-177'!$A:$A),'[1]wc-product-export-16-3-2026-177'!$D:$D,0,0)</f>
        <v>0</v>
      </c>
      <c r="Q434" s="2" cm="1">
        <f t="array" ref="Q434">IF(TRIM($D434)="SET",IF($K434="Steak Set1",ROUNDDOWN(IFERROR(MIN(_xlfn._xlws.FILTER(O$3:O$650,ISNUMBER(MATCH(TRIM($B$3:$B$650),TRIM(_xlfn.TEXTSPLIT($N434,",")),0)))),0)/4,0)+P434,IF(IFERROR(MIN(_xlfn._xlws.FILTER(O$3:O$650,ISNUMBER(MATCH(TRIM($B$3:$B$650),TRIM(_xlfn.TEXTSPLIT($N434,",")),0)))),0)&gt;=$E$1,IFERROR(MIN(_xlfn._xlws.FILTER(O$3:O$650,ISNUMBER(MATCH(TRIM($B$3:$B$650),TRIM(_xlfn.TEXTSPLIT($N434,",")),0)))),0)+P434,P434)),IF(TRIM($D434)="EA",IF(TRIM($E434)="M",ROUNDUP(O434*0.85,0),IF(TRIM($E434)="P",O434,P434)),P434))</f>
        <v>2</v>
      </c>
      <c r="T434" t="str" cm="1">
        <f t="array" ref="T434">IFERROR(IF(D434="SET",_xlfn.TEXTJOIN(", ",TRUE,_xlfn._xlws.FILTER(TRANSPOSE(TRIM(_xlfn.TEXTSPLIT(N434,","))),COUNTIFS(B$3:B$650,TRANSPOSE(TRIM(_xlfn.TEXTSPLIT(N434,","))),O$3:O$650,"&lt;="&amp;$T$1))),""),"")</f>
        <v>56501</v>
      </c>
    </row>
    <row r="435" spans="1:22" ht="14.4" x14ac:dyDescent="0.3">
      <c r="A435" s="1">
        <v>56566</v>
      </c>
      <c r="B435" s="55" t="s">
        <v>910</v>
      </c>
      <c r="C435" s="1" t="s">
        <v>1262</v>
      </c>
      <c r="D435" s="1" t="s">
        <v>628</v>
      </c>
      <c r="E435" s="1" t="s">
        <v>686</v>
      </c>
      <c r="F435" s="9"/>
      <c r="G435" s="9"/>
      <c r="H435" s="16" t="s">
        <v>142</v>
      </c>
      <c r="I435" s="9" t="b">
        <f t="shared" si="8"/>
        <v>0</v>
      </c>
      <c r="J435" s="1" t="s">
        <v>400</v>
      </c>
      <c r="K435" s="1" t="s">
        <v>278</v>
      </c>
      <c r="L435" s="1" t="s">
        <v>1736</v>
      </c>
      <c r="M435" s="9"/>
      <c r="N435" s="35" t="s">
        <v>1347</v>
      </c>
      <c r="O435" s="24">
        <v>6</v>
      </c>
      <c r="P435" s="2" cm="1">
        <f t="array" ref="P435">_xlfn.XLOOKUP(TRIM(B435),TRIM('[1]wc-product-export-16-3-2026-177'!$A:$A),'[1]wc-product-export-16-3-2026-177'!$D:$D,0,0)</f>
        <v>0</v>
      </c>
      <c r="Q435" s="2" cm="1">
        <f t="array" ref="Q435">IF(TRIM($D435)="SET",IF($K435="Steak Set1",ROUNDDOWN(IFERROR(MIN(_xlfn._xlws.FILTER(O$3:O$650,ISNUMBER(MATCH(TRIM($B$3:$B$650),TRIM(_xlfn.TEXTSPLIT($N435,",")),0)))),0)/4,0)+P435,IF(IFERROR(MIN(_xlfn._xlws.FILTER(O$3:O$650,ISNUMBER(MATCH(TRIM($B$3:$B$650),TRIM(_xlfn.TEXTSPLIT($N435,",")),0)))),0)&gt;=$E$1,IFERROR(MIN(_xlfn._xlws.FILTER(O$3:O$650,ISNUMBER(MATCH(TRIM($B$3:$B$650),TRIM(_xlfn.TEXTSPLIT($N435,",")),0)))),0)+P435,P435)),IF(TRIM($D435)="EA",IF(TRIM($E435)="M",ROUNDUP(O435*0.85,0),IF(TRIM($E435)="P",O435,P435)),P435))</f>
        <v>2</v>
      </c>
      <c r="T435" t="str" cm="1">
        <f t="array" ref="T435">IFERROR(IF(D435="SET",_xlfn.TEXTJOIN(", ",TRUE,_xlfn._xlws.FILTER(TRANSPOSE(TRIM(_xlfn.TEXTSPLIT(N435,","))),COUNTIFS(B$3:B$650,TRANSPOSE(TRIM(_xlfn.TEXTSPLIT(N435,","))),O$3:O$650,"&lt;="&amp;$T$1))),""),"")</f>
        <v>56501</v>
      </c>
    </row>
    <row r="436" spans="1:22" ht="14.4" x14ac:dyDescent="0.3">
      <c r="A436" s="1">
        <v>56567</v>
      </c>
      <c r="B436" s="1" t="s">
        <v>911</v>
      </c>
      <c r="C436" s="1" t="s">
        <v>1262</v>
      </c>
      <c r="D436" s="1" t="s">
        <v>628</v>
      </c>
      <c r="E436" s="1" t="s">
        <v>686</v>
      </c>
      <c r="F436" s="9" t="s">
        <v>1689</v>
      </c>
      <c r="G436" s="9"/>
      <c r="H436" s="53" t="s">
        <v>141</v>
      </c>
      <c r="I436" s="9" t="b">
        <f t="shared" si="8"/>
        <v>0</v>
      </c>
      <c r="J436" s="1" t="s">
        <v>400</v>
      </c>
      <c r="K436" s="1" t="s">
        <v>278</v>
      </c>
      <c r="L436" s="1" t="s">
        <v>1736</v>
      </c>
      <c r="M436" s="9"/>
      <c r="N436" s="35" t="s">
        <v>1348</v>
      </c>
      <c r="O436" s="2" t="s">
        <v>458</v>
      </c>
      <c r="P436" s="2" cm="1">
        <f t="array" ref="P436">_xlfn.XLOOKUP(TRIM(B436),TRIM('[1]wc-product-export-16-3-2026-177'!$A:$A),'[1]wc-product-export-16-3-2026-177'!$D:$D,0,0)</f>
        <v>0</v>
      </c>
      <c r="Q436" s="2" cm="1">
        <f t="array" ref="Q436">IF(TRIM($D436)="SET",IF($K436="Steak Set1",ROUNDDOWN(IFERROR(MIN(_xlfn._xlws.FILTER(O$3:O$650,ISNUMBER(MATCH(TRIM($B$3:$B$650),TRIM(_xlfn.TEXTSPLIT($N436,",")),0)))),0)/4,0)+P436,IF(IFERROR(MIN(_xlfn._xlws.FILTER(O$3:O$650,ISNUMBER(MATCH(TRIM($B$3:$B$650),TRIM(_xlfn.TEXTSPLIT($N436,",")),0)))),0)&gt;=$E$1,IFERROR(MIN(_xlfn._xlws.FILTER(O$3:O$650,ISNUMBER(MATCH(TRIM($B$3:$B$650),TRIM(_xlfn.TEXTSPLIT($N436,",")),0)))),0)+P436,P436)),IF(TRIM($D436)="EA",IF(TRIM($E436)="M",ROUNDUP(O436*0.85,0),IF(TRIM($E436)="P",O436,P436)),P436))</f>
        <v>2</v>
      </c>
      <c r="T436" t="str" cm="1">
        <f t="array" ref="T436">IFERROR(IF(D436="SET",_xlfn.TEXTJOIN(", ",TRUE,_xlfn._xlws.FILTER(TRANSPOSE(TRIM(_xlfn.TEXTSPLIT(N436,","))),COUNTIFS(B$3:B$650,TRANSPOSE(TRIM(_xlfn.TEXTSPLIT(N436,","))),O$3:O$650,"&lt;="&amp;$T$1))),""),"")</f>
        <v>56501</v>
      </c>
    </row>
    <row r="437" spans="1:22" ht="14.4" x14ac:dyDescent="0.3">
      <c r="A437" s="1">
        <v>56568</v>
      </c>
      <c r="B437" s="55" t="s">
        <v>912</v>
      </c>
      <c r="C437" s="1" t="s">
        <v>1262</v>
      </c>
      <c r="D437" s="1" t="s">
        <v>628</v>
      </c>
      <c r="E437" s="1" t="s">
        <v>686</v>
      </c>
      <c r="F437" s="9"/>
      <c r="G437" s="9"/>
      <c r="H437" s="16" t="s">
        <v>44</v>
      </c>
      <c r="I437" s="9" t="b">
        <f t="shared" si="8"/>
        <v>0</v>
      </c>
      <c r="J437" s="1" t="s">
        <v>400</v>
      </c>
      <c r="K437" s="1" t="s">
        <v>1712</v>
      </c>
      <c r="L437" s="1" t="s">
        <v>1737</v>
      </c>
      <c r="M437" s="9"/>
      <c r="N437" s="35" t="s">
        <v>874</v>
      </c>
      <c r="O437" s="24">
        <v>24</v>
      </c>
      <c r="P437" s="2" cm="1">
        <f t="array" ref="P437">_xlfn.XLOOKUP(TRIM(B437),TRIM('[1]wc-product-export-16-3-2026-177'!$A:$A),'[1]wc-product-export-16-3-2026-177'!$D:$D,0,0)</f>
        <v>23</v>
      </c>
      <c r="Q437" s="2" cm="1">
        <f t="array" ref="Q437">IF(TRIM($D437)="SET",IF($K437="Steak Set1",ROUNDDOWN(IFERROR(MIN(_xlfn._xlws.FILTER(O$3:O$650,ISNUMBER(MATCH(TRIM($B$3:$B$650),TRIM(_xlfn.TEXTSPLIT($N437,",")),0)))),0)/4,0)+P437,IF(IFERROR(MIN(_xlfn._xlws.FILTER(O$3:O$650,ISNUMBER(MATCH(TRIM($B$3:$B$650),TRIM(_xlfn.TEXTSPLIT($N437,",")),0)))),0)&gt;=$E$1,IFERROR(MIN(_xlfn._xlws.FILTER(O$3:O$650,ISNUMBER(MATCH(TRIM($B$3:$B$650),TRIM(_xlfn.TEXTSPLIT($N437,",")),0)))),0)+P437,P437)),IF(TRIM($D437)="EA",IF(TRIM($E437)="M",ROUNDUP(O437*0.85,0),IF(TRIM($E437)="P",O437,P437)),P437))</f>
        <v>23</v>
      </c>
      <c r="T437" t="str" cm="1">
        <f t="array" ref="T437">IFERROR(IF(D437="SET",_xlfn.TEXTJOIN(", ",TRUE,_xlfn._xlws.FILTER(TRANSPOSE(TRIM(_xlfn.TEXTSPLIT(N437,","))),COUNTIFS(B$3:B$650,TRANSPOSE(TRIM(_xlfn.TEXTSPLIT(N437,","))),O$3:O$650,"&lt;="&amp;$T$1))),""),"")</f>
        <v>56502</v>
      </c>
    </row>
    <row r="438" spans="1:22" ht="14.4" x14ac:dyDescent="0.3">
      <c r="A438" s="1">
        <v>56569</v>
      </c>
      <c r="B438" s="55" t="s">
        <v>913</v>
      </c>
      <c r="C438" s="1" t="s">
        <v>1262</v>
      </c>
      <c r="D438" s="1" t="s">
        <v>628</v>
      </c>
      <c r="E438" s="1" t="s">
        <v>686</v>
      </c>
      <c r="F438" s="9"/>
      <c r="G438" s="9"/>
      <c r="H438" s="16" t="s">
        <v>138</v>
      </c>
      <c r="I438" s="9" t="b">
        <f t="shared" si="8"/>
        <v>0</v>
      </c>
      <c r="J438" s="1" t="s">
        <v>400</v>
      </c>
      <c r="K438" s="1" t="s">
        <v>277</v>
      </c>
      <c r="L438" s="1" t="s">
        <v>1738</v>
      </c>
      <c r="M438" s="9"/>
      <c r="N438" s="35" t="s">
        <v>1345</v>
      </c>
      <c r="O438" s="24">
        <v>40</v>
      </c>
      <c r="P438" s="2" cm="1">
        <f t="array" ref="P438">_xlfn.XLOOKUP(TRIM(B438),TRIM('[1]wc-product-export-16-3-2026-177'!$A:$A),'[1]wc-product-export-16-3-2026-177'!$D:$D,0,0)</f>
        <v>0</v>
      </c>
      <c r="Q438" s="2" cm="1">
        <f t="array" ref="Q438">IF(TRIM($D438)="SET",IF($K438="Steak Set1",ROUNDDOWN(IFERROR(MIN(_xlfn._xlws.FILTER(O$3:O$650,ISNUMBER(MATCH(TRIM($B$3:$B$650),TRIM(_xlfn.TEXTSPLIT($N438,",")),0)))),0)/4,0)+P438,IF(IFERROR(MIN(_xlfn._xlws.FILTER(O$3:O$650,ISNUMBER(MATCH(TRIM($B$3:$B$650),TRIM(_xlfn.TEXTSPLIT($N438,",")),0)))),0)&gt;=$E$1,IFERROR(MIN(_xlfn._xlws.FILTER(O$3:O$650,ISNUMBER(MATCH(TRIM($B$3:$B$650),TRIM(_xlfn.TEXTSPLIT($N438,",")),0)))),0)+P438,P438)),IF(TRIM($D438)="EA",IF(TRIM($E438)="M",ROUNDUP(O438*0.85,0),IF(TRIM($E438)="P",O438,P438)),P438))</f>
        <v>35</v>
      </c>
      <c r="T438" t="str" cm="1">
        <f t="array" ref="T438">IFERROR(IF(D438="SET",_xlfn.TEXTJOIN(", ",TRUE,_xlfn._xlws.FILTER(TRANSPOSE(TRIM(_xlfn.TEXTSPLIT(N438,","))),COUNTIFS(B$3:B$650,TRANSPOSE(TRIM(_xlfn.TEXTSPLIT(N438,","))),O$3:O$650,"&lt;="&amp;$T$1))),""),"")</f>
        <v/>
      </c>
    </row>
    <row r="439" spans="1:22" ht="14.4" x14ac:dyDescent="0.3">
      <c r="A439" s="1">
        <v>56570</v>
      </c>
      <c r="B439" s="55" t="s">
        <v>914</v>
      </c>
      <c r="C439" s="1" t="s">
        <v>1262</v>
      </c>
      <c r="D439" s="1" t="s">
        <v>628</v>
      </c>
      <c r="E439" s="1" t="s">
        <v>686</v>
      </c>
      <c r="F439" s="9"/>
      <c r="G439" s="9"/>
      <c r="H439" s="16" t="s">
        <v>143</v>
      </c>
      <c r="I439" s="9" t="b">
        <f t="shared" si="8"/>
        <v>0</v>
      </c>
      <c r="J439" s="1" t="s">
        <v>400</v>
      </c>
      <c r="K439" s="1" t="s">
        <v>278</v>
      </c>
      <c r="L439" s="1" t="s">
        <v>1741</v>
      </c>
      <c r="M439" s="9"/>
      <c r="N439" s="35" t="s">
        <v>1349</v>
      </c>
      <c r="O439" s="24">
        <v>5</v>
      </c>
      <c r="P439" s="2" cm="1">
        <f t="array" ref="P439">_xlfn.XLOOKUP(TRIM(B439),TRIM('[1]wc-product-export-16-3-2026-177'!$A:$A),'[1]wc-product-export-16-3-2026-177'!$D:$D,0,0)</f>
        <v>0</v>
      </c>
      <c r="Q439" s="2" cm="1">
        <f t="array" ref="Q439">IF(TRIM($D439)="SET",IF($K439="Steak Set1",ROUNDDOWN(IFERROR(MIN(_xlfn._xlws.FILTER(O$3:O$650,ISNUMBER(MATCH(TRIM($B$3:$B$650),TRIM(_xlfn.TEXTSPLIT($N439,",")),0)))),0)/4,0)+P439,IF(IFERROR(MIN(_xlfn._xlws.FILTER(O$3:O$650,ISNUMBER(MATCH(TRIM($B$3:$B$650),TRIM(_xlfn.TEXTSPLIT($N439,",")),0)))),0)&gt;=$E$1,IFERROR(MIN(_xlfn._xlws.FILTER(O$3:O$650,ISNUMBER(MATCH(TRIM($B$3:$B$650),TRIM(_xlfn.TEXTSPLIT($N439,",")),0)))),0)+P439,P439)),IF(TRIM($D439)="EA",IF(TRIM($E439)="M",ROUNDUP(O439*0.85,0),IF(TRIM($E439)="P",O439,P439)),P439))</f>
        <v>2</v>
      </c>
      <c r="T439" t="str" cm="1">
        <f t="array" ref="T439">IFERROR(IF(D439="SET",_xlfn.TEXTJOIN(", ",TRUE,_xlfn._xlws.FILTER(TRANSPOSE(TRIM(_xlfn.TEXTSPLIT(N439,","))),COUNTIFS(B$3:B$650,TRANSPOSE(TRIM(_xlfn.TEXTSPLIT(N439,","))),O$3:O$650,"&lt;="&amp;$T$1))),""),"")</f>
        <v>56501</v>
      </c>
    </row>
    <row r="440" spans="1:22" ht="14.4" x14ac:dyDescent="0.3">
      <c r="A440" s="1">
        <v>56571</v>
      </c>
      <c r="B440" s="1" t="s">
        <v>915</v>
      </c>
      <c r="C440" s="1" t="s">
        <v>1259</v>
      </c>
      <c r="D440" s="1" t="s">
        <v>628</v>
      </c>
      <c r="E440" s="1" t="s">
        <v>686</v>
      </c>
      <c r="F440" s="9" t="s">
        <v>1689</v>
      </c>
      <c r="G440" s="9"/>
      <c r="H440" s="53" t="s">
        <v>416</v>
      </c>
      <c r="I440" s="9" t="b">
        <f t="shared" si="8"/>
        <v>0</v>
      </c>
      <c r="J440" s="1" t="s">
        <v>401</v>
      </c>
      <c r="K440" s="1" t="s">
        <v>281</v>
      </c>
      <c r="L440" s="1" t="s">
        <v>1740</v>
      </c>
      <c r="M440" s="9"/>
      <c r="N440" s="35"/>
      <c r="O440" s="2" t="s">
        <v>458</v>
      </c>
      <c r="P440" s="2" cm="1">
        <f t="array" ref="P440">_xlfn.XLOOKUP(TRIM(B440),TRIM('[1]wc-product-export-16-3-2026-177'!$A:$A),'[1]wc-product-export-16-3-2026-177'!$D:$D,0,0)</f>
        <v>0</v>
      </c>
      <c r="Q440" s="2" cm="1">
        <f t="array" ref="Q440">IF(TRIM($D440)="SET",IF($K440="Steak Set1",ROUNDDOWN(IFERROR(MIN(_xlfn._xlws.FILTER(O$3:O$650,ISNUMBER(MATCH(TRIM($B$3:$B$650),TRIM(_xlfn.TEXTSPLIT($N440,",")),0)))),0)/4,0)+P440,IF(IFERROR(MIN(_xlfn._xlws.FILTER(O$3:O$650,ISNUMBER(MATCH(TRIM($B$3:$B$650),TRIM(_xlfn.TEXTSPLIT($N440,",")),0)))),0)&gt;=$E$1,IFERROR(MIN(_xlfn._xlws.FILTER(O$3:O$650,ISNUMBER(MATCH(TRIM($B$3:$B$650),TRIM(_xlfn.TEXTSPLIT($N440,",")),0)))),0)+P440,P440)),IF(TRIM($D440)="EA",IF(TRIM($E440)="M",ROUNDUP(O440*0.85,0),IF(TRIM($E440)="P",O440,P440)),P440))</f>
        <v>0</v>
      </c>
      <c r="T440" t="str" cm="1">
        <f t="array" ref="T440">IFERROR(IF(D440="SET",_xlfn.TEXTJOIN(", ",TRUE,_xlfn._xlws.FILTER(TRANSPOSE(TRIM(_xlfn.TEXTSPLIT(N440,","))),COUNTIFS(B$3:B$650,TRANSPOSE(TRIM(_xlfn.TEXTSPLIT(N440,","))),O$3:O$650,"&lt;="&amp;$T$1))),""),"")</f>
        <v/>
      </c>
    </row>
    <row r="441" spans="1:22" ht="14.4" x14ac:dyDescent="0.3">
      <c r="A441" s="1">
        <v>56572</v>
      </c>
      <c r="B441" s="55" t="s">
        <v>916</v>
      </c>
      <c r="C441" s="1" t="s">
        <v>1262</v>
      </c>
      <c r="D441" s="1" t="s">
        <v>628</v>
      </c>
      <c r="E441" s="1" t="s">
        <v>686</v>
      </c>
      <c r="F441" s="9"/>
      <c r="G441" s="9"/>
      <c r="H441" s="16" t="s">
        <v>469</v>
      </c>
      <c r="I441" s="9" t="b">
        <f t="shared" si="8"/>
        <v>0</v>
      </c>
      <c r="J441" s="1" t="s">
        <v>400</v>
      </c>
      <c r="K441" s="1" t="s">
        <v>278</v>
      </c>
      <c r="L441" s="1" t="s">
        <v>1742</v>
      </c>
      <c r="M441" s="9"/>
      <c r="N441" s="35" t="s">
        <v>1350</v>
      </c>
      <c r="O441" s="24">
        <v>21</v>
      </c>
      <c r="P441" s="2" cm="1">
        <f t="array" ref="P441">_xlfn.XLOOKUP(TRIM(B441),TRIM('[1]wc-product-export-16-3-2026-177'!$A:$A),'[1]wc-product-export-16-3-2026-177'!$D:$D,0,0)</f>
        <v>0</v>
      </c>
      <c r="Q441" s="2" cm="1">
        <f t="array" ref="Q441">IF(TRIM($D441)="SET",IF($K441="Steak Set1",ROUNDDOWN(IFERROR(MIN(_xlfn._xlws.FILTER(O$3:O$650,ISNUMBER(MATCH(TRIM($B$3:$B$650),TRIM(_xlfn.TEXTSPLIT($N441,",")),0)))),0)/4,0)+P441,IF(IFERROR(MIN(_xlfn._xlws.FILTER(O$3:O$650,ISNUMBER(MATCH(TRIM($B$3:$B$650),TRIM(_xlfn.TEXTSPLIT($N441,",")),0)))),0)&gt;=$E$1,IFERROR(MIN(_xlfn._xlws.FILTER(O$3:O$650,ISNUMBER(MATCH(TRIM($B$3:$B$650),TRIM(_xlfn.TEXTSPLIT($N441,",")),0)))),0)+P441,P441)),IF(TRIM($D441)="EA",IF(TRIM($E441)="M",ROUNDUP(O441*0.85,0),IF(TRIM($E441)="P",O441,P441)),P441))</f>
        <v>17</v>
      </c>
      <c r="T441" t="str" cm="1">
        <f t="array" ref="T441">IFERROR(IF(D441="SET",_xlfn.TEXTJOIN(", ",TRUE,_xlfn._xlws.FILTER(TRANSPOSE(TRIM(_xlfn.TEXTSPLIT(N441,","))),COUNTIFS(B$3:B$650,TRANSPOSE(TRIM(_xlfn.TEXTSPLIT(N441,","))),O$3:O$650,"&lt;="&amp;$T$1))),""),"")</f>
        <v/>
      </c>
      <c r="V441" s="52"/>
    </row>
    <row r="442" spans="1:22" ht="14.4" x14ac:dyDescent="0.3">
      <c r="A442" s="1">
        <v>56573</v>
      </c>
      <c r="B442" s="1" t="s">
        <v>917</v>
      </c>
      <c r="C442" s="1" t="s">
        <v>1262</v>
      </c>
      <c r="D442" s="1" t="s">
        <v>628</v>
      </c>
      <c r="E442" s="1" t="s">
        <v>686</v>
      </c>
      <c r="F442" s="9" t="s">
        <v>1689</v>
      </c>
      <c r="G442" s="9"/>
      <c r="H442" s="53" t="s">
        <v>258</v>
      </c>
      <c r="I442" s="9" t="b">
        <f t="shared" si="8"/>
        <v>0</v>
      </c>
      <c r="J442" s="1" t="s">
        <v>400</v>
      </c>
      <c r="K442" s="1" t="s">
        <v>278</v>
      </c>
      <c r="L442" s="1" t="s">
        <v>1744</v>
      </c>
      <c r="M442" s="9"/>
      <c r="N442" s="35" t="s">
        <v>1351</v>
      </c>
      <c r="O442" s="2" t="s">
        <v>458</v>
      </c>
      <c r="P442" s="2" cm="1">
        <f t="array" ref="P442">_xlfn.XLOOKUP(TRIM(B442),TRIM('[1]wc-product-export-16-3-2026-177'!$A:$A),'[1]wc-product-export-16-3-2026-177'!$D:$D,0,0)</f>
        <v>0</v>
      </c>
      <c r="Q442" s="2" cm="1">
        <f t="array" ref="Q442">IF(TRIM($D442)="SET",IF($K442="Steak Set1",ROUNDDOWN(IFERROR(MIN(_xlfn._xlws.FILTER(O$3:O$650,ISNUMBER(MATCH(TRIM($B$3:$B$650),TRIM(_xlfn.TEXTSPLIT($N442,",")),0)))),0)/4,0)+P442,IF(IFERROR(MIN(_xlfn._xlws.FILTER(O$3:O$650,ISNUMBER(MATCH(TRIM($B$3:$B$650),TRIM(_xlfn.TEXTSPLIT($N442,",")),0)))),0)&gt;=$E$1,IFERROR(MIN(_xlfn._xlws.FILTER(O$3:O$650,ISNUMBER(MATCH(TRIM($B$3:$B$650),TRIM(_xlfn.TEXTSPLIT($N442,",")),0)))),0)+P442,P442)),IF(TRIM($D442)="EA",IF(TRIM($E442)="M",ROUNDUP(O442*0.85,0),IF(TRIM($E442)="P",O442,P442)),P442))</f>
        <v>0</v>
      </c>
      <c r="T442" t="str" cm="1">
        <f t="array" ref="T442">IFERROR(IF(D442="SET",_xlfn.TEXTJOIN(", ",TRUE,_xlfn._xlws.FILTER(TRANSPOSE(TRIM(_xlfn.TEXTSPLIT(N442,","))),COUNTIFS(B$3:B$650,TRANSPOSE(TRIM(_xlfn.TEXTSPLIT(N442,","))),O$3:O$650,"&lt;="&amp;$T$1))),""),"")</f>
        <v>56501, 56574, 56540</v>
      </c>
    </row>
    <row r="443" spans="1:22" ht="14.4" x14ac:dyDescent="0.3">
      <c r="A443" s="1">
        <v>56574</v>
      </c>
      <c r="B443" s="55" t="s">
        <v>918</v>
      </c>
      <c r="C443" s="1" t="s">
        <v>1262</v>
      </c>
      <c r="D443" s="1" t="s">
        <v>624</v>
      </c>
      <c r="E443" s="1" t="s">
        <v>686</v>
      </c>
      <c r="F443" s="9"/>
      <c r="G443" s="9"/>
      <c r="H443" s="16" t="s">
        <v>468</v>
      </c>
      <c r="I443" s="9" t="b">
        <f t="shared" si="8"/>
        <v>1</v>
      </c>
      <c r="J443" s="1" t="s">
        <v>400</v>
      </c>
      <c r="K443" s="1" t="s">
        <v>287</v>
      </c>
      <c r="L443" s="1" t="s">
        <v>287</v>
      </c>
      <c r="M443" s="9"/>
      <c r="N443" s="35"/>
      <c r="O443" s="24">
        <v>0</v>
      </c>
      <c r="P443" s="2" cm="1">
        <f t="array" ref="P443">_xlfn.XLOOKUP(TRIM(B443),TRIM('[1]wc-product-export-16-3-2026-177'!$A:$A),'[1]wc-product-export-16-3-2026-177'!$D:$D,0,0)</f>
        <v>0</v>
      </c>
      <c r="Q443" s="2" cm="1">
        <f t="array" ref="Q443">IF(TRIM($D443)="SET",IF($K443="Steak Set1",ROUNDDOWN(IFERROR(MIN(_xlfn._xlws.FILTER(O$3:O$650,ISNUMBER(MATCH(TRIM($B$3:$B$650),TRIM(_xlfn.TEXTSPLIT($N443,",")),0)))),0)/4,0)+P443,IF(IFERROR(MIN(_xlfn._xlws.FILTER(O$3:O$650,ISNUMBER(MATCH(TRIM($B$3:$B$650),TRIM(_xlfn.TEXTSPLIT($N443,",")),0)))),0)&gt;=$E$1,IFERROR(MIN(_xlfn._xlws.FILTER(O$3:O$650,ISNUMBER(MATCH(TRIM($B$3:$B$650),TRIM(_xlfn.TEXTSPLIT($N443,",")),0)))),0)+P443,P443)),IF(TRIM($D443)="EA",IF(TRIM($E443)="M",ROUNDUP(O443*0.85,0),IF(TRIM($E443)="P",O443,P443)),P443))</f>
        <v>0</v>
      </c>
      <c r="T443" t="str" cm="1">
        <f t="array" ref="T443">IFERROR(IF(D443="SET",_xlfn.TEXTJOIN(", ",TRUE,_xlfn._xlws.FILTER(TRANSPOSE(TRIM(_xlfn.TEXTSPLIT(N443,","))),COUNTIFS(B$3:B$650,TRANSPOSE(TRIM(_xlfn.TEXTSPLIT(N443,","))),O$3:O$650,"&lt;="&amp;$T$1))),""),"")</f>
        <v/>
      </c>
    </row>
    <row r="444" spans="1:22" ht="14.4" x14ac:dyDescent="0.3">
      <c r="A444" s="1">
        <v>56577</v>
      </c>
      <c r="B444" s="55" t="s">
        <v>919</v>
      </c>
      <c r="C444" s="1" t="s">
        <v>1262</v>
      </c>
      <c r="D444" s="1" t="s">
        <v>624</v>
      </c>
      <c r="E444" s="1" t="s">
        <v>686</v>
      </c>
      <c r="F444" s="9"/>
      <c r="G444" s="9"/>
      <c r="H444" s="16" t="s">
        <v>467</v>
      </c>
      <c r="I444" s="9" t="b">
        <f t="shared" si="8"/>
        <v>1</v>
      </c>
      <c r="J444" s="1" t="s">
        <v>400</v>
      </c>
      <c r="K444" s="1" t="s">
        <v>287</v>
      </c>
      <c r="L444" s="1" t="s">
        <v>287</v>
      </c>
      <c r="M444" s="9"/>
      <c r="N444" s="35"/>
      <c r="O444" s="24">
        <v>0</v>
      </c>
      <c r="P444" s="2" cm="1">
        <f t="array" ref="P444">_xlfn.XLOOKUP(TRIM(B444),TRIM('[1]wc-product-export-16-3-2026-177'!$A:$A),'[1]wc-product-export-16-3-2026-177'!$D:$D,0,0)</f>
        <v>0</v>
      </c>
      <c r="Q444" s="2" cm="1">
        <f t="array" ref="Q444">IF(TRIM($D444)="SET",IF($K444="Steak Set1",ROUNDDOWN(IFERROR(MIN(_xlfn._xlws.FILTER(O$3:O$650,ISNUMBER(MATCH(TRIM($B$3:$B$650),TRIM(_xlfn.TEXTSPLIT($N444,",")),0)))),0)/4,0)+P444,IF(IFERROR(MIN(_xlfn._xlws.FILTER(O$3:O$650,ISNUMBER(MATCH(TRIM($B$3:$B$650),TRIM(_xlfn.TEXTSPLIT($N444,",")),0)))),0)&gt;=$E$1,IFERROR(MIN(_xlfn._xlws.FILTER(O$3:O$650,ISNUMBER(MATCH(TRIM($B$3:$B$650),TRIM(_xlfn.TEXTSPLIT($N444,",")),0)))),0)+P444,P444)),IF(TRIM($D444)="EA",IF(TRIM($E444)="M",ROUNDUP(O444*0.85,0),IF(TRIM($E444)="P",O444,P444)),P444))</f>
        <v>0</v>
      </c>
      <c r="T444" t="str" cm="1">
        <f t="array" ref="T444">IFERROR(IF(D444="SET",_xlfn.TEXTJOIN(", ",TRUE,_xlfn._xlws.FILTER(TRANSPOSE(TRIM(_xlfn.TEXTSPLIT(N444,","))),COUNTIFS(B$3:B$650,TRANSPOSE(TRIM(_xlfn.TEXTSPLIT(N444,","))),O$3:O$650,"&lt;="&amp;$T$1))),""),"")</f>
        <v/>
      </c>
    </row>
    <row r="445" spans="1:22" ht="14.4" x14ac:dyDescent="0.3">
      <c r="A445" s="1">
        <v>56578</v>
      </c>
      <c r="B445" s="56" t="s">
        <v>920</v>
      </c>
      <c r="C445" s="1" t="s">
        <v>1262</v>
      </c>
      <c r="D445" s="1" t="s">
        <v>624</v>
      </c>
      <c r="E445" s="1" t="s">
        <v>686</v>
      </c>
      <c r="F445" s="9"/>
      <c r="G445" s="9"/>
      <c r="H445" s="16" t="s">
        <v>466</v>
      </c>
      <c r="I445" s="9" t="b">
        <f t="shared" si="8"/>
        <v>1</v>
      </c>
      <c r="J445" s="1" t="s">
        <v>400</v>
      </c>
      <c r="K445" s="1" t="s">
        <v>287</v>
      </c>
      <c r="L445" s="1" t="s">
        <v>287</v>
      </c>
      <c r="M445" s="9"/>
      <c r="N445" s="35"/>
      <c r="O445" s="24">
        <v>3</v>
      </c>
      <c r="P445" s="2" cm="1">
        <f t="array" ref="P445">_xlfn.XLOOKUP(TRIM(B445),TRIM('[1]wc-product-export-16-3-2026-177'!$A:$A),'[1]wc-product-export-16-3-2026-177'!$D:$D,0,0)</f>
        <v>0</v>
      </c>
      <c r="Q445" s="2" cm="1">
        <f t="array" ref="Q445">IF(TRIM($D445)="SET",IF($K445="Steak Set1",ROUNDDOWN(IFERROR(MIN(_xlfn._xlws.FILTER(O$3:O$650,ISNUMBER(MATCH(TRIM($B$3:$B$650),TRIM(_xlfn.TEXTSPLIT($N445,",")),0)))),0)/4,0)+P445,IF(IFERROR(MIN(_xlfn._xlws.FILTER(O$3:O$650,ISNUMBER(MATCH(TRIM($B$3:$B$650),TRIM(_xlfn.TEXTSPLIT($N445,",")),0)))),0)&gt;=$E$1,IFERROR(MIN(_xlfn._xlws.FILTER(O$3:O$650,ISNUMBER(MATCH(TRIM($B$3:$B$650),TRIM(_xlfn.TEXTSPLIT($N445,",")),0)))),0)+P445,P445)),IF(TRIM($D445)="EA",IF(TRIM($E445)="M",ROUNDUP(O445*0.85,0),IF(TRIM($E445)="P",O445,P445)),P445))</f>
        <v>3</v>
      </c>
      <c r="T445" t="str" cm="1">
        <f t="array" ref="T445">IFERROR(IF(D445="SET",_xlfn.TEXTJOIN(", ",TRUE,_xlfn._xlws.FILTER(TRANSPOSE(TRIM(_xlfn.TEXTSPLIT(N445,","))),COUNTIFS(B$3:B$650,TRANSPOSE(TRIM(_xlfn.TEXTSPLIT(N445,","))),O$3:O$650,"&lt;="&amp;$T$1))),""),"")</f>
        <v/>
      </c>
    </row>
    <row r="446" spans="1:22" ht="14.4" x14ac:dyDescent="0.3">
      <c r="A446" s="1">
        <v>56584</v>
      </c>
      <c r="B446" s="55" t="s">
        <v>921</v>
      </c>
      <c r="C446" s="1" t="s">
        <v>1262</v>
      </c>
      <c r="D446" s="1" t="s">
        <v>628</v>
      </c>
      <c r="E446" s="1" t="s">
        <v>686</v>
      </c>
      <c r="F446" s="9"/>
      <c r="G446" s="9"/>
      <c r="H446" s="16" t="s">
        <v>465</v>
      </c>
      <c r="I446" s="9" t="b">
        <f t="shared" si="8"/>
        <v>0</v>
      </c>
      <c r="J446" s="1" t="s">
        <v>400</v>
      </c>
      <c r="K446" s="1" t="s">
        <v>1715</v>
      </c>
      <c r="L446" s="1" t="s">
        <v>1715</v>
      </c>
      <c r="M446" s="9"/>
      <c r="N446" s="35" t="s">
        <v>1336</v>
      </c>
      <c r="O446" s="24">
        <v>6</v>
      </c>
      <c r="P446" s="2" cm="1">
        <f t="array" ref="P446">_xlfn.XLOOKUP(TRIM(B446),TRIM('[1]wc-product-export-16-3-2026-177'!$A:$A),'[1]wc-product-export-16-3-2026-177'!$D:$D,0,0)</f>
        <v>0</v>
      </c>
      <c r="Q446" s="2" cm="1">
        <f t="array" ref="Q446">IF(TRIM($D446)="SET",IF($K446="Steak Set1",ROUNDDOWN(IFERROR(MIN(_xlfn._xlws.FILTER(O$3:O$650,ISNUMBER(MATCH(TRIM($B$3:$B$650),TRIM(_xlfn.TEXTSPLIT($N446,",")),0)))),0)/4,0)+P446,IF(IFERROR(MIN(_xlfn._xlws.FILTER(O$3:O$650,ISNUMBER(MATCH(TRIM($B$3:$B$650),TRIM(_xlfn.TEXTSPLIT($N446,",")),0)))),0)&gt;=$E$1,IFERROR(MIN(_xlfn._xlws.FILTER(O$3:O$650,ISNUMBER(MATCH(TRIM($B$3:$B$650),TRIM(_xlfn.TEXTSPLIT($N446,",")),0)))),0)+P446,P446)),IF(TRIM($D446)="EA",IF(TRIM($E446)="M",ROUNDUP(O446*0.85,0),IF(TRIM($E446)="P",O446,P446)),P446))</f>
        <v>2</v>
      </c>
      <c r="T446" t="str" cm="1">
        <f t="array" ref="T446">IFERROR(IF(D446="SET",_xlfn.TEXTJOIN(", ",TRUE,_xlfn._xlws.FILTER(TRANSPOSE(TRIM(_xlfn.TEXTSPLIT(N446,","))),COUNTIFS(B$3:B$650,TRANSPOSE(TRIM(_xlfn.TEXTSPLIT(N446,","))),O$3:O$650,"&lt;="&amp;$T$1))),""),"")</f>
        <v>56501</v>
      </c>
    </row>
    <row r="447" spans="1:22" ht="14.4" x14ac:dyDescent="0.3">
      <c r="A447" s="1">
        <v>56585</v>
      </c>
      <c r="B447" s="55" t="s">
        <v>922</v>
      </c>
      <c r="C447" s="1" t="s">
        <v>1262</v>
      </c>
      <c r="D447" s="1" t="s">
        <v>628</v>
      </c>
      <c r="E447" s="1" t="s">
        <v>686</v>
      </c>
      <c r="F447" s="9"/>
      <c r="G447" s="9"/>
      <c r="H447" s="16" t="s">
        <v>464</v>
      </c>
      <c r="I447" s="9" t="b">
        <f t="shared" si="8"/>
        <v>0</v>
      </c>
      <c r="J447" s="1" t="s">
        <v>400</v>
      </c>
      <c r="K447" s="1" t="s">
        <v>1716</v>
      </c>
      <c r="L447" s="1" t="s">
        <v>1716</v>
      </c>
      <c r="M447" s="9"/>
      <c r="N447" s="35" t="s">
        <v>1337</v>
      </c>
      <c r="O447" s="24">
        <v>6</v>
      </c>
      <c r="P447" s="2" cm="1">
        <f t="array" ref="P447">_xlfn.XLOOKUP(TRIM(B447),TRIM('[1]wc-product-export-16-3-2026-177'!$A:$A),'[1]wc-product-export-16-3-2026-177'!$D:$D,0,0)</f>
        <v>0</v>
      </c>
      <c r="Q447" s="2" cm="1">
        <f t="array" ref="Q447">IF(TRIM($D447)="SET",IF($K447="Steak Set1",ROUNDDOWN(IFERROR(MIN(_xlfn._xlws.FILTER(O$3:O$650,ISNUMBER(MATCH(TRIM($B$3:$B$650),TRIM(_xlfn.TEXTSPLIT($N447,",")),0)))),0)/4,0)+P447,IF(IFERROR(MIN(_xlfn._xlws.FILTER(O$3:O$650,ISNUMBER(MATCH(TRIM($B$3:$B$650),TRIM(_xlfn.TEXTSPLIT($N447,",")),0)))),0)&gt;=$E$1,IFERROR(MIN(_xlfn._xlws.FILTER(O$3:O$650,ISNUMBER(MATCH(TRIM($B$3:$B$650),TRIM(_xlfn.TEXTSPLIT($N447,",")),0)))),0)+P447,P447)),IF(TRIM($D447)="EA",IF(TRIM($E447)="M",ROUNDUP(O447*0.85,0),IF(TRIM($E447)="P",O447,P447)),P447))</f>
        <v>2</v>
      </c>
      <c r="T447" t="str" cm="1">
        <f t="array" ref="T447">IFERROR(IF(D447="SET",_xlfn.TEXTJOIN(", ",TRUE,_xlfn._xlws.FILTER(TRANSPOSE(TRIM(_xlfn.TEXTSPLIT(N447,","))),COUNTIFS(B$3:B$650,TRANSPOSE(TRIM(_xlfn.TEXTSPLIT(N447,","))),O$3:O$650,"&lt;="&amp;$T$1))),""),"")</f>
        <v>56501</v>
      </c>
      <c r="V447" s="52"/>
    </row>
    <row r="448" spans="1:22" ht="24" x14ac:dyDescent="0.3">
      <c r="A448" s="1">
        <v>56586</v>
      </c>
      <c r="B448" s="55" t="s">
        <v>923</v>
      </c>
      <c r="C448" s="1" t="s">
        <v>1262</v>
      </c>
      <c r="D448" s="1" t="s">
        <v>628</v>
      </c>
      <c r="E448" s="1" t="s">
        <v>686</v>
      </c>
      <c r="F448" s="9"/>
      <c r="G448" s="9"/>
      <c r="H448" s="16" t="s">
        <v>463</v>
      </c>
      <c r="I448" s="9" t="b">
        <f t="shared" si="8"/>
        <v>0</v>
      </c>
      <c r="J448" s="1" t="s">
        <v>400</v>
      </c>
      <c r="K448" s="1" t="s">
        <v>1713</v>
      </c>
      <c r="L448" s="1" t="s">
        <v>1720</v>
      </c>
      <c r="M448" s="9">
        <v>1</v>
      </c>
      <c r="N448" s="35" t="s">
        <v>1747</v>
      </c>
      <c r="O448" s="24">
        <v>0</v>
      </c>
      <c r="P448" s="2" cm="1">
        <f t="array" ref="P448">_xlfn.XLOOKUP(TRIM(B448),TRIM('[1]wc-product-export-16-3-2026-177'!$A:$A),'[1]wc-product-export-16-3-2026-177'!$D:$D,0,0)</f>
        <v>0</v>
      </c>
      <c r="Q448" s="66" cm="1">
        <f t="array" ref="Q448">_xlfn.LET(_xlpm.items,TRIM(_xlfn.TEXTSPLIT($N448,",")),_xlpm.codes,TRIM($B$3:$B$650),_xlpm.qty,$O$3:$O$650,_xlpm.setMask,ISNUMBER(MATCH(_xlpm.codes,_xlpm.items,0)),_xlpm.knifeType,IF(ISNUMBER(SEARCH("fine",$H448)),"03",IF(ISNUMBER(SEARCH("serr",$H448)),"02","")),_xlpm.knifeStock,IFERROR(MIN(IF(_xlpm.setMask*(RIGHT(_xlpm.codes,2)=_xlpm.knifeType),_xlpm.qty)),0),_xlpm.otherStock,IFERROR(MIN(IF(_xlpm.setMask*(RIGHT(_xlpm.codes,2)&lt;&gt;_xlpm.knifeType),_xlpm.qty)),0),IF(_xlpm.knifeStock&gt;=8,MIN(ROUNDDOWN(_xlpm.knifeStock/8,0),_xlpm.otherStock),0)+P448)</f>
        <v>0</v>
      </c>
      <c r="T448" t="str" cm="1">
        <f t="array" ref="T448">IFERROR(IF(D448="SET",_xlfn.TEXTJOIN(", ",TRUE,_xlfn._xlws.FILTER(TRANSPOSE(TRIM(_xlfn.TEXTSPLIT(N448,","))),COUNTIFS(B$3:B$650,TRANSPOSE(TRIM(_xlfn.TEXTSPLIT(N448,","))),O$3:O$650,"&lt;="&amp;$T$1))),""),"")</f>
        <v>56501, 56502</v>
      </c>
    </row>
    <row r="449" spans="1:22" ht="24" x14ac:dyDescent="0.3">
      <c r="A449" s="1">
        <v>56587</v>
      </c>
      <c r="B449" s="55" t="s">
        <v>924</v>
      </c>
      <c r="C449" s="1" t="s">
        <v>1262</v>
      </c>
      <c r="D449" s="1" t="s">
        <v>628</v>
      </c>
      <c r="E449" s="1" t="s">
        <v>686</v>
      </c>
      <c r="F449" s="9"/>
      <c r="G449" s="9"/>
      <c r="H449" s="16" t="s">
        <v>462</v>
      </c>
      <c r="I449" s="9" t="b">
        <f t="shared" si="8"/>
        <v>0</v>
      </c>
      <c r="J449" s="1" t="s">
        <v>400</v>
      </c>
      <c r="K449" s="1" t="s">
        <v>1713</v>
      </c>
      <c r="L449" s="1" t="s">
        <v>1720</v>
      </c>
      <c r="M449" s="9">
        <v>1</v>
      </c>
      <c r="N449" s="35" t="s">
        <v>1748</v>
      </c>
      <c r="O449" s="24">
        <v>0</v>
      </c>
      <c r="P449" s="2" cm="1">
        <f t="array" ref="P449">_xlfn.XLOOKUP(TRIM(B449),TRIM('[1]wc-product-export-16-3-2026-177'!$A:$A),'[1]wc-product-export-16-3-2026-177'!$D:$D,0,0)</f>
        <v>0</v>
      </c>
      <c r="Q449" s="66" cm="1">
        <f t="array" ref="Q449">_xlfn.LET(_xlpm.items,TRIM(_xlfn.TEXTSPLIT($N449,",")),_xlpm.codes,TRIM($B$3:$B$650),_xlpm.qty,$O$3:$O$650,_xlpm.setMask,ISNUMBER(MATCH(_xlpm.codes,_xlpm.items,0)),_xlpm.knifeType,IF(ISNUMBER(SEARCH("fine",$H449)),"03",IF(ISNUMBER(SEARCH("serr",$H449)),"02","")),_xlpm.knifeStock,IFERROR(MIN(IF(_xlpm.setMask*(RIGHT(_xlpm.codes,2)=_xlpm.knifeType),_xlpm.qty)),0),_xlpm.otherStock,IFERROR(MIN(IF(_xlpm.setMask*(RIGHT(_xlpm.codes,2)&lt;&gt;_xlpm.knifeType),_xlpm.qty)),0),IF(_xlpm.knifeStock&gt;=8,MIN(ROUNDDOWN(_xlpm.knifeStock/8,0),_xlpm.otherStock),0)+P449)</f>
        <v>0</v>
      </c>
      <c r="T449" t="str" cm="1">
        <f t="array" ref="T449">IFERROR(IF(D449="SET",_xlfn.TEXTJOIN(", ",TRUE,_xlfn._xlws.FILTER(TRANSPOSE(TRIM(_xlfn.TEXTSPLIT(N449,","))),COUNTIFS(B$3:B$650,TRANSPOSE(TRIM(_xlfn.TEXTSPLIT(N449,","))),O$3:O$650,"&lt;="&amp;$T$1))),""),"")</f>
        <v>56501, 56503</v>
      </c>
    </row>
    <row r="450" spans="1:22" ht="14.4" x14ac:dyDescent="0.3">
      <c r="A450" s="1">
        <v>56592</v>
      </c>
      <c r="B450" s="55" t="s">
        <v>925</v>
      </c>
      <c r="C450" s="1" t="s">
        <v>1262</v>
      </c>
      <c r="D450" s="1" t="s">
        <v>628</v>
      </c>
      <c r="E450" s="1" t="s">
        <v>686</v>
      </c>
      <c r="F450" s="9"/>
      <c r="G450" s="9"/>
      <c r="H450" s="16" t="s">
        <v>461</v>
      </c>
      <c r="I450" s="9" t="b">
        <f t="shared" si="8"/>
        <v>0</v>
      </c>
      <c r="J450" s="1" t="s">
        <v>400</v>
      </c>
      <c r="K450" s="1" t="s">
        <v>1712</v>
      </c>
      <c r="L450" s="1" t="s">
        <v>1737</v>
      </c>
      <c r="M450" s="9"/>
      <c r="N450" s="35" t="s">
        <v>875</v>
      </c>
      <c r="O450" s="24">
        <v>38</v>
      </c>
      <c r="P450" s="2" cm="1">
        <f t="array" ref="P450">_xlfn.XLOOKUP(TRIM(B450),TRIM('[1]wc-product-export-16-3-2026-177'!$A:$A),'[1]wc-product-export-16-3-2026-177'!$D:$D,0,0)</f>
        <v>37</v>
      </c>
      <c r="Q450" s="2" cm="1">
        <f t="array" ref="Q450">IF(TRIM($D450)="SET",IF($K450="Steak Set1",ROUNDDOWN(IFERROR(MIN(_xlfn._xlws.FILTER(O$3:O$650,ISNUMBER(MATCH(TRIM($B$3:$B$650),TRIM(_xlfn.TEXTSPLIT($N450,",")),0)))),0)/4,0)+P450,IF(IFERROR(MIN(_xlfn._xlws.FILTER(O$3:O$650,ISNUMBER(MATCH(TRIM($B$3:$B$650),TRIM(_xlfn.TEXTSPLIT($N450,",")),0)))),0)&gt;=$E$1,IFERROR(MIN(_xlfn._xlws.FILTER(O$3:O$650,ISNUMBER(MATCH(TRIM($B$3:$B$650),TRIM(_xlfn.TEXTSPLIT($N450,",")),0)))),0)+P450,P450)),IF(TRIM($D450)="EA",IF(TRIM($E450)="M",ROUNDUP(O450*0.85,0),IF(TRIM($E450)="P",O450,P450)),P450))</f>
        <v>37</v>
      </c>
      <c r="T450" t="str" cm="1">
        <f t="array" ref="T450">IFERROR(IF(D450="SET",_xlfn.TEXTJOIN(", ",TRUE,_xlfn._xlws.FILTER(TRANSPOSE(TRIM(_xlfn.TEXTSPLIT(N450,","))),COUNTIFS(B$3:B$650,TRANSPOSE(TRIM(_xlfn.TEXTSPLIT(N450,","))),O$3:O$650,"&lt;="&amp;$T$1))),""),"")</f>
        <v>56503</v>
      </c>
    </row>
    <row r="451" spans="1:22" ht="14.4" hidden="1" x14ac:dyDescent="0.3">
      <c r="A451" s="1">
        <v>56628</v>
      </c>
      <c r="B451" s="1" t="s">
        <v>940</v>
      </c>
      <c r="C451" s="1" t="s">
        <v>1259</v>
      </c>
      <c r="D451" s="1" t="s">
        <v>624</v>
      </c>
      <c r="E451" s="1" t="s">
        <v>686</v>
      </c>
      <c r="F451" s="9" t="s">
        <v>1689</v>
      </c>
      <c r="G451" s="9"/>
      <c r="H451" s="53" t="s">
        <v>417</v>
      </c>
      <c r="I451" s="9" t="b">
        <f t="shared" si="8"/>
        <v>0</v>
      </c>
      <c r="J451" s="1" t="s">
        <v>401</v>
      </c>
      <c r="K451" s="1" t="s">
        <v>269</v>
      </c>
      <c r="L451" s="1" t="s">
        <v>401</v>
      </c>
      <c r="M451" s="9"/>
      <c r="N451" s="35"/>
      <c r="O451" s="2" t="s">
        <v>458</v>
      </c>
      <c r="P451" s="2" cm="1">
        <f t="array" ref="P451">_xlfn.XLOOKUP(TRIM(B451),TRIM('[1]wc-product-export-16-3-2026-177'!$A:$A),'[1]wc-product-export-16-3-2026-177'!$D:$D,0,0)</f>
        <v>0</v>
      </c>
      <c r="Q451" s="2" t="e" cm="1">
        <f t="array" ref="Q451">IF(TRIM($D451)="SET",IF($K451="Steak Set1",ROUNDDOWN(IFERROR(MIN(_xlfn._xlws.FILTER(O$3:O$650,ISNUMBER(MATCH(TRIM($B$3:$B$650),TRIM(_xlfn.TEXTSPLIT($N451,",")),0)))),0)/4,0)+P451,IF(IFERROR(MIN(_xlfn._xlws.FILTER(O$3:O$650,ISNUMBER(MATCH(TRIM($B$3:$B$650),TRIM(_xlfn.TEXTSPLIT($N451,",")),0)))),0)&gt;=$E$1,IFERROR(MIN(_xlfn._xlws.FILTER(O$3:O$650,ISNUMBER(MATCH(TRIM($B$3:$B$650),TRIM(_xlfn.TEXTSPLIT($N451,",")),0)))),0)+P451,P451)),IF(TRIM($D451)="EA",IF(TRIM($E451)="M",ROUNDUP(O451*0.85,0),IF(TRIM($E451)="P",O451,P451)),P451))</f>
        <v>#VALUE!</v>
      </c>
      <c r="T451" t="str" cm="1">
        <f t="array" ref="T451">IFERROR(IF(D451="SET",_xlfn.TEXTJOIN(", ",TRUE,_xlfn._xlws.FILTER(TRANSPOSE(TRIM(_xlfn.TEXTSPLIT(N451,","))),COUNTIFS(B$3:B$650,TRANSPOSE(TRIM(_xlfn.TEXTSPLIT(N451,","))),O$3:O$650,"&lt;="&amp;$T$1))),""),"")</f>
        <v/>
      </c>
    </row>
    <row r="452" spans="1:22" ht="14.4" x14ac:dyDescent="0.3">
      <c r="A452" s="1">
        <v>56655</v>
      </c>
      <c r="B452" s="1" t="s">
        <v>953</v>
      </c>
      <c r="C452" s="1" t="s">
        <v>1259</v>
      </c>
      <c r="D452" s="1" t="s">
        <v>628</v>
      </c>
      <c r="E452" s="1" t="s">
        <v>686</v>
      </c>
      <c r="F452" s="9" t="s">
        <v>1689</v>
      </c>
      <c r="G452" s="9"/>
      <c r="H452" s="16" t="s">
        <v>418</v>
      </c>
      <c r="I452" s="9" t="b">
        <f t="shared" ref="I452:I454" si="9">ISNUMBER(SEARCH($I$2,H452))</f>
        <v>0</v>
      </c>
      <c r="J452" s="1" t="s">
        <v>401</v>
      </c>
      <c r="K452" s="1" t="s">
        <v>281</v>
      </c>
      <c r="L452" s="1" t="s">
        <v>401</v>
      </c>
      <c r="M452" s="9"/>
      <c r="N452" s="35" t="s">
        <v>1355</v>
      </c>
      <c r="O452" s="2" t="s">
        <v>458</v>
      </c>
      <c r="P452" s="2" cm="1">
        <f t="array" ref="P452">_xlfn.XLOOKUP(TRIM(B452),TRIM('[1]wc-product-export-16-3-2026-177'!$A:$A),'[1]wc-product-export-16-3-2026-177'!$D:$D,0,0)</f>
        <v>0</v>
      </c>
      <c r="Q452" s="2" cm="1">
        <f t="array" ref="Q452">IF(TRIM($D452)="SET",IF($K452="Steak Set1",ROUNDDOWN(IFERROR(MIN(_xlfn._xlws.FILTER(O$3:O$650,ISNUMBER(MATCH(TRIM($B$3:$B$650),TRIM(_xlfn.TEXTSPLIT($N452,",")),0)))),0)/4,0)+P452,IF(IFERROR(MIN(_xlfn._xlws.FILTER(O$3:O$650,ISNUMBER(MATCH(TRIM($B$3:$B$650),TRIM(_xlfn.TEXTSPLIT($N452,",")),0)))),0)&gt;=$E$1,IFERROR(MIN(_xlfn._xlws.FILTER(O$3:O$650,ISNUMBER(MATCH(TRIM($B$3:$B$650),TRIM(_xlfn.TEXTSPLIT($N452,",")),0)))),0)+P452,P452)),IF(TRIM($D452)="EA",IF(TRIM($E452)="M",ROUNDUP(O452*0.85,0),IF(TRIM($E452)="P",O452,P452)),P452))</f>
        <v>0</v>
      </c>
      <c r="T452" t="str" cm="1">
        <f t="array" ref="T452">IFERROR(IF(D452="SET",_xlfn.TEXTJOIN(", ",TRUE,_xlfn._xlws.FILTER(TRANSPOSE(TRIM(_xlfn.TEXTSPLIT(N452,","))),COUNTIFS(B$3:B$650,TRANSPOSE(TRIM(_xlfn.TEXTSPLIT(N452,","))),O$3:O$650,"&lt;="&amp;$T$1))),""),"")</f>
        <v/>
      </c>
    </row>
    <row r="453" spans="1:22" ht="14.4" hidden="1" x14ac:dyDescent="0.3">
      <c r="A453" s="1">
        <v>56658</v>
      </c>
      <c r="B453" s="1" t="s">
        <v>956</v>
      </c>
      <c r="C453" s="1" t="s">
        <v>1259</v>
      </c>
      <c r="D453" s="1" t="s">
        <v>624</v>
      </c>
      <c r="E453" s="1" t="s">
        <v>686</v>
      </c>
      <c r="F453" s="9" t="s">
        <v>1689</v>
      </c>
      <c r="G453" s="9"/>
      <c r="H453" s="16" t="s">
        <v>419</v>
      </c>
      <c r="I453" s="9" t="b">
        <f t="shared" si="9"/>
        <v>0</v>
      </c>
      <c r="J453" s="1" t="s">
        <v>401</v>
      </c>
      <c r="K453" s="1" t="s">
        <v>269</v>
      </c>
      <c r="L453" s="1" t="s">
        <v>401</v>
      </c>
      <c r="M453" s="9"/>
      <c r="N453" s="35"/>
      <c r="O453" s="2" t="s">
        <v>458</v>
      </c>
      <c r="P453" s="2" cm="1">
        <f t="array" ref="P453">_xlfn.XLOOKUP(TRIM(B453),TRIM('[1]wc-product-export-16-3-2026-177'!$A:$A),'[1]wc-product-export-16-3-2026-177'!$D:$D,0,0)</f>
        <v>0</v>
      </c>
      <c r="Q453" s="2" t="e" cm="1">
        <f t="array" ref="Q453">IF(TRIM($D453)="SET",IF($K453="Steak Set1",ROUNDDOWN(IFERROR(MIN(_xlfn._xlws.FILTER(O$3:O$650,ISNUMBER(MATCH(TRIM($B$3:$B$650),TRIM(_xlfn.TEXTSPLIT($N453,",")),0)))),0)/4,0)+P453,IF(IFERROR(MIN(_xlfn._xlws.FILTER(O$3:O$650,ISNUMBER(MATCH(TRIM($B$3:$B$650),TRIM(_xlfn.TEXTSPLIT($N453,",")),0)))),0)&gt;=$E$1,IFERROR(MIN(_xlfn._xlws.FILTER(O$3:O$650,ISNUMBER(MATCH(TRIM($B$3:$B$650),TRIM(_xlfn.TEXTSPLIT($N453,",")),0)))),0)+P453,P453)),IF(TRIM($D453)="EA",IF(TRIM($E453)="M",ROUNDUP(O453*0.85,0),IF(TRIM($E453)="P",O453,P453)),P453))</f>
        <v>#VALUE!</v>
      </c>
      <c r="T453" t="str" cm="1">
        <f t="array" ref="T453">IFERROR(IF(D453="SET",_xlfn.TEXTJOIN(", ",TRUE,_xlfn._xlws.FILTER(TRANSPOSE(TRIM(_xlfn.TEXTSPLIT(N453,","))),COUNTIFS(B$3:B$650,TRANSPOSE(TRIM(_xlfn.TEXTSPLIT(N453,","))),O$3:O$650,"&lt;="&amp;$T$1))),""),"")</f>
        <v/>
      </c>
    </row>
    <row r="454" spans="1:22" ht="14.4" x14ac:dyDescent="0.3">
      <c r="A454" s="1">
        <v>56671</v>
      </c>
      <c r="B454" s="1" t="s">
        <v>966</v>
      </c>
      <c r="C454" s="1" t="s">
        <v>1259</v>
      </c>
      <c r="D454" s="1" t="s">
        <v>628</v>
      </c>
      <c r="E454" s="1" t="s">
        <v>686</v>
      </c>
      <c r="F454" s="9" t="s">
        <v>1689</v>
      </c>
      <c r="G454" s="9"/>
      <c r="H454" s="16" t="s">
        <v>420</v>
      </c>
      <c r="I454" s="9" t="b">
        <f t="shared" si="9"/>
        <v>0</v>
      </c>
      <c r="J454" s="1" t="s">
        <v>401</v>
      </c>
      <c r="K454" s="1" t="s">
        <v>278</v>
      </c>
      <c r="L454" s="1" t="s">
        <v>1740</v>
      </c>
      <c r="M454" s="9"/>
      <c r="N454" s="35"/>
      <c r="O454" s="2" t="s">
        <v>458</v>
      </c>
      <c r="P454" s="2" cm="1">
        <f t="array" ref="P454">_xlfn.XLOOKUP(TRIM(B454),TRIM('[1]wc-product-export-16-3-2026-177'!$A:$A),'[1]wc-product-export-16-3-2026-177'!$D:$D,0,0)</f>
        <v>0</v>
      </c>
      <c r="Q454" s="2" cm="1">
        <f t="array" ref="Q454">IF(TRIM($D454)="SET",IF($K454="Steak Set1",ROUNDDOWN(IFERROR(MIN(_xlfn._xlws.FILTER(O$3:O$650,ISNUMBER(MATCH(TRIM($B$3:$B$650),TRIM(_xlfn.TEXTSPLIT($N454,",")),0)))),0)/4,0)+P454,IF(IFERROR(MIN(_xlfn._xlws.FILTER(O$3:O$650,ISNUMBER(MATCH(TRIM($B$3:$B$650),TRIM(_xlfn.TEXTSPLIT($N454,",")),0)))),0)&gt;=$E$1,IFERROR(MIN(_xlfn._xlws.FILTER(O$3:O$650,ISNUMBER(MATCH(TRIM($B$3:$B$650),TRIM(_xlfn.TEXTSPLIT($N454,",")),0)))),0)+P454,P454)),IF(TRIM($D454)="EA",IF(TRIM($E454)="M",ROUNDUP(O454*0.85,0),IF(TRIM($E454)="P",O454,P454)),P454))</f>
        <v>0</v>
      </c>
      <c r="T454" t="str" cm="1">
        <f t="array" ref="T454">IFERROR(IF(D454="SET",_xlfn.TEXTJOIN(", ",TRUE,_xlfn._xlws.FILTER(TRANSPOSE(TRIM(_xlfn.TEXTSPLIT(N454,","))),COUNTIFS(B$3:B$650,TRANSPOSE(TRIM(_xlfn.TEXTSPLIT(N454,","))),O$3:O$650,"&lt;="&amp;$T$1))),""),"")</f>
        <v/>
      </c>
    </row>
    <row r="455" spans="1:22" ht="14.4" hidden="1" x14ac:dyDescent="0.3">
      <c r="B455" s="2">
        <v>56677</v>
      </c>
      <c r="C455" s="2" t="s">
        <v>1259</v>
      </c>
      <c r="D455" s="14" t="s">
        <v>624</v>
      </c>
      <c r="E455" s="2" t="s">
        <v>686</v>
      </c>
      <c r="H455" s="16" t="s">
        <v>1697</v>
      </c>
      <c r="L455" s="1" t="s">
        <v>1743</v>
      </c>
      <c r="O455" s="2" t="s">
        <v>458</v>
      </c>
      <c r="P455" s="2" cm="1">
        <f t="array" ref="P455">_xlfn.XLOOKUP(TRIM(B455),TRIM('[1]wc-product-export-16-3-2026-177'!$A:$A),'[1]wc-product-export-16-3-2026-177'!$D:$D,0,0)</f>
        <v>0</v>
      </c>
      <c r="Q455" s="2" t="e" cm="1">
        <f t="array" ref="Q455">IF(TRIM($D455)="SET",IF($K455="Steak Set1",ROUNDDOWN(IFERROR(MIN(_xlfn._xlws.FILTER(O$3:O$650,ISNUMBER(MATCH(TRIM($B$3:$B$650),TRIM(_xlfn.TEXTSPLIT($N455,",")),0)))),0)/4,0)+P455,IF(IFERROR(MIN(_xlfn._xlws.FILTER(O$3:O$650,ISNUMBER(MATCH(TRIM($B$3:$B$650),TRIM(_xlfn.TEXTSPLIT($N455,",")),0)))),0)&gt;=$E$1,IFERROR(MIN(_xlfn._xlws.FILTER(O$3:O$650,ISNUMBER(MATCH(TRIM($B$3:$B$650),TRIM(_xlfn.TEXTSPLIT($N455,",")),0)))),0)+P455,P455)),IF(TRIM($D455)="EA",IF(TRIM($E455)="M",ROUNDUP(O455*0.85,0),IF(TRIM($E455)="P",O455,P455)),P455))</f>
        <v>#VALUE!</v>
      </c>
      <c r="T455" t="str" cm="1">
        <f t="array" ref="T455">IFERROR(IF(D455="SET",_xlfn.TEXTJOIN(", ",TRUE,_xlfn._xlws.FILTER(TRANSPOSE(TRIM(_xlfn.TEXTSPLIT(N455,","))),COUNTIFS(B$3:B$650,TRANSPOSE(TRIM(_xlfn.TEXTSPLIT(N455,","))),O$3:O$650,"&lt;="&amp;$T$1))),""),"")</f>
        <v/>
      </c>
      <c r="V455" s="52"/>
    </row>
    <row r="456" spans="1:22" ht="14.4" hidden="1" x14ac:dyDescent="0.3">
      <c r="A456" s="1">
        <v>56738</v>
      </c>
      <c r="B456" s="1" t="s">
        <v>977</v>
      </c>
      <c r="C456" s="1" t="s">
        <v>1262</v>
      </c>
      <c r="D456" s="1" t="s">
        <v>624</v>
      </c>
      <c r="E456" s="1" t="s">
        <v>686</v>
      </c>
      <c r="F456" s="9" t="s">
        <v>1688</v>
      </c>
      <c r="G456" s="9"/>
      <c r="H456" s="16" t="s">
        <v>512</v>
      </c>
      <c r="I456" s="9" t="b">
        <f t="shared" ref="I456:I487" si="10">ISNUMBER(SEARCH($I$2,H456))</f>
        <v>0</v>
      </c>
      <c r="J456" s="1" t="s">
        <v>459</v>
      </c>
      <c r="K456" s="1" t="s">
        <v>285</v>
      </c>
      <c r="L456" s="1" t="s">
        <v>285</v>
      </c>
      <c r="M456" s="9"/>
      <c r="N456" s="35"/>
      <c r="O456" s="2" t="s">
        <v>458</v>
      </c>
      <c r="P456" s="2" cm="1">
        <f t="array" ref="P456">_xlfn.XLOOKUP(TRIM(B456),TRIM('[1]wc-product-export-16-3-2026-177'!$A:$A),'[1]wc-product-export-16-3-2026-177'!$D:$D,0,0)</f>
        <v>0</v>
      </c>
      <c r="Q456" s="2" t="e" cm="1">
        <f t="array" ref="Q456">IF(TRIM($D456)="SET",IF($K456="Steak Set1",ROUNDDOWN(IFERROR(MIN(_xlfn._xlws.FILTER(O$3:O$650,ISNUMBER(MATCH(TRIM($B$3:$B$650),TRIM(_xlfn.TEXTSPLIT($N456,",")),0)))),0)/4,0)+P456,IF(IFERROR(MIN(_xlfn._xlws.FILTER(O$3:O$650,ISNUMBER(MATCH(TRIM($B$3:$B$650),TRIM(_xlfn.TEXTSPLIT($N456,",")),0)))),0)&gt;=$E$1,IFERROR(MIN(_xlfn._xlws.FILTER(O$3:O$650,ISNUMBER(MATCH(TRIM($B$3:$B$650),TRIM(_xlfn.TEXTSPLIT($N456,",")),0)))),0)+P456,P456)),IF(TRIM($D456)="EA",IF(TRIM($E456)="M",ROUNDUP(O456*0.85,0),IF(TRIM($E456)="P",O456,P456)),P456))</f>
        <v>#VALUE!</v>
      </c>
      <c r="T456" t="str" cm="1">
        <f t="array" ref="T456">IFERROR(IF(D456="SET",_xlfn.TEXTJOIN(", ",TRUE,_xlfn._xlws.FILTER(TRANSPOSE(TRIM(_xlfn.TEXTSPLIT(N456,","))),COUNTIFS(B$3:B$650,TRANSPOSE(TRIM(_xlfn.TEXTSPLIT(N456,","))),O$3:O$650,"&lt;="&amp;$T$1))),""),"")</f>
        <v/>
      </c>
    </row>
    <row r="457" spans="1:22" ht="14.4" hidden="1" x14ac:dyDescent="0.3">
      <c r="A457" s="1">
        <v>56739</v>
      </c>
      <c r="B457" s="1" t="s">
        <v>978</v>
      </c>
      <c r="C457" s="1" t="s">
        <v>1262</v>
      </c>
      <c r="D457" s="1" t="s">
        <v>624</v>
      </c>
      <c r="E457" s="1" t="s">
        <v>686</v>
      </c>
      <c r="F457" s="9" t="s">
        <v>1688</v>
      </c>
      <c r="G457" s="9"/>
      <c r="H457" s="16" t="s">
        <v>516</v>
      </c>
      <c r="I457" s="9" t="b">
        <f t="shared" si="10"/>
        <v>1</v>
      </c>
      <c r="J457" s="1" t="s">
        <v>459</v>
      </c>
      <c r="K457" s="1" t="s">
        <v>287</v>
      </c>
      <c r="L457" s="1" t="s">
        <v>287</v>
      </c>
      <c r="M457" s="9"/>
      <c r="N457" s="35"/>
      <c r="O457" s="2" t="s">
        <v>458</v>
      </c>
      <c r="P457" s="2" cm="1">
        <f t="array" ref="P457">_xlfn.XLOOKUP(TRIM(B457),TRIM('[1]wc-product-export-16-3-2026-177'!$A:$A),'[1]wc-product-export-16-3-2026-177'!$D:$D,0,0)</f>
        <v>0</v>
      </c>
      <c r="Q457" s="2" t="e" cm="1">
        <f t="array" ref="Q457">IF(TRIM($D457)="SET",IF($K457="Steak Set1",ROUNDDOWN(IFERROR(MIN(_xlfn._xlws.FILTER(O$3:O$650,ISNUMBER(MATCH(TRIM($B$3:$B$650),TRIM(_xlfn.TEXTSPLIT($N457,",")),0)))),0)/4,0)+P457,IF(IFERROR(MIN(_xlfn._xlws.FILTER(O$3:O$650,ISNUMBER(MATCH(TRIM($B$3:$B$650),TRIM(_xlfn.TEXTSPLIT($N457,",")),0)))),0)&gt;=$E$1,IFERROR(MIN(_xlfn._xlws.FILTER(O$3:O$650,ISNUMBER(MATCH(TRIM($B$3:$B$650),TRIM(_xlfn.TEXTSPLIT($N457,",")),0)))),0)+P457,P457)),IF(TRIM($D457)="EA",IF(TRIM($E457)="M",ROUNDUP(O457*0.85,0),IF(TRIM($E457)="P",O457,P457)),P457))</f>
        <v>#VALUE!</v>
      </c>
      <c r="T457" t="str" cm="1">
        <f t="array" ref="T457">IFERROR(IF(D457="SET",_xlfn.TEXTJOIN(", ",TRUE,_xlfn._xlws.FILTER(TRANSPOSE(TRIM(_xlfn.TEXTSPLIT(N457,","))),COUNTIFS(B$3:B$650,TRANSPOSE(TRIM(_xlfn.TEXTSPLIT(N457,","))),O$3:O$650,"&lt;="&amp;$T$1))),""),"")</f>
        <v/>
      </c>
    </row>
    <row r="458" spans="1:22" ht="14.4" hidden="1" x14ac:dyDescent="0.3">
      <c r="A458" s="1">
        <v>56740</v>
      </c>
      <c r="B458" s="1" t="s">
        <v>979</v>
      </c>
      <c r="C458" s="1" t="s">
        <v>1262</v>
      </c>
      <c r="D458" s="1" t="s">
        <v>624</v>
      </c>
      <c r="E458" s="1" t="s">
        <v>686</v>
      </c>
      <c r="F458" s="9" t="s">
        <v>1688</v>
      </c>
      <c r="G458" s="9"/>
      <c r="H458" s="16" t="s">
        <v>513</v>
      </c>
      <c r="I458" s="9" t="b">
        <f t="shared" si="10"/>
        <v>0</v>
      </c>
      <c r="J458" s="1" t="s">
        <v>459</v>
      </c>
      <c r="K458" s="1" t="s">
        <v>286</v>
      </c>
      <c r="L458" s="1" t="s">
        <v>286</v>
      </c>
      <c r="M458" s="9"/>
      <c r="N458" s="35"/>
      <c r="O458" s="2" t="s">
        <v>458</v>
      </c>
      <c r="P458" s="2" cm="1">
        <f t="array" ref="P458">_xlfn.XLOOKUP(TRIM(B458),TRIM('[1]wc-product-export-16-3-2026-177'!$A:$A),'[1]wc-product-export-16-3-2026-177'!$D:$D,0,0)</f>
        <v>0</v>
      </c>
      <c r="Q458" s="2" t="e" cm="1">
        <f t="array" ref="Q458">IF(TRIM($D458)="SET",IF($K458="Steak Set1",ROUNDDOWN(IFERROR(MIN(_xlfn._xlws.FILTER(O$3:O$650,ISNUMBER(MATCH(TRIM($B$3:$B$650),TRIM(_xlfn.TEXTSPLIT($N458,",")),0)))),0)/4,0)+P458,IF(IFERROR(MIN(_xlfn._xlws.FILTER(O$3:O$650,ISNUMBER(MATCH(TRIM($B$3:$B$650),TRIM(_xlfn.TEXTSPLIT($N458,",")),0)))),0)&gt;=$E$1,IFERROR(MIN(_xlfn._xlws.FILTER(O$3:O$650,ISNUMBER(MATCH(TRIM($B$3:$B$650),TRIM(_xlfn.TEXTSPLIT($N458,",")),0)))),0)+P458,P458)),IF(TRIM($D458)="EA",IF(TRIM($E458)="M",ROUNDUP(O458*0.85,0),IF(TRIM($E458)="P",O458,P458)),P458))</f>
        <v>#VALUE!</v>
      </c>
      <c r="T458" t="str" cm="1">
        <f t="array" ref="T458">IFERROR(IF(D458="SET",_xlfn.TEXTJOIN(", ",TRUE,_xlfn._xlws.FILTER(TRANSPOSE(TRIM(_xlfn.TEXTSPLIT(N458,","))),COUNTIFS(B$3:B$650,TRANSPOSE(TRIM(_xlfn.TEXTSPLIT(N458,","))),O$3:O$650,"&lt;="&amp;$T$1))),""),"")</f>
        <v/>
      </c>
    </row>
    <row r="459" spans="1:22" ht="14.4" hidden="1" x14ac:dyDescent="0.3">
      <c r="A459" s="1">
        <v>56777</v>
      </c>
      <c r="B459" s="1" t="s">
        <v>980</v>
      </c>
      <c r="C459" s="1" t="s">
        <v>1262</v>
      </c>
      <c r="D459" s="1" t="s">
        <v>624</v>
      </c>
      <c r="E459" s="1" t="s">
        <v>686</v>
      </c>
      <c r="F459" s="9" t="s">
        <v>1688</v>
      </c>
      <c r="G459" s="9"/>
      <c r="H459" s="16" t="s">
        <v>514</v>
      </c>
      <c r="I459" s="9" t="b">
        <f t="shared" si="10"/>
        <v>1</v>
      </c>
      <c r="J459" s="1" t="s">
        <v>459</v>
      </c>
      <c r="K459" s="1" t="s">
        <v>287</v>
      </c>
      <c r="L459" s="1" t="s">
        <v>287</v>
      </c>
      <c r="M459" s="9"/>
      <c r="N459" s="35"/>
      <c r="O459" s="2" t="s">
        <v>458</v>
      </c>
      <c r="P459" s="2" cm="1">
        <f t="array" ref="P459">_xlfn.XLOOKUP(TRIM(B459),TRIM('[1]wc-product-export-16-3-2026-177'!$A:$A),'[1]wc-product-export-16-3-2026-177'!$D:$D,0,0)</f>
        <v>0</v>
      </c>
      <c r="Q459" s="2" t="e" cm="1">
        <f t="array" ref="Q459">IF(TRIM($D459)="SET",IF($K459="Steak Set1",ROUNDDOWN(IFERROR(MIN(_xlfn._xlws.FILTER(O$3:O$650,ISNUMBER(MATCH(TRIM($B$3:$B$650),TRIM(_xlfn.TEXTSPLIT($N459,",")),0)))),0)/4,0)+P459,IF(IFERROR(MIN(_xlfn._xlws.FILTER(O$3:O$650,ISNUMBER(MATCH(TRIM($B$3:$B$650),TRIM(_xlfn.TEXTSPLIT($N459,",")),0)))),0)&gt;=$E$1,IFERROR(MIN(_xlfn._xlws.FILTER(O$3:O$650,ISNUMBER(MATCH(TRIM($B$3:$B$650),TRIM(_xlfn.TEXTSPLIT($N459,",")),0)))),0)+P459,P459)),IF(TRIM($D459)="EA",IF(TRIM($E459)="M",ROUNDUP(O459*0.85,0),IF(TRIM($E459)="P",O459,P459)),P459))</f>
        <v>#VALUE!</v>
      </c>
      <c r="T459" t="str" cm="1">
        <f t="array" ref="T459">IFERROR(IF(D459="SET",_xlfn.TEXTJOIN(", ",TRUE,_xlfn._xlws.FILTER(TRANSPOSE(TRIM(_xlfn.TEXTSPLIT(N459,","))),COUNTIFS(B$3:B$650,TRANSPOSE(TRIM(_xlfn.TEXTSPLIT(N459,","))),O$3:O$650,"&lt;="&amp;$T$1))),""),"")</f>
        <v/>
      </c>
    </row>
    <row r="460" spans="1:22" ht="14.4" hidden="1" x14ac:dyDescent="0.3">
      <c r="A460" s="1">
        <v>56778</v>
      </c>
      <c r="B460" s="1" t="s">
        <v>981</v>
      </c>
      <c r="C460" s="1" t="s">
        <v>1262</v>
      </c>
      <c r="D460" s="1" t="s">
        <v>624</v>
      </c>
      <c r="E460" s="1" t="s">
        <v>686</v>
      </c>
      <c r="F460" s="9" t="s">
        <v>1688</v>
      </c>
      <c r="G460" s="9"/>
      <c r="H460" s="16" t="s">
        <v>515</v>
      </c>
      <c r="I460" s="9" t="b">
        <f t="shared" si="10"/>
        <v>1</v>
      </c>
      <c r="J460" s="1" t="s">
        <v>459</v>
      </c>
      <c r="K460" s="1" t="s">
        <v>287</v>
      </c>
      <c r="L460" s="1" t="s">
        <v>287</v>
      </c>
      <c r="M460" s="9"/>
      <c r="N460" s="35"/>
      <c r="O460" s="2" t="s">
        <v>458</v>
      </c>
      <c r="P460" s="2" cm="1">
        <f t="array" ref="P460">_xlfn.XLOOKUP(TRIM(B460),TRIM('[1]wc-product-export-16-3-2026-177'!$A:$A),'[1]wc-product-export-16-3-2026-177'!$D:$D,0,0)</f>
        <v>0</v>
      </c>
      <c r="Q460" s="2" t="e" cm="1">
        <f t="array" ref="Q460">IF(TRIM($D460)="SET",IF($K460="Steak Set1",ROUNDDOWN(IFERROR(MIN(_xlfn._xlws.FILTER(O$3:O$650,ISNUMBER(MATCH(TRIM($B$3:$B$650),TRIM(_xlfn.TEXTSPLIT($N460,",")),0)))),0)/4,0)+P460,IF(IFERROR(MIN(_xlfn._xlws.FILTER(O$3:O$650,ISNUMBER(MATCH(TRIM($B$3:$B$650),TRIM(_xlfn.TEXTSPLIT($N460,",")),0)))),0)&gt;=$E$1,IFERROR(MIN(_xlfn._xlws.FILTER(O$3:O$650,ISNUMBER(MATCH(TRIM($B$3:$B$650),TRIM(_xlfn.TEXTSPLIT($N460,",")),0)))),0)+P460,P460)),IF(TRIM($D460)="EA",IF(TRIM($E460)="M",ROUNDUP(O460*0.85,0),IF(TRIM($E460)="P",O460,P460)),P460))</f>
        <v>#VALUE!</v>
      </c>
      <c r="T460" t="str" cm="1">
        <f t="array" ref="T460">IFERROR(IF(D460="SET",_xlfn.TEXTJOIN(", ",TRUE,_xlfn._xlws.FILTER(TRANSPOSE(TRIM(_xlfn.TEXTSPLIT(N460,","))),COUNTIFS(B$3:B$650,TRANSPOSE(TRIM(_xlfn.TEXTSPLIT(N460,","))),O$3:O$650,"&lt;="&amp;$T$1))),""),"")</f>
        <v/>
      </c>
    </row>
    <row r="461" spans="1:22" ht="14.4" x14ac:dyDescent="0.3">
      <c r="A461" s="1">
        <v>56780</v>
      </c>
      <c r="B461" s="1" t="s">
        <v>1207</v>
      </c>
      <c r="C461" s="1" t="s">
        <v>1259</v>
      </c>
      <c r="D461" s="1" t="s">
        <v>628</v>
      </c>
      <c r="E461" s="1" t="s">
        <v>686</v>
      </c>
      <c r="F461" s="9" t="s">
        <v>1689</v>
      </c>
      <c r="G461" s="9"/>
      <c r="H461" s="16" t="s">
        <v>1208</v>
      </c>
      <c r="I461" s="9" t="b">
        <f t="shared" si="10"/>
        <v>0</v>
      </c>
      <c r="J461" s="1" t="s">
        <v>459</v>
      </c>
      <c r="L461" s="1" t="s">
        <v>1745</v>
      </c>
      <c r="M461" s="9"/>
      <c r="N461" s="35" t="s">
        <v>1373</v>
      </c>
      <c r="O461" s="2" t="s">
        <v>458</v>
      </c>
      <c r="P461" s="2" cm="1">
        <f t="array" ref="P461">_xlfn.XLOOKUP(TRIM(B461),TRIM('[1]wc-product-export-16-3-2026-177'!$A:$A),'[1]wc-product-export-16-3-2026-177'!$D:$D,0,0)</f>
        <v>0</v>
      </c>
      <c r="Q461" s="2" cm="1">
        <f t="array" ref="Q461">IF(TRIM($D461)="SET",IF($K461="Steak Set1",ROUNDDOWN(IFERROR(MIN(_xlfn._xlws.FILTER(O$3:O$650,ISNUMBER(MATCH(TRIM($B$3:$B$650),TRIM(_xlfn.TEXTSPLIT($N461,",")),0)))),0)/4,0)+P461,IF(IFERROR(MIN(_xlfn._xlws.FILTER(O$3:O$650,ISNUMBER(MATCH(TRIM($B$3:$B$650),TRIM(_xlfn.TEXTSPLIT($N461,",")),0)))),0)&gt;=$E$1,IFERROR(MIN(_xlfn._xlws.FILTER(O$3:O$650,ISNUMBER(MATCH(TRIM($B$3:$B$650),TRIM(_xlfn.TEXTSPLIT($N461,",")),0)))),0)+P461,P461)),IF(TRIM($D461)="EA",IF(TRIM($E461)="M",ROUNDUP(O461*0.85,0),IF(TRIM($E461)="P",O461,P461)),P461))</f>
        <v>0</v>
      </c>
      <c r="T461" t="str" cm="1">
        <f t="array" ref="T461">IFERROR(IF(D461="SET",_xlfn.TEXTJOIN(", ",TRUE,_xlfn._xlws.FILTER(TRANSPOSE(TRIM(_xlfn.TEXTSPLIT(N461,","))),COUNTIFS(B$3:B$650,TRANSPOSE(TRIM(_xlfn.TEXTSPLIT(N461,","))),O$3:O$650,"&lt;="&amp;$T$1))),""),"")</f>
        <v/>
      </c>
    </row>
    <row r="462" spans="1:22" ht="14.4" x14ac:dyDescent="0.3">
      <c r="A462" s="1">
        <v>56781</v>
      </c>
      <c r="B462" s="1" t="s">
        <v>1222</v>
      </c>
      <c r="C462" s="1" t="s">
        <v>1259</v>
      </c>
      <c r="D462" s="1" t="s">
        <v>628</v>
      </c>
      <c r="E462" s="1" t="s">
        <v>686</v>
      </c>
      <c r="F462" s="9" t="s">
        <v>1689</v>
      </c>
      <c r="G462" s="9"/>
      <c r="H462" s="16" t="s">
        <v>1223</v>
      </c>
      <c r="I462" s="9" t="b">
        <f t="shared" si="10"/>
        <v>0</v>
      </c>
      <c r="J462" s="1" t="s">
        <v>1530</v>
      </c>
      <c r="L462" s="1" t="s">
        <v>1745</v>
      </c>
      <c r="M462" s="9"/>
      <c r="N462" s="35" t="s">
        <v>1374</v>
      </c>
      <c r="O462" s="2" t="s">
        <v>458</v>
      </c>
      <c r="P462" s="2" cm="1">
        <f t="array" ref="P462">_xlfn.XLOOKUP(TRIM(B462),TRIM('[1]wc-product-export-16-3-2026-177'!$A:$A),'[1]wc-product-export-16-3-2026-177'!$D:$D,0,0)</f>
        <v>0</v>
      </c>
      <c r="Q462" s="2" cm="1">
        <f t="array" ref="Q462">IF(TRIM($D462)="SET",IF($K462="Steak Set1",ROUNDDOWN(IFERROR(MIN(_xlfn._xlws.FILTER(O$3:O$650,ISNUMBER(MATCH(TRIM($B$3:$B$650),TRIM(_xlfn.TEXTSPLIT($N462,",")),0)))),0)/4,0)+P462,IF(IFERROR(MIN(_xlfn._xlws.FILTER(O$3:O$650,ISNUMBER(MATCH(TRIM($B$3:$B$650),TRIM(_xlfn.TEXTSPLIT($N462,",")),0)))),0)&gt;=$E$1,IFERROR(MIN(_xlfn._xlws.FILTER(O$3:O$650,ISNUMBER(MATCH(TRIM($B$3:$B$650),TRIM(_xlfn.TEXTSPLIT($N462,",")),0)))),0)+P462,P462)),IF(TRIM($D462)="EA",IF(TRIM($E462)="M",ROUNDUP(O462*0.85,0),IF(TRIM($E462)="P",O462,P462)),P462))</f>
        <v>0</v>
      </c>
      <c r="T462" t="str" cm="1">
        <f t="array" ref="T462">IFERROR(IF(D462="SET",_xlfn.TEXTJOIN(", ",TRUE,_xlfn._xlws.FILTER(TRANSPOSE(TRIM(_xlfn.TEXTSPLIT(N462,","))),COUNTIFS(B$3:B$650,TRANSPOSE(TRIM(_xlfn.TEXTSPLIT(N462,","))),O$3:O$650,"&lt;="&amp;$T$1))),""),"")</f>
        <v/>
      </c>
    </row>
    <row r="463" spans="1:22" ht="14.4" x14ac:dyDescent="0.3">
      <c r="A463" s="1">
        <v>59900</v>
      </c>
      <c r="B463" s="56" t="s">
        <v>995</v>
      </c>
      <c r="C463" s="1" t="s">
        <v>1261</v>
      </c>
      <c r="D463" s="1" t="s">
        <v>624</v>
      </c>
      <c r="E463" s="1" t="s">
        <v>686</v>
      </c>
      <c r="F463" s="9"/>
      <c r="G463" s="9"/>
      <c r="H463" s="16" t="s">
        <v>20</v>
      </c>
      <c r="I463" s="9" t="b">
        <f t="shared" si="10"/>
        <v>0</v>
      </c>
      <c r="J463" s="1" t="s">
        <v>402</v>
      </c>
      <c r="K463" s="1" t="s">
        <v>265</v>
      </c>
      <c r="L463" s="1" t="s">
        <v>265</v>
      </c>
      <c r="M463" s="9"/>
      <c r="N463" s="35"/>
      <c r="O463" s="24">
        <v>22</v>
      </c>
      <c r="P463" s="2" cm="1">
        <f t="array" ref="P463">_xlfn.XLOOKUP(TRIM(B463),TRIM('[1]wc-product-export-16-3-2026-177'!$A:$A),'[1]wc-product-export-16-3-2026-177'!$D:$D,0,0)</f>
        <v>0</v>
      </c>
      <c r="Q463" s="2" cm="1">
        <f t="array" ref="Q463">IF(TRIM($D463)="SET",IF($K463="Steak Set1",ROUNDDOWN(IFERROR(MIN(_xlfn._xlws.FILTER(O$3:O$650,ISNUMBER(MATCH(TRIM($B$3:$B$650),TRIM(_xlfn.TEXTSPLIT($N463,",")),0)))),0)/4,0)+P463,IF(IFERROR(MIN(_xlfn._xlws.FILTER(O$3:O$650,ISNUMBER(MATCH(TRIM($B$3:$B$650),TRIM(_xlfn.TEXTSPLIT($N463,",")),0)))),0)&gt;=$E$1,IFERROR(MIN(_xlfn._xlws.FILTER(O$3:O$650,ISNUMBER(MATCH(TRIM($B$3:$B$650),TRIM(_xlfn.TEXTSPLIT($N463,",")),0)))),0)+P463,P463)),IF(TRIM($D463)="EA",IF(TRIM($E463)="M",ROUNDUP(O463*0.85,0),IF(TRIM($E463)="P",O463,P463)),P463))</f>
        <v>19</v>
      </c>
      <c r="T463" t="str" cm="1">
        <f t="array" ref="T463">IFERROR(IF(D463="SET",_xlfn.TEXTJOIN(", ",TRUE,_xlfn._xlws.FILTER(TRANSPOSE(TRIM(_xlfn.TEXTSPLIT(N463,","))),COUNTIFS(B$3:B$650,TRANSPOSE(TRIM(_xlfn.TEXTSPLIT(N463,","))),O$3:O$650,"&lt;="&amp;$T$1))),""),"")</f>
        <v/>
      </c>
    </row>
    <row r="464" spans="1:22" ht="14.4" x14ac:dyDescent="0.3">
      <c r="A464" s="1">
        <v>59901</v>
      </c>
      <c r="B464" s="55" t="s">
        <v>996</v>
      </c>
      <c r="C464" s="1" t="s">
        <v>1261</v>
      </c>
      <c r="D464" s="1" t="s">
        <v>628</v>
      </c>
      <c r="E464" s="1" t="s">
        <v>686</v>
      </c>
      <c r="F464" s="9"/>
      <c r="G464" s="9"/>
      <c r="H464" s="16" t="s">
        <v>517</v>
      </c>
      <c r="I464" s="9" t="b">
        <f t="shared" si="10"/>
        <v>0</v>
      </c>
      <c r="J464" s="1" t="s">
        <v>402</v>
      </c>
      <c r="K464" s="1" t="s">
        <v>1715</v>
      </c>
      <c r="L464" s="1" t="s">
        <v>1715</v>
      </c>
      <c r="M464" s="9"/>
      <c r="N464" s="35" t="s">
        <v>1321</v>
      </c>
      <c r="O464" s="24">
        <v>13</v>
      </c>
      <c r="P464" s="2" cm="1">
        <f t="array" ref="P464">_xlfn.XLOOKUP(TRIM(B464),TRIM('[1]wc-product-export-16-3-2026-177'!$A:$A),'[1]wc-product-export-16-3-2026-177'!$D:$D,0,0)</f>
        <v>0</v>
      </c>
      <c r="Q464" s="2" cm="1">
        <f t="array" ref="Q464">IF(TRIM($D464)="SET",IF($K464="Steak Set1",ROUNDDOWN(IFERROR(MIN(_xlfn._xlws.FILTER(O$3:O$650,ISNUMBER(MATCH(TRIM($B$3:$B$650),TRIM(_xlfn.TEXTSPLIT($N464,",")),0)))),0)/4,0)+P464,IF(IFERROR(MIN(_xlfn._xlws.FILTER(O$3:O$650,ISNUMBER(MATCH(TRIM($B$3:$B$650),TRIM(_xlfn.TEXTSPLIT($N464,",")),0)))),0)&gt;=$E$1,IFERROR(MIN(_xlfn._xlws.FILTER(O$3:O$650,ISNUMBER(MATCH(TRIM($B$3:$B$650),TRIM(_xlfn.TEXTSPLIT($N464,",")),0)))),0)+P464,P464)),IF(TRIM($D464)="EA",IF(TRIM($E464)="M",ROUNDUP(O464*0.85,0),IF(TRIM($E464)="P",O464,P464)),P464))</f>
        <v>13</v>
      </c>
      <c r="T464" t="str" cm="1">
        <f t="array" ref="T464">IFERROR(IF(D464="SET",_xlfn.TEXTJOIN(", ",TRUE,_xlfn._xlws.FILTER(TRANSPOSE(TRIM(_xlfn.TEXTSPLIT(N464,","))),COUNTIFS(B$3:B$650,TRANSPOSE(TRIM(_xlfn.TEXTSPLIT(N464,","))),O$3:O$650,"&lt;="&amp;$T$1))),""),"")</f>
        <v/>
      </c>
      <c r="V464" s="52"/>
    </row>
    <row r="465" spans="1:22" ht="14.4" x14ac:dyDescent="0.3">
      <c r="A465" s="1">
        <v>59902</v>
      </c>
      <c r="B465" s="55" t="s">
        <v>997</v>
      </c>
      <c r="C465" s="1" t="s">
        <v>1261</v>
      </c>
      <c r="D465" s="1" t="s">
        <v>628</v>
      </c>
      <c r="E465" s="1" t="s">
        <v>686</v>
      </c>
      <c r="F465" s="9"/>
      <c r="G465" s="9"/>
      <c r="H465" s="16" t="s">
        <v>518</v>
      </c>
      <c r="I465" s="9" t="b">
        <f t="shared" si="10"/>
        <v>0</v>
      </c>
      <c r="J465" s="1" t="s">
        <v>402</v>
      </c>
      <c r="K465" s="1" t="s">
        <v>280</v>
      </c>
      <c r="L465" s="1" t="s">
        <v>1716</v>
      </c>
      <c r="M465" s="9"/>
      <c r="N465" s="35" t="s">
        <v>1322</v>
      </c>
      <c r="O465" s="24">
        <v>13</v>
      </c>
      <c r="P465" s="2" cm="1">
        <f t="array" ref="P465">_xlfn.XLOOKUP(TRIM(B465),TRIM('[1]wc-product-export-16-3-2026-177'!$A:$A),'[1]wc-product-export-16-3-2026-177'!$D:$D,0,0)</f>
        <v>0</v>
      </c>
      <c r="Q465" s="2" cm="1">
        <f t="array" ref="Q465">IF(TRIM($D465)="SET",IF($K465="Steak Set1",ROUNDDOWN(IFERROR(MIN(_xlfn._xlws.FILTER(O$3:O$650,ISNUMBER(MATCH(TRIM($B$3:$B$650),TRIM(_xlfn.TEXTSPLIT($N465,",")),0)))),0)/4,0)+P465,IF(IFERROR(MIN(_xlfn._xlws.FILTER(O$3:O$650,ISNUMBER(MATCH(TRIM($B$3:$B$650),TRIM(_xlfn.TEXTSPLIT($N465,",")),0)))),0)&gt;=$E$1,IFERROR(MIN(_xlfn._xlws.FILTER(O$3:O$650,ISNUMBER(MATCH(TRIM($B$3:$B$650),TRIM(_xlfn.TEXTSPLIT($N465,",")),0)))),0)+P465,P465)),IF(TRIM($D465)="EA",IF(TRIM($E465)="M",ROUNDUP(O465*0.85,0),IF(TRIM($E465)="P",O465,P465)),P465))</f>
        <v>13</v>
      </c>
      <c r="T465" t="str" cm="1">
        <f t="array" ref="T465">IFERROR(IF(D465="SET",_xlfn.TEXTJOIN(", ",TRUE,_xlfn._xlws.FILTER(TRANSPOSE(TRIM(_xlfn.TEXTSPLIT(N465,","))),COUNTIFS(B$3:B$650,TRANSPOSE(TRIM(_xlfn.TEXTSPLIT(N465,","))),O$3:O$650,"&lt;="&amp;$T$1))),""),"")</f>
        <v/>
      </c>
    </row>
    <row r="466" spans="1:22" ht="24" x14ac:dyDescent="0.3">
      <c r="A466" s="1">
        <v>59903</v>
      </c>
      <c r="B466" s="1" t="s">
        <v>998</v>
      </c>
      <c r="C466" s="1" t="s">
        <v>1261</v>
      </c>
      <c r="D466" s="1" t="s">
        <v>628</v>
      </c>
      <c r="E466" s="1" t="s">
        <v>686</v>
      </c>
      <c r="F466" s="9" t="s">
        <v>1608</v>
      </c>
      <c r="G466" s="9" t="s">
        <v>1534</v>
      </c>
      <c r="H466" s="53" t="s">
        <v>519</v>
      </c>
      <c r="I466" s="9" t="b">
        <f t="shared" si="10"/>
        <v>0</v>
      </c>
      <c r="J466" s="1" t="s">
        <v>402</v>
      </c>
      <c r="K466" s="1" t="s">
        <v>1714</v>
      </c>
      <c r="L466" s="1" t="s">
        <v>1720</v>
      </c>
      <c r="M466" s="9">
        <v>2</v>
      </c>
      <c r="N466" s="35" t="s">
        <v>1324</v>
      </c>
      <c r="O466" s="2" t="s">
        <v>458</v>
      </c>
      <c r="P466" s="2" cm="1">
        <f t="array" ref="P466">_xlfn.XLOOKUP(TRIM(B466),TRIM('[1]wc-product-export-16-3-2026-177'!$A:$A),'[1]wc-product-export-16-3-2026-177'!$D:$D,0,0)</f>
        <v>0</v>
      </c>
      <c r="Q466" s="66" cm="1">
        <f t="array" ref="Q466">_xlfn.LET(_xlpm.items,TRIM(_xlfn.TEXTSPLIT($N466,",")),_xlpm.codes,TRIM($B$3:$B$650),_xlpm.qty,$O$3:$O$650,_xlpm.setMask,ISNUMBER(MATCH(_xlpm.codes,_xlpm.items,0)),_xlpm.knifeType,IF(ISNUMBER(SEARCH("fine",$H466)),"15",IF(ISNUMBER(SEARCH("serr",$H466)),"20","")),_xlpm.knifeStock,IFERROR(MIN(IF(_xlpm.setMask*(RIGHT(_xlpm.codes,2)=_xlpm.knifeType),_xlpm.qty)),0),_xlpm.otherStock,IFERROR(MIN(IF(_xlpm.setMask*(RIGHT(_xlpm.codes,2)&lt;&gt;_xlpm.knifeType),_xlpm.qty)),0),IF(_xlpm.knifeStock&gt;=8,MIN(ROUNDDOWN(_xlpm.knifeStock/8,0),_xlpm.otherStock),0)+P466)</f>
        <v>0</v>
      </c>
      <c r="T466" t="str" cm="1">
        <f t="array" ref="T466">IFERROR(IF(D466="SET",_xlfn.TEXTJOIN(", ",TRUE,_xlfn._xlws.FILTER(TRANSPOSE(TRIM(_xlfn.TEXTSPLIT(N466,","))),COUNTIFS(B$3:B$650,TRANSPOSE(TRIM(_xlfn.TEXTSPLIT(N466,","))),O$3:O$650,"&lt;="&amp;$T$1))),""),"")</f>
        <v>59920</v>
      </c>
      <c r="V466" s="52"/>
    </row>
    <row r="467" spans="1:22" ht="24" x14ac:dyDescent="0.3">
      <c r="A467" s="1">
        <v>59904</v>
      </c>
      <c r="B467" s="1" t="s">
        <v>999</v>
      </c>
      <c r="C467" s="1" t="s">
        <v>1261</v>
      </c>
      <c r="D467" s="1" t="s">
        <v>628</v>
      </c>
      <c r="E467" s="1" t="s">
        <v>686</v>
      </c>
      <c r="F467" s="9" t="s">
        <v>1608</v>
      </c>
      <c r="G467" s="9" t="s">
        <v>1534</v>
      </c>
      <c r="H467" s="16" t="s">
        <v>520</v>
      </c>
      <c r="I467" s="9" t="b">
        <f t="shared" si="10"/>
        <v>0</v>
      </c>
      <c r="J467" s="1" t="s">
        <v>402</v>
      </c>
      <c r="K467" s="1" t="s">
        <v>1714</v>
      </c>
      <c r="L467" s="1" t="s">
        <v>1720</v>
      </c>
      <c r="M467" s="9">
        <v>2</v>
      </c>
      <c r="N467" s="35" t="s">
        <v>1325</v>
      </c>
      <c r="O467" s="2" t="s">
        <v>458</v>
      </c>
      <c r="P467" s="2" cm="1">
        <f t="array" ref="P467">_xlfn.XLOOKUP(TRIM(B467),TRIM('[1]wc-product-export-16-3-2026-177'!$A:$A),'[1]wc-product-export-16-3-2026-177'!$D:$D,0,0)</f>
        <v>0</v>
      </c>
      <c r="Q467" s="66" cm="1">
        <f t="array" ref="Q467">_xlfn.LET(_xlpm.items,TRIM(_xlfn.TEXTSPLIT($N467,",")),_xlpm.codes,TRIM($B$3:$B$650),_xlpm.qty,$O$3:$O$650,_xlpm.setMask,ISNUMBER(MATCH(_xlpm.codes,_xlpm.items,0)),_xlpm.knifeType,IF(ISNUMBER(SEARCH("fine",$H467)),"15",IF(ISNUMBER(SEARCH("serr",$H467)),"20","")),_xlpm.knifeStock,IFERROR(MIN(IF(_xlpm.setMask*(RIGHT(_xlpm.codes,2)=_xlpm.knifeType),_xlpm.qty)),0),_xlpm.otherStock,IFERROR(MIN(IF(_xlpm.setMask*(RIGHT(_xlpm.codes,2)&lt;&gt;_xlpm.knifeType),_xlpm.qty)),0),IF(_xlpm.knifeStock&gt;=8,MIN(ROUNDDOWN(_xlpm.knifeStock/8,0),_xlpm.otherStock),0)+P467)</f>
        <v>2</v>
      </c>
      <c r="T467" t="str" cm="1">
        <f t="array" ref="T467">IFERROR(IF(D467="SET",_xlfn.TEXTJOIN(", ",TRUE,_xlfn._xlws.FILTER(TRANSPOSE(TRIM(_xlfn.TEXTSPLIT(N467,","))),COUNTIFS(B$3:B$650,TRANSPOSE(TRIM(_xlfn.TEXTSPLIT(N467,","))),O$3:O$650,"&lt;="&amp;$T$1))),""),"")</f>
        <v/>
      </c>
    </row>
    <row r="468" spans="1:22" ht="24" x14ac:dyDescent="0.3">
      <c r="A468" s="1">
        <v>59905</v>
      </c>
      <c r="B468" s="1" t="s">
        <v>1000</v>
      </c>
      <c r="C468" s="1" t="s">
        <v>1261</v>
      </c>
      <c r="D468" s="1" t="s">
        <v>628</v>
      </c>
      <c r="E468" s="1" t="s">
        <v>686</v>
      </c>
      <c r="F468" s="9" t="s">
        <v>1608</v>
      </c>
      <c r="G468" s="9" t="s">
        <v>1534</v>
      </c>
      <c r="H468" s="16" t="s">
        <v>521</v>
      </c>
      <c r="I468" s="9" t="b">
        <f t="shared" si="10"/>
        <v>0</v>
      </c>
      <c r="J468" s="1" t="s">
        <v>402</v>
      </c>
      <c r="K468" s="1" t="s">
        <v>1714</v>
      </c>
      <c r="L468" s="1" t="s">
        <v>1719</v>
      </c>
      <c r="M468" s="9">
        <v>2</v>
      </c>
      <c r="N468" s="35" t="s">
        <v>1327</v>
      </c>
      <c r="O468" s="2" t="s">
        <v>458</v>
      </c>
      <c r="P468" s="2" cm="1">
        <f t="array" ref="P468">_xlfn.XLOOKUP(TRIM(B468),TRIM('[1]wc-product-export-16-3-2026-177'!$A:$A),'[1]wc-product-export-16-3-2026-177'!$D:$D,0,0)</f>
        <v>0</v>
      </c>
      <c r="Q468" s="66" cm="1">
        <f t="array" ref="Q468">_xlfn.LET(_xlpm.items,TRIM(_xlfn.TEXTSPLIT($N468,",")),_xlpm.codes,TRIM($B$3:$B$650),_xlpm.qty,$O$3:$O$650,_xlpm.setMask,ISNUMBER(MATCH(_xlpm.codes,_xlpm.items,0)),_xlpm.knifeType,IF(ISNUMBER(SEARCH("fine",$H468)),"15",IF(ISNUMBER(SEARCH("serr",$H468)),"20","")),_xlpm.knifeStock,IFERROR(MIN(IF(_xlpm.setMask*(RIGHT(_xlpm.codes,2)=_xlpm.knifeType),_xlpm.qty)),0),_xlpm.otherStock,IFERROR(MIN(IF(_xlpm.setMask*(RIGHT(_xlpm.codes,2)&lt;&gt;_xlpm.knifeType),_xlpm.qty)),0),IF(_xlpm.knifeStock&gt;=8,MIN(ROUNDDOWN(_xlpm.knifeStock/8,0),_xlpm.otherStock),0)+P468)</f>
        <v>0</v>
      </c>
      <c r="T468" t="str" cm="1">
        <f t="array" ref="T468">IFERROR(IF(D468="SET",_xlfn.TEXTJOIN(", ",TRUE,_xlfn._xlws.FILTER(TRANSPOSE(TRIM(_xlfn.TEXTSPLIT(N468,","))),COUNTIFS(B$3:B$650,TRANSPOSE(TRIM(_xlfn.TEXTSPLIT(N468,","))),O$3:O$650,"&lt;="&amp;$T$1))),""),"")</f>
        <v>59920</v>
      </c>
    </row>
    <row r="469" spans="1:22" ht="24" x14ac:dyDescent="0.3">
      <c r="A469" s="1">
        <v>59906</v>
      </c>
      <c r="B469" s="1" t="s">
        <v>1001</v>
      </c>
      <c r="C469" s="1" t="s">
        <v>1261</v>
      </c>
      <c r="D469" s="1" t="s">
        <v>628</v>
      </c>
      <c r="E469" s="1" t="s">
        <v>686</v>
      </c>
      <c r="F469" s="9" t="s">
        <v>1608</v>
      </c>
      <c r="G469" s="9" t="s">
        <v>1534</v>
      </c>
      <c r="H469" s="16" t="s">
        <v>522</v>
      </c>
      <c r="I469" s="9" t="b">
        <f t="shared" si="10"/>
        <v>0</v>
      </c>
      <c r="J469" s="1" t="s">
        <v>402</v>
      </c>
      <c r="K469" s="1" t="s">
        <v>1714</v>
      </c>
      <c r="L469" s="1" t="s">
        <v>1719</v>
      </c>
      <c r="M469" s="9">
        <v>2</v>
      </c>
      <c r="N469" s="35" t="s">
        <v>1326</v>
      </c>
      <c r="O469" s="2" t="s">
        <v>458</v>
      </c>
      <c r="P469" s="2" cm="1">
        <f t="array" ref="P469">_xlfn.XLOOKUP(TRIM(B469),TRIM('[1]wc-product-export-16-3-2026-177'!$A:$A),'[1]wc-product-export-16-3-2026-177'!$D:$D,0,0)</f>
        <v>0</v>
      </c>
      <c r="Q469" s="66" cm="1">
        <f t="array" ref="Q469">_xlfn.LET(_xlpm.items,TRIM(_xlfn.TEXTSPLIT($N469,",")),_xlpm.codes,TRIM($B$3:$B$650),_xlpm.qty,$O$3:$O$650,_xlpm.setMask,ISNUMBER(MATCH(_xlpm.codes,_xlpm.items,0)),_xlpm.knifeType,IF(ISNUMBER(SEARCH("fine",$H469)),"15",IF(ISNUMBER(SEARCH("serr",$H469)),"20","")),_xlpm.knifeStock,IFERROR(MIN(IF(_xlpm.setMask*(RIGHT(_xlpm.codes,2)=_xlpm.knifeType),_xlpm.qty)),0),_xlpm.otherStock,IFERROR(MIN(IF(_xlpm.setMask*(RIGHT(_xlpm.codes,2)&lt;&gt;_xlpm.knifeType),_xlpm.qty)),0),IF(_xlpm.knifeStock&gt;=8,MIN(ROUNDDOWN(_xlpm.knifeStock/8,0),_xlpm.otherStock),0)+P469)</f>
        <v>2</v>
      </c>
      <c r="T469" t="str" cm="1">
        <f t="array" ref="T469">IFERROR(IF(D469="SET",_xlfn.TEXTJOIN(", ",TRUE,_xlfn._xlws.FILTER(TRANSPOSE(TRIM(_xlfn.TEXTSPLIT(N469,","))),COUNTIFS(B$3:B$650,TRANSPOSE(TRIM(_xlfn.TEXTSPLIT(N469,","))),O$3:O$650,"&lt;="&amp;$T$1))),""),"")</f>
        <v/>
      </c>
    </row>
    <row r="470" spans="1:22" ht="14.4" x14ac:dyDescent="0.3">
      <c r="A470" s="1">
        <v>59907</v>
      </c>
      <c r="B470" s="55" t="s">
        <v>1002</v>
      </c>
      <c r="C470" s="1" t="s">
        <v>1261</v>
      </c>
      <c r="D470" s="1" t="s">
        <v>624</v>
      </c>
      <c r="E470" s="1" t="s">
        <v>686</v>
      </c>
      <c r="F470" s="9" t="s">
        <v>1688</v>
      </c>
      <c r="G470" s="9"/>
      <c r="H470" s="16" t="s">
        <v>19</v>
      </c>
      <c r="I470" s="9" t="b">
        <f t="shared" si="10"/>
        <v>0</v>
      </c>
      <c r="J470" s="1" t="s">
        <v>402</v>
      </c>
      <c r="K470" s="1" t="s">
        <v>266</v>
      </c>
      <c r="L470" s="1" t="s">
        <v>266</v>
      </c>
      <c r="M470" s="9"/>
      <c r="N470" s="35"/>
      <c r="O470" s="24">
        <v>0</v>
      </c>
      <c r="P470" s="2" cm="1">
        <f t="array" ref="P470">_xlfn.XLOOKUP(TRIM(B470),TRIM('[1]wc-product-export-16-3-2026-177'!$A:$A),'[1]wc-product-export-16-3-2026-177'!$D:$D,0,0)</f>
        <v>0</v>
      </c>
      <c r="Q470" s="2" cm="1">
        <f t="array" ref="Q470">IF(TRIM($D470)="SET",IF($K470="Steak Set1",ROUNDDOWN(IFERROR(MIN(_xlfn._xlws.FILTER(O$3:O$650,ISNUMBER(MATCH(TRIM($B$3:$B$650),TRIM(_xlfn.TEXTSPLIT($N470,",")),0)))),0)/4,0)+P470,IF(IFERROR(MIN(_xlfn._xlws.FILTER(O$3:O$650,ISNUMBER(MATCH(TRIM($B$3:$B$650),TRIM(_xlfn.TEXTSPLIT($N470,",")),0)))),0)&gt;=$E$1,IFERROR(MIN(_xlfn._xlws.FILTER(O$3:O$650,ISNUMBER(MATCH(TRIM($B$3:$B$650),TRIM(_xlfn.TEXTSPLIT($N470,",")),0)))),0)+P470,P470)),IF(TRIM($D470)="EA",IF(TRIM($E470)="M",ROUNDUP(O470*0.85,0),IF(TRIM($E470)="P",O470,P470)),P470))</f>
        <v>0</v>
      </c>
      <c r="T470" t="str" cm="1">
        <f t="array" ref="T470">IFERROR(IF(D470="SET",_xlfn.TEXTJOIN(", ",TRUE,_xlfn._xlws.FILTER(TRANSPOSE(TRIM(_xlfn.TEXTSPLIT(N470,","))),COUNTIFS(B$3:B$650,TRANSPOSE(TRIM(_xlfn.TEXTSPLIT(N470,","))),O$3:O$650,"&lt;="&amp;$T$1))),""),"")</f>
        <v/>
      </c>
    </row>
    <row r="471" spans="1:22" ht="14.4" x14ac:dyDescent="0.3">
      <c r="A471" s="1">
        <v>59910</v>
      </c>
      <c r="B471" s="56" t="s">
        <v>1003</v>
      </c>
      <c r="C471" s="1" t="s">
        <v>1261</v>
      </c>
      <c r="D471" s="1" t="s">
        <v>624</v>
      </c>
      <c r="E471" s="1" t="s">
        <v>686</v>
      </c>
      <c r="F471" s="9"/>
      <c r="G471" s="9"/>
      <c r="H471" s="16" t="s">
        <v>76</v>
      </c>
      <c r="I471" s="9" t="b">
        <f t="shared" si="10"/>
        <v>0</v>
      </c>
      <c r="J471" s="1" t="s">
        <v>402</v>
      </c>
      <c r="K471" s="1" t="s">
        <v>266</v>
      </c>
      <c r="L471" s="1" t="s">
        <v>266</v>
      </c>
      <c r="M471" s="9"/>
      <c r="N471" s="35"/>
      <c r="O471" s="24">
        <v>15</v>
      </c>
      <c r="P471" s="2" cm="1">
        <f t="array" ref="P471">_xlfn.XLOOKUP(TRIM(B471),TRIM('[1]wc-product-export-16-3-2026-177'!$A:$A),'[1]wc-product-export-16-3-2026-177'!$D:$D,0,0)</f>
        <v>0</v>
      </c>
      <c r="Q471" s="2" cm="1">
        <f t="array" ref="Q471">IF(TRIM($D471)="SET",IF($K471="Steak Set1",ROUNDDOWN(IFERROR(MIN(_xlfn._xlws.FILTER(O$3:O$650,ISNUMBER(MATCH(TRIM($B$3:$B$650),TRIM(_xlfn.TEXTSPLIT($N471,",")),0)))),0)/4,0)+P471,IF(IFERROR(MIN(_xlfn._xlws.FILTER(O$3:O$650,ISNUMBER(MATCH(TRIM($B$3:$B$650),TRIM(_xlfn.TEXTSPLIT($N471,",")),0)))),0)&gt;=$E$1,IFERROR(MIN(_xlfn._xlws.FILTER(O$3:O$650,ISNUMBER(MATCH(TRIM($B$3:$B$650),TRIM(_xlfn.TEXTSPLIT($N471,",")),0)))),0)+P471,P471)),IF(TRIM($D471)="EA",IF(TRIM($E471)="M",ROUNDUP(O471*0.85,0),IF(TRIM($E471)="P",O471,P471)),P471))</f>
        <v>13</v>
      </c>
      <c r="T471" t="str" cm="1">
        <f t="array" ref="T471">IFERROR(IF(D471="SET",_xlfn.TEXTJOIN(", ",TRUE,_xlfn._xlws.FILTER(TRANSPOSE(TRIM(_xlfn.TEXTSPLIT(N471,","))),COUNTIFS(B$3:B$650,TRANSPOSE(TRIM(_xlfn.TEXTSPLIT(N471,","))),O$3:O$650,"&lt;="&amp;$T$1))),""),"")</f>
        <v/>
      </c>
    </row>
    <row r="472" spans="1:22" ht="14.4" x14ac:dyDescent="0.3">
      <c r="A472" s="1">
        <v>59911</v>
      </c>
      <c r="B472" s="55" t="s">
        <v>1004</v>
      </c>
      <c r="C472" s="1" t="s">
        <v>1261</v>
      </c>
      <c r="D472" s="1" t="s">
        <v>624</v>
      </c>
      <c r="E472" s="1" t="s">
        <v>686</v>
      </c>
      <c r="F472" s="9"/>
      <c r="G472" s="9"/>
      <c r="H472" s="16" t="s">
        <v>59</v>
      </c>
      <c r="I472" s="9" t="b">
        <f t="shared" si="10"/>
        <v>0</v>
      </c>
      <c r="J472" s="1" t="s">
        <v>402</v>
      </c>
      <c r="K472" s="1" t="s">
        <v>266</v>
      </c>
      <c r="L472" s="1" t="s">
        <v>266</v>
      </c>
      <c r="M472" s="9"/>
      <c r="N472" s="35"/>
      <c r="O472" s="24">
        <v>6</v>
      </c>
      <c r="P472" s="2" cm="1">
        <f t="array" ref="P472">_xlfn.XLOOKUP(TRIM(B472),TRIM('[1]wc-product-export-16-3-2026-177'!$A:$A),'[1]wc-product-export-16-3-2026-177'!$D:$D,0,0)</f>
        <v>0</v>
      </c>
      <c r="Q472" s="2" cm="1">
        <f t="array" ref="Q472">IF(TRIM($D472)="SET",IF($K472="Steak Set1",ROUNDDOWN(IFERROR(MIN(_xlfn._xlws.FILTER(O$3:O$650,ISNUMBER(MATCH(TRIM($B$3:$B$650),TRIM(_xlfn.TEXTSPLIT($N472,",")),0)))),0)/4,0)+P472,IF(IFERROR(MIN(_xlfn._xlws.FILTER(O$3:O$650,ISNUMBER(MATCH(TRIM($B$3:$B$650),TRIM(_xlfn.TEXTSPLIT($N472,",")),0)))),0)&gt;=$E$1,IFERROR(MIN(_xlfn._xlws.FILTER(O$3:O$650,ISNUMBER(MATCH(TRIM($B$3:$B$650),TRIM(_xlfn.TEXTSPLIT($N472,",")),0)))),0)+P472,P472)),IF(TRIM($D472)="EA",IF(TRIM($E472)="M",ROUNDUP(O472*0.85,0),IF(TRIM($E472)="P",O472,P472)),P472))</f>
        <v>6</v>
      </c>
      <c r="T472" t="str" cm="1">
        <f t="array" ref="T472">IFERROR(IF(D472="SET",_xlfn.TEXTJOIN(", ",TRUE,_xlfn._xlws.FILTER(TRANSPOSE(TRIM(_xlfn.TEXTSPLIT(N472,","))),COUNTIFS(B$3:B$650,TRANSPOSE(TRIM(_xlfn.TEXTSPLIT(N472,","))),O$3:O$650,"&lt;="&amp;$T$1))),""),"")</f>
        <v/>
      </c>
      <c r="V472" s="52"/>
    </row>
    <row r="473" spans="1:22" ht="14.4" x14ac:dyDescent="0.3">
      <c r="A473" s="1">
        <v>59915</v>
      </c>
      <c r="B473" s="55" t="s">
        <v>1005</v>
      </c>
      <c r="C473" s="1" t="s">
        <v>1261</v>
      </c>
      <c r="D473" s="1" t="s">
        <v>624</v>
      </c>
      <c r="E473" s="1" t="s">
        <v>686</v>
      </c>
      <c r="F473" s="9"/>
      <c r="G473" s="9"/>
      <c r="H473" s="16" t="s">
        <v>60</v>
      </c>
      <c r="I473" s="9" t="b">
        <f t="shared" si="10"/>
        <v>0</v>
      </c>
      <c r="J473" s="1" t="s">
        <v>402</v>
      </c>
      <c r="K473" s="1" t="s">
        <v>1293</v>
      </c>
      <c r="L473" s="1" t="s">
        <v>1727</v>
      </c>
      <c r="M473" s="9"/>
      <c r="N473" s="35"/>
      <c r="O473" s="24">
        <v>21</v>
      </c>
      <c r="P473" s="2" cm="1">
        <f t="array" ref="P473">_xlfn.XLOOKUP(TRIM(B473),TRIM('[1]wc-product-export-16-3-2026-177'!$A:$A),'[1]wc-product-export-16-3-2026-177'!$D:$D,0,0)</f>
        <v>0</v>
      </c>
      <c r="Q473" s="2" cm="1">
        <f t="array" ref="Q473">IF(TRIM($D473)="SET",IF($K473="Steak Set1",ROUNDDOWN(IFERROR(MIN(_xlfn._xlws.FILTER(O$3:O$650,ISNUMBER(MATCH(TRIM($B$3:$B$650),TRIM(_xlfn.TEXTSPLIT($N473,",")),0)))),0)/4,0)+P473,IF(IFERROR(MIN(_xlfn._xlws.FILTER(O$3:O$650,ISNUMBER(MATCH(TRIM($B$3:$B$650),TRIM(_xlfn.TEXTSPLIT($N473,",")),0)))),0)&gt;=$E$1,IFERROR(MIN(_xlfn._xlws.FILTER(O$3:O$650,ISNUMBER(MATCH(TRIM($B$3:$B$650),TRIM(_xlfn.TEXTSPLIT($N473,",")),0)))),0)+P473,P473)),IF(TRIM($D473)="EA",IF(TRIM($E473)="M",ROUNDUP(O473*0.85,0),IF(TRIM($E473)="P",O473,P473)),P473))</f>
        <v>18</v>
      </c>
      <c r="T473" t="str" cm="1">
        <f t="array" ref="T473">IFERROR(IF(D473="SET",_xlfn.TEXTJOIN(", ",TRUE,_xlfn._xlws.FILTER(TRANSPOSE(TRIM(_xlfn.TEXTSPLIT(N473,","))),COUNTIFS(B$3:B$650,TRANSPOSE(TRIM(_xlfn.TEXTSPLIT(N473,","))),O$3:O$650,"&lt;="&amp;$T$1))),""),"")</f>
        <v/>
      </c>
    </row>
    <row r="474" spans="1:22" ht="14.4" x14ac:dyDescent="0.3">
      <c r="A474" s="1">
        <v>59917</v>
      </c>
      <c r="B474" s="55" t="s">
        <v>1006</v>
      </c>
      <c r="C474" s="1" t="s">
        <v>1261</v>
      </c>
      <c r="D474" s="1" t="s">
        <v>624</v>
      </c>
      <c r="E474" s="1" t="s">
        <v>686</v>
      </c>
      <c r="F474" s="9"/>
      <c r="G474" s="9"/>
      <c r="H474" s="16" t="s">
        <v>82</v>
      </c>
      <c r="I474" s="9" t="b">
        <f t="shared" si="10"/>
        <v>0</v>
      </c>
      <c r="J474" s="1" t="s">
        <v>402</v>
      </c>
      <c r="K474" s="1" t="s">
        <v>268</v>
      </c>
      <c r="L474" s="1" t="s">
        <v>268</v>
      </c>
      <c r="M474" s="9"/>
      <c r="N474" s="35"/>
      <c r="O474" s="24">
        <v>40</v>
      </c>
      <c r="P474" s="2" cm="1">
        <f t="array" ref="P474">_xlfn.XLOOKUP(TRIM(B474),TRIM('[1]wc-product-export-16-3-2026-177'!$A:$A),'[1]wc-product-export-16-3-2026-177'!$D:$D,0,0)</f>
        <v>0</v>
      </c>
      <c r="Q474" s="2" cm="1">
        <f t="array" ref="Q474">IF(TRIM($D474)="SET",IF($K474="Steak Set1",ROUNDDOWN(IFERROR(MIN(_xlfn._xlws.FILTER(O$3:O$650,ISNUMBER(MATCH(TRIM($B$3:$B$650),TRIM(_xlfn.TEXTSPLIT($N474,",")),0)))),0)/4,0)+P474,IF(IFERROR(MIN(_xlfn._xlws.FILTER(O$3:O$650,ISNUMBER(MATCH(TRIM($B$3:$B$650),TRIM(_xlfn.TEXTSPLIT($N474,",")),0)))),0)&gt;=$E$1,IFERROR(MIN(_xlfn._xlws.FILTER(O$3:O$650,ISNUMBER(MATCH(TRIM($B$3:$B$650),TRIM(_xlfn.TEXTSPLIT($N474,",")),0)))),0)+P474,P474)),IF(TRIM($D474)="EA",IF(TRIM($E474)="M",ROUNDUP(O474*0.85,0),IF(TRIM($E474)="P",O474,P474)),P474))</f>
        <v>34</v>
      </c>
      <c r="T474" t="str" cm="1">
        <f t="array" ref="T474">IFERROR(IF(D474="SET",_xlfn.TEXTJOIN(", ",TRUE,_xlfn._xlws.FILTER(TRANSPOSE(TRIM(_xlfn.TEXTSPLIT(N474,","))),COUNTIFS(B$3:B$650,TRANSPOSE(TRIM(_xlfn.TEXTSPLIT(N474,","))),O$3:O$650,"&lt;="&amp;$T$1))),""),"")</f>
        <v/>
      </c>
    </row>
    <row r="475" spans="1:22" ht="14.4" x14ac:dyDescent="0.3">
      <c r="A475" s="1">
        <v>59920</v>
      </c>
      <c r="B475" s="55" t="s">
        <v>1007</v>
      </c>
      <c r="C475" s="1" t="s">
        <v>1261</v>
      </c>
      <c r="D475" s="1" t="s">
        <v>624</v>
      </c>
      <c r="E475" s="1" t="s">
        <v>686</v>
      </c>
      <c r="F475" s="9"/>
      <c r="G475" s="9"/>
      <c r="H475" s="16" t="s">
        <v>61</v>
      </c>
      <c r="I475" s="9" t="b">
        <f t="shared" si="10"/>
        <v>0</v>
      </c>
      <c r="J475" s="1" t="s">
        <v>402</v>
      </c>
      <c r="K475" s="1" t="s">
        <v>1293</v>
      </c>
      <c r="L475" s="1" t="s">
        <v>1728</v>
      </c>
      <c r="M475" s="9"/>
      <c r="N475" s="35"/>
      <c r="O475" s="24">
        <v>0</v>
      </c>
      <c r="P475" s="2" cm="1">
        <f t="array" ref="P475">_xlfn.XLOOKUP(TRIM(B475),TRIM('[1]wc-product-export-16-3-2026-177'!$A:$A),'[1]wc-product-export-16-3-2026-177'!$D:$D,0,0)</f>
        <v>0</v>
      </c>
      <c r="Q475" s="2" cm="1">
        <f t="array" ref="Q475">IF(TRIM($D475)="SET",IF($K475="Steak Set1",ROUNDDOWN(IFERROR(MIN(_xlfn._xlws.FILTER(O$3:O$650,ISNUMBER(MATCH(TRIM($B$3:$B$650),TRIM(_xlfn.TEXTSPLIT($N475,",")),0)))),0)/4,0)+P475,IF(IFERROR(MIN(_xlfn._xlws.FILTER(O$3:O$650,ISNUMBER(MATCH(TRIM($B$3:$B$650),TRIM(_xlfn.TEXTSPLIT($N475,",")),0)))),0)&gt;=$E$1,IFERROR(MIN(_xlfn._xlws.FILTER(O$3:O$650,ISNUMBER(MATCH(TRIM($B$3:$B$650),TRIM(_xlfn.TEXTSPLIT($N475,",")),0)))),0)+P475,P475)),IF(TRIM($D475)="EA",IF(TRIM($E475)="M",ROUNDUP(O475*0.85,0),IF(TRIM($E475)="P",O475,P475)),P475))</f>
        <v>0</v>
      </c>
      <c r="T475" t="str" cm="1">
        <f t="array" ref="T475">IFERROR(IF(D475="SET",_xlfn.TEXTJOIN(", ",TRUE,_xlfn._xlws.FILTER(TRANSPOSE(TRIM(_xlfn.TEXTSPLIT(N475,","))),COUNTIFS(B$3:B$650,TRANSPOSE(TRIM(_xlfn.TEXTSPLIT(N475,","))),O$3:O$650,"&lt;="&amp;$T$1))),""),"")</f>
        <v/>
      </c>
    </row>
    <row r="476" spans="1:22" ht="15.6" customHeight="1" x14ac:dyDescent="0.3">
      <c r="A476" s="1">
        <v>56864</v>
      </c>
      <c r="B476" s="1" t="s">
        <v>982</v>
      </c>
      <c r="C476" s="1" t="s">
        <v>1259</v>
      </c>
      <c r="D476" s="1" t="s">
        <v>624</v>
      </c>
      <c r="E476" s="1" t="s">
        <v>623</v>
      </c>
      <c r="F476" s="9" t="s">
        <v>1608</v>
      </c>
      <c r="G476" s="9"/>
      <c r="H476" s="53" t="s">
        <v>603</v>
      </c>
      <c r="I476" s="9" t="b">
        <f t="shared" si="10"/>
        <v>0</v>
      </c>
      <c r="J476" s="1" t="s">
        <v>405</v>
      </c>
      <c r="K476" s="1" t="s">
        <v>604</v>
      </c>
      <c r="L476" s="1" t="s">
        <v>604</v>
      </c>
      <c r="M476" s="9"/>
      <c r="N476" s="35"/>
      <c r="O476" s="2">
        <v>3</v>
      </c>
      <c r="P476" s="2" cm="1">
        <f t="array" ref="P476">_xlfn.XLOOKUP(TRIM(B476),TRIM('[1]wc-product-export-16-3-2026-177'!$A:$A),'[1]wc-product-export-16-3-2026-177'!$D:$D,0,0)</f>
        <v>0</v>
      </c>
      <c r="Q476" s="2" cm="1">
        <f t="array" ref="Q476">IF(TRIM($D476)="SET",IF($K476="Steak Set1",ROUNDDOWN(IFERROR(MIN(_xlfn._xlws.FILTER(O$3:O$650,ISNUMBER(MATCH(TRIM($B$3:$B$650),TRIM(_xlfn.TEXTSPLIT($N476,",")),0)))),0)/4,0)+P476,IF(IFERROR(MIN(_xlfn._xlws.FILTER(O$3:O$650,ISNUMBER(MATCH(TRIM($B$3:$B$650),TRIM(_xlfn.TEXTSPLIT($N476,",")),0)))),0)&gt;=$E$1,IFERROR(MIN(_xlfn._xlws.FILTER(O$3:O$650,ISNUMBER(MATCH(TRIM($B$3:$B$650),TRIM(_xlfn.TEXTSPLIT($N476,",")),0)))),0)+P476,P476)),IF(TRIM($D476)="EA",IF(TRIM($E476)="M",ROUNDUP(O476*0.85,0),IF(TRIM($E476)="P",O476,P476)),P476))</f>
        <v>3</v>
      </c>
      <c r="T476" t="str" cm="1">
        <f t="array" ref="T476">IFERROR(IF(D476="SET",_xlfn.TEXTJOIN(", ",TRUE,_xlfn._xlws.FILTER(TRANSPOSE(TRIM(_xlfn.TEXTSPLIT(N476,","))),COUNTIFS(B$3:B$650,TRANSPOSE(TRIM(_xlfn.TEXTSPLIT(N476,","))),O$3:O$650,"&lt;="&amp;$T$1))),""),"")</f>
        <v/>
      </c>
    </row>
    <row r="477" spans="1:22" ht="15.6" customHeight="1" x14ac:dyDescent="0.3">
      <c r="A477" s="1">
        <v>56865</v>
      </c>
      <c r="B477" s="1" t="s">
        <v>983</v>
      </c>
      <c r="C477" s="1" t="s">
        <v>1259</v>
      </c>
      <c r="D477" s="1" t="s">
        <v>624</v>
      </c>
      <c r="E477" s="1" t="s">
        <v>623</v>
      </c>
      <c r="F477" s="9" t="s">
        <v>1688</v>
      </c>
      <c r="G477" s="9"/>
      <c r="H477" s="16" t="s">
        <v>413</v>
      </c>
      <c r="I477" s="9" t="b">
        <f t="shared" si="10"/>
        <v>0</v>
      </c>
      <c r="J477" s="1" t="s">
        <v>405</v>
      </c>
      <c r="K477" s="1" t="s">
        <v>10</v>
      </c>
      <c r="L477" s="1" t="s">
        <v>10</v>
      </c>
      <c r="M477" s="9"/>
      <c r="N477" s="35"/>
      <c r="O477" s="2">
        <v>23</v>
      </c>
      <c r="P477" s="2" cm="1">
        <f t="array" ref="P477">_xlfn.XLOOKUP(TRIM(B477),TRIM('[1]wc-product-export-16-3-2026-177'!$A:$A),'[1]wc-product-export-16-3-2026-177'!$D:$D,0,0)</f>
        <v>0</v>
      </c>
      <c r="Q477" s="2" cm="1">
        <f t="array" ref="Q477">IF(TRIM($D477)="SET",IF($K477="Steak Set1",ROUNDDOWN(IFERROR(MIN(_xlfn._xlws.FILTER(O$3:O$650,ISNUMBER(MATCH(TRIM($B$3:$B$650),TRIM(_xlfn.TEXTSPLIT($N477,",")),0)))),0)/4,0)+P477,IF(IFERROR(MIN(_xlfn._xlws.FILTER(O$3:O$650,ISNUMBER(MATCH(TRIM($B$3:$B$650),TRIM(_xlfn.TEXTSPLIT($N477,",")),0)))),0)&gt;=$E$1,IFERROR(MIN(_xlfn._xlws.FILTER(O$3:O$650,ISNUMBER(MATCH(TRIM($B$3:$B$650),TRIM(_xlfn.TEXTSPLIT($N477,",")),0)))),0)+P477,P477)),IF(TRIM($D477)="EA",IF(TRIM($E477)="M",ROUNDUP(O477*0.85,0),IF(TRIM($E477)="P",O477,P477)),P477))</f>
        <v>23</v>
      </c>
      <c r="T477" t="str" cm="1">
        <f t="array" ref="T477">IFERROR(IF(D477="SET",_xlfn.TEXTJOIN(", ",TRUE,_xlfn._xlws.FILTER(TRANSPOSE(TRIM(_xlfn.TEXTSPLIT(N477,","))),COUNTIFS(B$3:B$650,TRANSPOSE(TRIM(_xlfn.TEXTSPLIT(N477,","))),O$3:O$650,"&lt;="&amp;$T$1))),""),"")</f>
        <v/>
      </c>
    </row>
    <row r="478" spans="1:22" ht="15.6" hidden="1" customHeight="1" x14ac:dyDescent="0.3">
      <c r="A478" s="1">
        <v>56866</v>
      </c>
      <c r="B478" s="1" t="s">
        <v>984</v>
      </c>
      <c r="C478" s="1" t="s">
        <v>1259</v>
      </c>
      <c r="D478" s="1" t="s">
        <v>624</v>
      </c>
      <c r="E478" s="1" t="s">
        <v>623</v>
      </c>
      <c r="F478" s="9" t="s">
        <v>1688</v>
      </c>
      <c r="G478" s="9"/>
      <c r="H478" s="16" t="s">
        <v>411</v>
      </c>
      <c r="I478" s="9" t="b">
        <f t="shared" si="10"/>
        <v>0</v>
      </c>
      <c r="J478" s="1" t="s">
        <v>405</v>
      </c>
      <c r="K478" s="1" t="s">
        <v>10</v>
      </c>
      <c r="L478" s="1" t="s">
        <v>10</v>
      </c>
      <c r="M478" s="9"/>
      <c r="N478" s="35"/>
      <c r="O478" s="2" t="s">
        <v>458</v>
      </c>
      <c r="P478" s="2" cm="1">
        <f t="array" ref="P478">_xlfn.XLOOKUP(TRIM(B478),TRIM('[1]wc-product-export-16-3-2026-177'!$A:$A),'[1]wc-product-export-16-3-2026-177'!$D:$D,0,0)</f>
        <v>0</v>
      </c>
      <c r="Q478" s="2" t="str" cm="1">
        <f t="array" ref="Q478">IF(TRIM($D478)="SET",IF($K478="Steak Set1",ROUNDDOWN(IFERROR(MIN(_xlfn._xlws.FILTER(O$3:O$650,ISNUMBER(MATCH(TRIM($B$3:$B$650),TRIM(_xlfn.TEXTSPLIT($N478,",")),0)))),0)/4,0)+P478,IF(IFERROR(MIN(_xlfn._xlws.FILTER(O$3:O$650,ISNUMBER(MATCH(TRIM($B$3:$B$650),TRIM(_xlfn.TEXTSPLIT($N478,",")),0)))),0)&gt;=$E$1,IFERROR(MIN(_xlfn._xlws.FILTER(O$3:O$650,ISNUMBER(MATCH(TRIM($B$3:$B$650),TRIM(_xlfn.TEXTSPLIT($N478,",")),0)))),0)+P478,P478)),IF(TRIM($D478)="EA",IF(TRIM($E478)="M",ROUNDUP(O478*0.85,0),IF(TRIM($E478)="P",O478,P478)),P478))</f>
        <v>N/A</v>
      </c>
      <c r="T478" t="str" cm="1">
        <f t="array" ref="T478">IFERROR(IF(D478="SET",_xlfn.TEXTJOIN(", ",TRUE,_xlfn._xlws.FILTER(TRANSPOSE(TRIM(_xlfn.TEXTSPLIT(N478,","))),COUNTIFS(B$3:B$650,TRANSPOSE(TRIM(_xlfn.TEXTSPLIT(N478,","))),O$3:O$650,"&lt;="&amp;$T$1))),""),"")</f>
        <v/>
      </c>
    </row>
    <row r="479" spans="1:22" ht="15.6" customHeight="1" x14ac:dyDescent="0.3">
      <c r="A479" s="1">
        <v>59923</v>
      </c>
      <c r="B479" s="56" t="s">
        <v>1008</v>
      </c>
      <c r="C479" s="1" t="s">
        <v>1261</v>
      </c>
      <c r="D479" s="1" t="s">
        <v>624</v>
      </c>
      <c r="E479" s="1" t="s">
        <v>686</v>
      </c>
      <c r="F479" s="9"/>
      <c r="G479" s="9"/>
      <c r="H479" s="16" t="s">
        <v>83</v>
      </c>
      <c r="I479" s="9" t="b">
        <f t="shared" si="10"/>
        <v>0</v>
      </c>
      <c r="J479" s="1" t="s">
        <v>402</v>
      </c>
      <c r="K479" s="1" t="s">
        <v>269</v>
      </c>
      <c r="L479" s="1" t="s">
        <v>1729</v>
      </c>
      <c r="M479" s="9"/>
      <c r="N479" s="35"/>
      <c r="O479" s="24">
        <v>37</v>
      </c>
      <c r="P479" s="2" cm="1">
        <f t="array" ref="P479">_xlfn.XLOOKUP(TRIM(B479),TRIM('[1]wc-product-export-16-3-2026-177'!$A:$A),'[1]wc-product-export-16-3-2026-177'!$D:$D,0,0)</f>
        <v>0</v>
      </c>
      <c r="Q479" s="2" cm="1">
        <f t="array" ref="Q479">IF(TRIM($D479)="SET",IF($K479="Steak Set1",ROUNDDOWN(IFERROR(MIN(_xlfn._xlws.FILTER(O$3:O$650,ISNUMBER(MATCH(TRIM($B$3:$B$650),TRIM(_xlfn.TEXTSPLIT($N479,",")),0)))),0)/4,0)+P479,IF(IFERROR(MIN(_xlfn._xlws.FILTER(O$3:O$650,ISNUMBER(MATCH(TRIM($B$3:$B$650),TRIM(_xlfn.TEXTSPLIT($N479,",")),0)))),0)&gt;=$E$1,IFERROR(MIN(_xlfn._xlws.FILTER(O$3:O$650,ISNUMBER(MATCH(TRIM($B$3:$B$650),TRIM(_xlfn.TEXTSPLIT($N479,",")),0)))),0)+P479,P479)),IF(TRIM($D479)="EA",IF(TRIM($E479)="M",ROUNDUP(O479*0.85,0),IF(TRIM($E479)="P",O479,P479)),P479))</f>
        <v>32</v>
      </c>
      <c r="T479" t="str" cm="1">
        <f t="array" ref="T479">IFERROR(IF(D479="SET",_xlfn.TEXTJOIN(", ",TRUE,_xlfn._xlws.FILTER(TRANSPOSE(TRIM(_xlfn.TEXTSPLIT(N479,","))),COUNTIFS(B$3:B$650,TRANSPOSE(TRIM(_xlfn.TEXTSPLIT(N479,","))),O$3:O$650,"&lt;="&amp;$T$1))),""),"")</f>
        <v/>
      </c>
    </row>
    <row r="480" spans="1:22" ht="15.6" customHeight="1" x14ac:dyDescent="0.3">
      <c r="A480" s="1">
        <v>59925</v>
      </c>
      <c r="B480" s="55" t="s">
        <v>1009</v>
      </c>
      <c r="C480" s="1" t="s">
        <v>1261</v>
      </c>
      <c r="D480" s="1" t="s">
        <v>624</v>
      </c>
      <c r="E480" s="1" t="s">
        <v>686</v>
      </c>
      <c r="F480" s="9"/>
      <c r="G480" s="9"/>
      <c r="H480" s="16" t="s">
        <v>62</v>
      </c>
      <c r="I480" s="9" t="b">
        <f t="shared" si="10"/>
        <v>0</v>
      </c>
      <c r="J480" s="1" t="s">
        <v>402</v>
      </c>
      <c r="K480" s="1" t="s">
        <v>270</v>
      </c>
      <c r="L480" s="1" t="s">
        <v>270</v>
      </c>
      <c r="M480" s="9"/>
      <c r="N480" s="35"/>
      <c r="O480" s="24">
        <v>19</v>
      </c>
      <c r="P480" s="2" cm="1">
        <f t="array" ref="P480">_xlfn.XLOOKUP(TRIM(B480),TRIM('[1]wc-product-export-16-3-2026-177'!$A:$A),'[1]wc-product-export-16-3-2026-177'!$D:$D,0,0)</f>
        <v>0</v>
      </c>
      <c r="Q480" s="2" cm="1">
        <f t="array" ref="Q480">IF(TRIM($D480)="SET",IF($K480="Steak Set1",ROUNDDOWN(IFERROR(MIN(_xlfn._xlws.FILTER(O$3:O$650,ISNUMBER(MATCH(TRIM($B$3:$B$650),TRIM(_xlfn.TEXTSPLIT($N480,",")),0)))),0)/4,0)+P480,IF(IFERROR(MIN(_xlfn._xlws.FILTER(O$3:O$650,ISNUMBER(MATCH(TRIM($B$3:$B$650),TRIM(_xlfn.TEXTSPLIT($N480,",")),0)))),0)&gt;=$E$1,IFERROR(MIN(_xlfn._xlws.FILTER(O$3:O$650,ISNUMBER(MATCH(TRIM($B$3:$B$650),TRIM(_xlfn.TEXTSPLIT($N480,",")),0)))),0)+P480,P480)),IF(TRIM($D480)="EA",IF(TRIM($E480)="M",ROUNDUP(O480*0.85,0),IF(TRIM($E480)="P",O480,P480)),P480))</f>
        <v>17</v>
      </c>
      <c r="T480" t="str" cm="1">
        <f t="array" ref="T480">IFERROR(IF(D480="SET",_xlfn.TEXTJOIN(", ",TRUE,_xlfn._xlws.FILTER(TRANSPOSE(TRIM(_xlfn.TEXTSPLIT(N480,","))),COUNTIFS(B$3:B$650,TRANSPOSE(TRIM(_xlfn.TEXTSPLIT(N480,","))),O$3:O$650,"&lt;="&amp;$T$1))),""),"")</f>
        <v/>
      </c>
    </row>
    <row r="481" spans="1:20" ht="15.6" customHeight="1" x14ac:dyDescent="0.3">
      <c r="A481" s="1">
        <v>56880</v>
      </c>
      <c r="B481" s="1" t="s">
        <v>987</v>
      </c>
      <c r="C481" s="1" t="s">
        <v>1259</v>
      </c>
      <c r="D481" s="1" t="s">
        <v>624</v>
      </c>
      <c r="E481" s="1" t="s">
        <v>623</v>
      </c>
      <c r="F481" s="9"/>
      <c r="G481" s="9"/>
      <c r="H481" s="53" t="s">
        <v>329</v>
      </c>
      <c r="I481" s="9" t="b">
        <f t="shared" si="10"/>
        <v>0</v>
      </c>
      <c r="J481" s="1" t="s">
        <v>405</v>
      </c>
      <c r="K481" s="1" t="s">
        <v>265</v>
      </c>
      <c r="L481" s="1" t="s">
        <v>1743</v>
      </c>
      <c r="M481" s="9"/>
      <c r="N481" s="35"/>
      <c r="O481" s="2">
        <v>130</v>
      </c>
      <c r="P481" s="2" cm="1">
        <f t="array" ref="P481">_xlfn.XLOOKUP(TRIM(B481),TRIM('[1]wc-product-export-16-3-2026-177'!$A:$A),'[1]wc-product-export-16-3-2026-177'!$D:$D,0,0)</f>
        <v>0</v>
      </c>
      <c r="Q481" s="2" cm="1">
        <f t="array" ref="Q481">IF(TRIM($D481)="SET",IF($K481="Steak Set1",ROUNDDOWN(IFERROR(MIN(_xlfn._xlws.FILTER(O$3:O$650,ISNUMBER(MATCH(TRIM($B$3:$B$650),TRIM(_xlfn.TEXTSPLIT($N481,",")),0)))),0)/4,0)+P481,IF(IFERROR(MIN(_xlfn._xlws.FILTER(O$3:O$650,ISNUMBER(MATCH(TRIM($B$3:$B$650),TRIM(_xlfn.TEXTSPLIT($N481,",")),0)))),0)&gt;=$E$1,IFERROR(MIN(_xlfn._xlws.FILTER(O$3:O$650,ISNUMBER(MATCH(TRIM($B$3:$B$650),TRIM(_xlfn.TEXTSPLIT($N481,",")),0)))),0)+P481,P481)),IF(TRIM($D481)="EA",IF(TRIM($E481)="M",ROUNDUP(O481*0.85,0),IF(TRIM($E481)="P",O481,P481)),P481))</f>
        <v>130</v>
      </c>
      <c r="T481" t="str" cm="1">
        <f t="array" ref="T481">IFERROR(IF(D481="SET",_xlfn.TEXTJOIN(", ",TRUE,_xlfn._xlws.FILTER(TRANSPOSE(TRIM(_xlfn.TEXTSPLIT(N481,","))),COUNTIFS(B$3:B$650,TRANSPOSE(TRIM(_xlfn.TEXTSPLIT(N481,","))),O$3:O$650,"&lt;="&amp;$T$1))),""),"")</f>
        <v/>
      </c>
    </row>
    <row r="482" spans="1:20" ht="15.6" customHeight="1" x14ac:dyDescent="0.3">
      <c r="A482" s="1">
        <v>56889</v>
      </c>
      <c r="B482" s="1" t="s">
        <v>988</v>
      </c>
      <c r="C482" s="1" t="s">
        <v>1259</v>
      </c>
      <c r="D482" s="1" t="s">
        <v>624</v>
      </c>
      <c r="E482" s="1" t="s">
        <v>623</v>
      </c>
      <c r="F482" s="9"/>
      <c r="G482" s="9"/>
      <c r="H482" s="16" t="s">
        <v>335</v>
      </c>
      <c r="I482" s="9" t="b">
        <f t="shared" si="10"/>
        <v>0</v>
      </c>
      <c r="J482" s="1" t="s">
        <v>395</v>
      </c>
      <c r="K482" s="1" t="s">
        <v>353</v>
      </c>
      <c r="L482" s="1" t="s">
        <v>353</v>
      </c>
      <c r="M482" s="9"/>
      <c r="N482" s="35"/>
      <c r="O482" s="2">
        <v>159</v>
      </c>
      <c r="P482" s="2" cm="1">
        <f t="array" ref="P482">_xlfn.XLOOKUP(TRIM(B482),TRIM('[1]wc-product-export-16-3-2026-177'!$A:$A),'[1]wc-product-export-16-3-2026-177'!$D:$D,0,0)</f>
        <v>0</v>
      </c>
      <c r="Q482" s="2" cm="1">
        <f t="array" ref="Q482">IF(TRIM($D482)="SET",IF($K482="Steak Set1",ROUNDDOWN(IFERROR(MIN(_xlfn._xlws.FILTER(O$3:O$650,ISNUMBER(MATCH(TRIM($B$3:$B$650),TRIM(_xlfn.TEXTSPLIT($N482,",")),0)))),0)/4,0)+P482,IF(IFERROR(MIN(_xlfn._xlws.FILTER(O$3:O$650,ISNUMBER(MATCH(TRIM($B$3:$B$650),TRIM(_xlfn.TEXTSPLIT($N482,",")),0)))),0)&gt;=$E$1,IFERROR(MIN(_xlfn._xlws.FILTER(O$3:O$650,ISNUMBER(MATCH(TRIM($B$3:$B$650),TRIM(_xlfn.TEXTSPLIT($N482,",")),0)))),0)+P482,P482)),IF(TRIM($D482)="EA",IF(TRIM($E482)="M",ROUNDUP(O482*0.85,0),IF(TRIM($E482)="P",O482,P482)),P482))</f>
        <v>159</v>
      </c>
      <c r="T482" t="str" cm="1">
        <f t="array" ref="T482">IFERROR(IF(D482="SET",_xlfn.TEXTJOIN(", ",TRUE,_xlfn._xlws.FILTER(TRANSPOSE(TRIM(_xlfn.TEXTSPLIT(N482,","))),COUNTIFS(B$3:B$650,TRANSPOSE(TRIM(_xlfn.TEXTSPLIT(N482,","))),O$3:O$650,"&lt;="&amp;$T$1))),""),"")</f>
        <v/>
      </c>
    </row>
    <row r="483" spans="1:20" ht="15.6" customHeight="1" x14ac:dyDescent="0.3">
      <c r="A483" s="1">
        <v>56890</v>
      </c>
      <c r="B483" s="1" t="s">
        <v>989</v>
      </c>
      <c r="C483" s="1" t="s">
        <v>1259</v>
      </c>
      <c r="D483" s="1" t="s">
        <v>624</v>
      </c>
      <c r="E483" s="1" t="s">
        <v>623</v>
      </c>
      <c r="F483" s="9"/>
      <c r="G483" s="9"/>
      <c r="H483" s="16" t="s">
        <v>336</v>
      </c>
      <c r="I483" s="9" t="b">
        <f t="shared" si="10"/>
        <v>0</v>
      </c>
      <c r="J483" s="1" t="s">
        <v>395</v>
      </c>
      <c r="K483" s="1" t="s">
        <v>353</v>
      </c>
      <c r="L483" s="1" t="s">
        <v>353</v>
      </c>
      <c r="M483" s="9"/>
      <c r="N483" s="35"/>
      <c r="O483" s="2">
        <v>168</v>
      </c>
      <c r="P483" s="2" cm="1">
        <f t="array" ref="P483">_xlfn.XLOOKUP(TRIM(B483),TRIM('[1]wc-product-export-16-3-2026-177'!$A:$A),'[1]wc-product-export-16-3-2026-177'!$D:$D,0,0)</f>
        <v>0</v>
      </c>
      <c r="Q483" s="2" cm="1">
        <f t="array" ref="Q483">IF(TRIM($D483)="SET",IF($K483="Steak Set1",ROUNDDOWN(IFERROR(MIN(_xlfn._xlws.FILTER(O$3:O$650,ISNUMBER(MATCH(TRIM($B$3:$B$650),TRIM(_xlfn.TEXTSPLIT($N483,",")),0)))),0)/4,0)+P483,IF(IFERROR(MIN(_xlfn._xlws.FILTER(O$3:O$650,ISNUMBER(MATCH(TRIM($B$3:$B$650),TRIM(_xlfn.TEXTSPLIT($N483,",")),0)))),0)&gt;=$E$1,IFERROR(MIN(_xlfn._xlws.FILTER(O$3:O$650,ISNUMBER(MATCH(TRIM($B$3:$B$650),TRIM(_xlfn.TEXTSPLIT($N483,",")),0)))),0)+P483,P483)),IF(TRIM($D483)="EA",IF(TRIM($E483)="M",ROUNDUP(O483*0.85,0),IF(TRIM($E483)="P",O483,P483)),P483))</f>
        <v>168</v>
      </c>
      <c r="T483" t="str" cm="1">
        <f t="array" ref="T483">IFERROR(IF(D483="SET",_xlfn.TEXTJOIN(", ",TRUE,_xlfn._xlws.FILTER(TRANSPOSE(TRIM(_xlfn.TEXTSPLIT(N483,","))),COUNTIFS(B$3:B$650,TRANSPOSE(TRIM(_xlfn.TEXTSPLIT(N483,","))),O$3:O$650,"&lt;="&amp;$T$1))),""),"")</f>
        <v/>
      </c>
    </row>
    <row r="484" spans="1:20" ht="15.6" customHeight="1" x14ac:dyDescent="0.3">
      <c r="A484" s="1">
        <v>56891</v>
      </c>
      <c r="B484" s="1" t="s">
        <v>990</v>
      </c>
      <c r="C484" s="1" t="s">
        <v>1259</v>
      </c>
      <c r="D484" s="1" t="s">
        <v>624</v>
      </c>
      <c r="E484" s="1" t="s">
        <v>623</v>
      </c>
      <c r="F484" s="9"/>
      <c r="G484" s="9"/>
      <c r="H484" s="16" t="s">
        <v>337</v>
      </c>
      <c r="I484" s="9" t="b">
        <f t="shared" si="10"/>
        <v>0</v>
      </c>
      <c r="J484" s="1" t="s">
        <v>395</v>
      </c>
      <c r="K484" s="1" t="s">
        <v>353</v>
      </c>
      <c r="L484" s="1" t="s">
        <v>353</v>
      </c>
      <c r="M484" s="9"/>
      <c r="N484" s="35"/>
      <c r="O484" s="2">
        <v>152</v>
      </c>
      <c r="P484" s="2" cm="1">
        <f t="array" ref="P484">_xlfn.XLOOKUP(TRIM(B484),TRIM('[1]wc-product-export-16-3-2026-177'!$A:$A),'[1]wc-product-export-16-3-2026-177'!$D:$D,0,0)</f>
        <v>0</v>
      </c>
      <c r="Q484" s="2" cm="1">
        <f t="array" ref="Q484">IF(TRIM($D484)="SET",IF($K484="Steak Set1",ROUNDDOWN(IFERROR(MIN(_xlfn._xlws.FILTER(O$3:O$650,ISNUMBER(MATCH(TRIM($B$3:$B$650),TRIM(_xlfn.TEXTSPLIT($N484,",")),0)))),0)/4,0)+P484,IF(IFERROR(MIN(_xlfn._xlws.FILTER(O$3:O$650,ISNUMBER(MATCH(TRIM($B$3:$B$650),TRIM(_xlfn.TEXTSPLIT($N484,",")),0)))),0)&gt;=$E$1,IFERROR(MIN(_xlfn._xlws.FILTER(O$3:O$650,ISNUMBER(MATCH(TRIM($B$3:$B$650),TRIM(_xlfn.TEXTSPLIT($N484,",")),0)))),0)+P484,P484)),IF(TRIM($D484)="EA",IF(TRIM($E484)="M",ROUNDUP(O484*0.85,0),IF(TRIM($E484)="P",O484,P484)),P484))</f>
        <v>152</v>
      </c>
      <c r="T484" t="str" cm="1">
        <f t="array" ref="T484">IFERROR(IF(D484="SET",_xlfn.TEXTJOIN(", ",TRUE,_xlfn._xlws.FILTER(TRANSPOSE(TRIM(_xlfn.TEXTSPLIT(N484,","))),COUNTIFS(B$3:B$650,TRANSPOSE(TRIM(_xlfn.TEXTSPLIT(N484,","))),O$3:O$650,"&lt;="&amp;$T$1))),""),"")</f>
        <v/>
      </c>
    </row>
    <row r="485" spans="1:20" ht="15.6" customHeight="1" x14ac:dyDescent="0.3">
      <c r="A485" s="1">
        <v>56892</v>
      </c>
      <c r="B485" s="1" t="s">
        <v>991</v>
      </c>
      <c r="C485" s="1" t="s">
        <v>1259</v>
      </c>
      <c r="D485" s="1" t="s">
        <v>624</v>
      </c>
      <c r="E485" s="1" t="s">
        <v>623</v>
      </c>
      <c r="F485" s="9"/>
      <c r="G485" s="9"/>
      <c r="H485" s="16" t="s">
        <v>338</v>
      </c>
      <c r="I485" s="9" t="b">
        <f t="shared" si="10"/>
        <v>0</v>
      </c>
      <c r="J485" s="1" t="s">
        <v>395</v>
      </c>
      <c r="K485" s="1" t="s">
        <v>353</v>
      </c>
      <c r="L485" s="1" t="s">
        <v>353</v>
      </c>
      <c r="M485" s="9"/>
      <c r="N485" s="35"/>
      <c r="O485" s="2">
        <v>157</v>
      </c>
      <c r="P485" s="2" cm="1">
        <f t="array" ref="P485">_xlfn.XLOOKUP(TRIM(B485),TRIM('[1]wc-product-export-16-3-2026-177'!$A:$A),'[1]wc-product-export-16-3-2026-177'!$D:$D,0,0)</f>
        <v>0</v>
      </c>
      <c r="Q485" s="2" cm="1">
        <f t="array" ref="Q485">IF(TRIM($D485)="SET",IF($K485="Steak Set1",ROUNDDOWN(IFERROR(MIN(_xlfn._xlws.FILTER(O$3:O$650,ISNUMBER(MATCH(TRIM($B$3:$B$650),TRIM(_xlfn.TEXTSPLIT($N485,",")),0)))),0)/4,0)+P485,IF(IFERROR(MIN(_xlfn._xlws.FILTER(O$3:O$650,ISNUMBER(MATCH(TRIM($B$3:$B$650),TRIM(_xlfn.TEXTSPLIT($N485,",")),0)))),0)&gt;=$E$1,IFERROR(MIN(_xlfn._xlws.FILTER(O$3:O$650,ISNUMBER(MATCH(TRIM($B$3:$B$650),TRIM(_xlfn.TEXTSPLIT($N485,",")),0)))),0)+P485,P485)),IF(TRIM($D485)="EA",IF(TRIM($E485)="M",ROUNDUP(O485*0.85,0),IF(TRIM($E485)="P",O485,P485)),P485))</f>
        <v>157</v>
      </c>
      <c r="T485" t="str" cm="1">
        <f t="array" ref="T485">IFERROR(IF(D485="SET",_xlfn.TEXTJOIN(", ",TRUE,_xlfn._xlws.FILTER(TRANSPOSE(TRIM(_xlfn.TEXTSPLIT(N485,","))),COUNTIFS(B$3:B$650,TRANSPOSE(TRIM(_xlfn.TEXTSPLIT(N485,","))),O$3:O$650,"&lt;="&amp;$T$1))),""),"")</f>
        <v/>
      </c>
    </row>
    <row r="486" spans="1:20" ht="15.6" customHeight="1" x14ac:dyDescent="0.3">
      <c r="A486" s="1">
        <v>56893</v>
      </c>
      <c r="B486" s="1" t="s">
        <v>992</v>
      </c>
      <c r="C486" s="1" t="s">
        <v>1259</v>
      </c>
      <c r="D486" s="1" t="s">
        <v>624</v>
      </c>
      <c r="E486" s="1" t="s">
        <v>623</v>
      </c>
      <c r="F486" s="9"/>
      <c r="G486" s="9"/>
      <c r="H486" s="16" t="s">
        <v>339</v>
      </c>
      <c r="I486" s="9" t="b">
        <f t="shared" si="10"/>
        <v>0</v>
      </c>
      <c r="J486" s="1" t="s">
        <v>395</v>
      </c>
      <c r="K486" s="1" t="s">
        <v>353</v>
      </c>
      <c r="L486" s="1" t="s">
        <v>353</v>
      </c>
      <c r="M486" s="9"/>
      <c r="N486" s="35"/>
      <c r="O486" s="2">
        <v>171</v>
      </c>
      <c r="P486" s="2" cm="1">
        <f t="array" ref="P486">_xlfn.XLOOKUP(TRIM(B486),TRIM('[1]wc-product-export-16-3-2026-177'!$A:$A),'[1]wc-product-export-16-3-2026-177'!$D:$D,0,0)</f>
        <v>0</v>
      </c>
      <c r="Q486" s="2" cm="1">
        <f t="array" ref="Q486">IF(TRIM($D486)="SET",IF($K486="Steak Set1",ROUNDDOWN(IFERROR(MIN(_xlfn._xlws.FILTER(O$3:O$650,ISNUMBER(MATCH(TRIM($B$3:$B$650),TRIM(_xlfn.TEXTSPLIT($N486,",")),0)))),0)/4,0)+P486,IF(IFERROR(MIN(_xlfn._xlws.FILTER(O$3:O$650,ISNUMBER(MATCH(TRIM($B$3:$B$650),TRIM(_xlfn.TEXTSPLIT($N486,",")),0)))),0)&gt;=$E$1,IFERROR(MIN(_xlfn._xlws.FILTER(O$3:O$650,ISNUMBER(MATCH(TRIM($B$3:$B$650),TRIM(_xlfn.TEXTSPLIT($N486,",")),0)))),0)+P486,P486)),IF(TRIM($D486)="EA",IF(TRIM($E486)="M",ROUNDUP(O486*0.85,0),IF(TRIM($E486)="P",O486,P486)),P486))</f>
        <v>171</v>
      </c>
      <c r="T486" t="str" cm="1">
        <f t="array" ref="T486">IFERROR(IF(D486="SET",_xlfn.TEXTJOIN(", ",TRUE,_xlfn._xlws.FILTER(TRANSPOSE(TRIM(_xlfn.TEXTSPLIT(N486,","))),COUNTIFS(B$3:B$650,TRANSPOSE(TRIM(_xlfn.TEXTSPLIT(N486,","))),O$3:O$650,"&lt;="&amp;$T$1))),""),"")</f>
        <v/>
      </c>
    </row>
    <row r="487" spans="1:20" ht="15.6" customHeight="1" x14ac:dyDescent="0.3">
      <c r="A487" s="1">
        <v>59926</v>
      </c>
      <c r="B487" s="1" t="s">
        <v>1010</v>
      </c>
      <c r="C487" s="1" t="s">
        <v>1261</v>
      </c>
      <c r="D487" s="1" t="s">
        <v>628</v>
      </c>
      <c r="E487" s="1" t="s">
        <v>686</v>
      </c>
      <c r="F487" s="9" t="s">
        <v>1608</v>
      </c>
      <c r="G487" s="9"/>
      <c r="H487" s="16" t="s">
        <v>368</v>
      </c>
      <c r="I487" s="9" t="b">
        <f t="shared" si="10"/>
        <v>0</v>
      </c>
      <c r="J487" s="1" t="s">
        <v>402</v>
      </c>
      <c r="K487" s="1" t="s">
        <v>280</v>
      </c>
      <c r="L487" s="1" t="s">
        <v>1721</v>
      </c>
      <c r="M487" s="9"/>
      <c r="N487" s="35" t="s">
        <v>1332</v>
      </c>
      <c r="O487" s="2" t="s">
        <v>458</v>
      </c>
      <c r="P487" s="2" cm="1">
        <f t="array" ref="P487">_xlfn.XLOOKUP(TRIM(B487),TRIM('[1]wc-product-export-16-3-2026-177'!$A:$A),'[1]wc-product-export-16-3-2026-177'!$D:$D,0,0)</f>
        <v>0</v>
      </c>
      <c r="Q487" s="2" cm="1">
        <f t="array" ref="Q487">IF(TRIM($D487)="SET",IF($K487="Steak Set1",ROUNDDOWN(IFERROR(MIN(_xlfn._xlws.FILTER(O$3:O$650,ISNUMBER(MATCH(TRIM($B$3:$B$650),TRIM(_xlfn.TEXTSPLIT($N487,",")),0)))),0)/4,0)+P487,IF(IFERROR(MIN(_xlfn._xlws.FILTER(O$3:O$650,ISNUMBER(MATCH(TRIM($B$3:$B$650),TRIM(_xlfn.TEXTSPLIT($N487,",")),0)))),0)&gt;=$E$1,IFERROR(MIN(_xlfn._xlws.FILTER(O$3:O$650,ISNUMBER(MATCH(TRIM($B$3:$B$650),TRIM(_xlfn.TEXTSPLIT($N487,",")),0)))),0)+P487,P487)),IF(TRIM($D487)="EA",IF(TRIM($E487)="M",ROUNDUP(O487*0.85,0),IF(TRIM($E487)="P",O487,P487)),P487))</f>
        <v>13</v>
      </c>
      <c r="T487" t="str" cm="1">
        <f t="array" ref="T487">IFERROR(IF(D487="SET",_xlfn.TEXTJOIN(", ",TRUE,_xlfn._xlws.FILTER(TRANSPOSE(TRIM(_xlfn.TEXTSPLIT(N487,","))),COUNTIFS(B$3:B$650,TRANSPOSE(TRIM(_xlfn.TEXTSPLIT(N487,","))),O$3:O$650,"&lt;="&amp;$T$1))),""),"")</f>
        <v/>
      </c>
    </row>
    <row r="488" spans="1:20" ht="15.6" customHeight="1" x14ac:dyDescent="0.3">
      <c r="A488" s="1">
        <v>56894</v>
      </c>
      <c r="B488" s="1" t="s">
        <v>993</v>
      </c>
      <c r="C488" s="1" t="s">
        <v>1259</v>
      </c>
      <c r="D488" s="1" t="s">
        <v>624</v>
      </c>
      <c r="E488" s="1" t="s">
        <v>623</v>
      </c>
      <c r="F488" s="9"/>
      <c r="G488" s="9"/>
      <c r="H488" s="16" t="s">
        <v>340</v>
      </c>
      <c r="I488" s="9" t="b">
        <f t="shared" ref="I488:I519" si="11">ISNUMBER(SEARCH($I$2,H488))</f>
        <v>0</v>
      </c>
      <c r="J488" s="1" t="s">
        <v>395</v>
      </c>
      <c r="K488" s="1" t="s">
        <v>353</v>
      </c>
      <c r="L488" s="1" t="s">
        <v>353</v>
      </c>
      <c r="M488" s="9"/>
      <c r="N488" s="35"/>
      <c r="O488" s="2">
        <v>125</v>
      </c>
      <c r="P488" s="2" cm="1">
        <f t="array" ref="P488">_xlfn.XLOOKUP(TRIM(B488),TRIM('[1]wc-product-export-16-3-2026-177'!$A:$A),'[1]wc-product-export-16-3-2026-177'!$D:$D,0,0)</f>
        <v>0</v>
      </c>
      <c r="Q488" s="2" cm="1">
        <f t="array" ref="Q488">IF(TRIM($D488)="SET",IF($K488="Steak Set1",ROUNDDOWN(IFERROR(MIN(_xlfn._xlws.FILTER(O$3:O$650,ISNUMBER(MATCH(TRIM($B$3:$B$650),TRIM(_xlfn.TEXTSPLIT($N488,",")),0)))),0)/4,0)+P488,IF(IFERROR(MIN(_xlfn._xlws.FILTER(O$3:O$650,ISNUMBER(MATCH(TRIM($B$3:$B$650),TRIM(_xlfn.TEXTSPLIT($N488,",")),0)))),0)&gt;=$E$1,IFERROR(MIN(_xlfn._xlws.FILTER(O$3:O$650,ISNUMBER(MATCH(TRIM($B$3:$B$650),TRIM(_xlfn.TEXTSPLIT($N488,",")),0)))),0)+P488,P488)),IF(TRIM($D488)="EA",IF(TRIM($E488)="M",ROUNDUP(O488*0.85,0),IF(TRIM($E488)="P",O488,P488)),P488))</f>
        <v>125</v>
      </c>
      <c r="T488" t="str" cm="1">
        <f t="array" ref="T488">IFERROR(IF(D488="SET",_xlfn.TEXTJOIN(", ",TRUE,_xlfn._xlws.FILTER(TRANSPOSE(TRIM(_xlfn.TEXTSPLIT(N488,","))),COUNTIFS(B$3:B$650,TRANSPOSE(TRIM(_xlfn.TEXTSPLIT(N488,","))),O$3:O$650,"&lt;="&amp;$T$1))),""),"")</f>
        <v/>
      </c>
    </row>
    <row r="489" spans="1:20" ht="15.6" customHeight="1" x14ac:dyDescent="0.3">
      <c r="A489" s="1">
        <v>56895</v>
      </c>
      <c r="B489" s="1" t="s">
        <v>994</v>
      </c>
      <c r="C489" s="1" t="s">
        <v>1259</v>
      </c>
      <c r="D489" s="1" t="s">
        <v>624</v>
      </c>
      <c r="E489" s="1" t="s">
        <v>623</v>
      </c>
      <c r="F489" s="9"/>
      <c r="G489" s="9"/>
      <c r="H489" s="16" t="s">
        <v>341</v>
      </c>
      <c r="I489" s="9" t="b">
        <f t="shared" si="11"/>
        <v>0</v>
      </c>
      <c r="J489" s="1" t="s">
        <v>395</v>
      </c>
      <c r="K489" s="1" t="s">
        <v>353</v>
      </c>
      <c r="L489" s="1" t="s">
        <v>353</v>
      </c>
      <c r="M489" s="9"/>
      <c r="N489" s="35"/>
      <c r="O489" s="2">
        <v>357</v>
      </c>
      <c r="P489" s="2" cm="1">
        <f t="array" ref="P489">_xlfn.XLOOKUP(TRIM(B489),TRIM('[1]wc-product-export-16-3-2026-177'!$A:$A),'[1]wc-product-export-16-3-2026-177'!$D:$D,0,0)</f>
        <v>0</v>
      </c>
      <c r="Q489" s="2" cm="1">
        <f t="array" ref="Q489">IF(TRIM($D489)="SET",IF($K489="Steak Set1",ROUNDDOWN(IFERROR(MIN(_xlfn._xlws.FILTER(O$3:O$650,ISNUMBER(MATCH(TRIM($B$3:$B$650),TRIM(_xlfn.TEXTSPLIT($N489,",")),0)))),0)/4,0)+P489,IF(IFERROR(MIN(_xlfn._xlws.FILTER(O$3:O$650,ISNUMBER(MATCH(TRIM($B$3:$B$650),TRIM(_xlfn.TEXTSPLIT($N489,",")),0)))),0)&gt;=$E$1,IFERROR(MIN(_xlfn._xlws.FILTER(O$3:O$650,ISNUMBER(MATCH(TRIM($B$3:$B$650),TRIM(_xlfn.TEXTSPLIT($N489,",")),0)))),0)+P489,P489)),IF(TRIM($D489)="EA",IF(TRIM($E489)="M",ROUNDUP(O489*0.85,0),IF(TRIM($E489)="P",O489,P489)),P489))</f>
        <v>357</v>
      </c>
      <c r="T489" t="str" cm="1">
        <f t="array" ref="T489">IFERROR(IF(D489="SET",_xlfn.TEXTJOIN(", ",TRUE,_xlfn._xlws.FILTER(TRANSPOSE(TRIM(_xlfn.TEXTSPLIT(N489,","))),COUNTIFS(B$3:B$650,TRANSPOSE(TRIM(_xlfn.TEXTSPLIT(N489,","))),O$3:O$650,"&lt;="&amp;$T$1))),""),"")</f>
        <v/>
      </c>
    </row>
    <row r="490" spans="1:20" ht="15.6" customHeight="1" x14ac:dyDescent="0.3">
      <c r="A490" s="1">
        <v>56867</v>
      </c>
      <c r="B490" s="50" t="s">
        <v>985</v>
      </c>
      <c r="C490" s="1" t="s">
        <v>1259</v>
      </c>
      <c r="D490" s="1" t="s">
        <v>624</v>
      </c>
      <c r="E490" s="1" t="s">
        <v>623</v>
      </c>
      <c r="F490" s="9"/>
      <c r="G490" s="9"/>
      <c r="H490" s="16" t="s">
        <v>412</v>
      </c>
      <c r="I490" s="9" t="b">
        <f t="shared" si="11"/>
        <v>0</v>
      </c>
      <c r="J490" s="1" t="s">
        <v>405</v>
      </c>
      <c r="K490" s="1" t="s">
        <v>10</v>
      </c>
      <c r="L490" s="1" t="s">
        <v>10</v>
      </c>
      <c r="M490" s="9"/>
      <c r="N490" s="35"/>
      <c r="O490" s="2">
        <v>56</v>
      </c>
      <c r="P490" s="2" cm="1">
        <f t="array" ref="P490">_xlfn.XLOOKUP(TRIM(B490),TRIM('[1]wc-product-export-16-3-2026-177'!$A:$A),'[1]wc-product-export-16-3-2026-177'!$D:$D,0,0)</f>
        <v>0</v>
      </c>
      <c r="Q490" s="2" cm="1">
        <f t="array" ref="Q490">IF(TRIM($D490)="SET",IF($K490="Steak Set1",ROUNDDOWN(IFERROR(MIN(_xlfn._xlws.FILTER(O$3:O$650,ISNUMBER(MATCH(TRIM($B$3:$B$650),TRIM(_xlfn.TEXTSPLIT($N490,",")),0)))),0)/4,0)+P490,IF(IFERROR(MIN(_xlfn._xlws.FILTER(O$3:O$650,ISNUMBER(MATCH(TRIM($B$3:$B$650),TRIM(_xlfn.TEXTSPLIT($N490,",")),0)))),0)&gt;=$E$1,IFERROR(MIN(_xlfn._xlws.FILTER(O$3:O$650,ISNUMBER(MATCH(TRIM($B$3:$B$650),TRIM(_xlfn.TEXTSPLIT($N490,",")),0)))),0)+P490,P490)),IF(TRIM($D490)="EA",IF(TRIM($E490)="M",ROUNDUP(O490*0.85,0),IF(TRIM($E490)="P",O490,P490)),P490))</f>
        <v>56</v>
      </c>
      <c r="T490" t="str" cm="1">
        <f t="array" ref="T490">IFERROR(IF(D490="SET",_xlfn.TEXTJOIN(", ",TRUE,_xlfn._xlws.FILTER(TRANSPOSE(TRIM(_xlfn.TEXTSPLIT(N490,","))),COUNTIFS(B$3:B$650,TRANSPOSE(TRIM(_xlfn.TEXTSPLIT(N490,","))),O$3:O$650,"&lt;="&amp;$T$1))),""),"")</f>
        <v/>
      </c>
    </row>
    <row r="491" spans="1:20" ht="15.6" customHeight="1" x14ac:dyDescent="0.3">
      <c r="A491" s="1">
        <v>56868</v>
      </c>
      <c r="B491" s="50" t="s">
        <v>986</v>
      </c>
      <c r="C491" s="1" t="s">
        <v>1259</v>
      </c>
      <c r="D491" s="1" t="s">
        <v>624</v>
      </c>
      <c r="E491" s="1" t="s">
        <v>623</v>
      </c>
      <c r="F491" s="9"/>
      <c r="G491" s="9"/>
      <c r="H491" s="16" t="s">
        <v>410</v>
      </c>
      <c r="I491" s="9" t="b">
        <f t="shared" si="11"/>
        <v>0</v>
      </c>
      <c r="J491" s="1" t="s">
        <v>405</v>
      </c>
      <c r="K491" s="1" t="s">
        <v>10</v>
      </c>
      <c r="L491" s="1" t="s">
        <v>10</v>
      </c>
      <c r="M491" s="9"/>
      <c r="N491" s="35"/>
      <c r="O491" s="2">
        <v>25</v>
      </c>
      <c r="P491" s="2" cm="1">
        <f t="array" ref="P491">_xlfn.XLOOKUP(TRIM(B491),TRIM('[1]wc-product-export-16-3-2026-177'!$A:$A),'[1]wc-product-export-16-3-2026-177'!$D:$D,0,0)</f>
        <v>0</v>
      </c>
      <c r="Q491" s="2" cm="1">
        <f t="array" ref="Q491">IF(TRIM($D491)="SET",IF($K491="Steak Set1",ROUNDDOWN(IFERROR(MIN(_xlfn._xlws.FILTER(O$3:O$650,ISNUMBER(MATCH(TRIM($B$3:$B$650),TRIM(_xlfn.TEXTSPLIT($N491,",")),0)))),0)/4,0)+P491,IF(IFERROR(MIN(_xlfn._xlws.FILTER(O$3:O$650,ISNUMBER(MATCH(TRIM($B$3:$B$650),TRIM(_xlfn.TEXTSPLIT($N491,",")),0)))),0)&gt;=$E$1,IFERROR(MIN(_xlfn._xlws.FILTER(O$3:O$650,ISNUMBER(MATCH(TRIM($B$3:$B$650),TRIM(_xlfn.TEXTSPLIT($N491,",")),0)))),0)+P491,P491)),IF(TRIM($D491)="EA",IF(TRIM($E491)="M",ROUNDUP(O491*0.85,0),IF(TRIM($E491)="P",O491,P491)),P491))</f>
        <v>25</v>
      </c>
      <c r="T491" t="str" cm="1">
        <f t="array" ref="T491">IFERROR(IF(D491="SET",_xlfn.TEXTJOIN(", ",TRUE,_xlfn._xlws.FILTER(TRANSPOSE(TRIM(_xlfn.TEXTSPLIT(N491,","))),COUNTIFS(B$3:B$650,TRANSPOSE(TRIM(_xlfn.TEXTSPLIT(N491,","))),O$3:O$650,"&lt;="&amp;$T$1))),""),"")</f>
        <v/>
      </c>
    </row>
    <row r="492" spans="1:20" ht="15.6" customHeight="1" x14ac:dyDescent="0.3">
      <c r="A492" s="1">
        <v>59927</v>
      </c>
      <c r="B492" s="1" t="s">
        <v>1011</v>
      </c>
      <c r="C492" s="1" t="s">
        <v>1261</v>
      </c>
      <c r="D492" s="1" t="s">
        <v>628</v>
      </c>
      <c r="E492" s="1" t="s">
        <v>686</v>
      </c>
      <c r="F492" s="9" t="s">
        <v>1689</v>
      </c>
      <c r="G492" s="9"/>
      <c r="H492" s="16" t="s">
        <v>369</v>
      </c>
      <c r="I492" s="9" t="b">
        <f t="shared" si="11"/>
        <v>0</v>
      </c>
      <c r="J492" s="1" t="s">
        <v>402</v>
      </c>
      <c r="K492" s="1" t="s">
        <v>280</v>
      </c>
      <c r="L492" s="1" t="s">
        <v>1721</v>
      </c>
      <c r="M492" s="9"/>
      <c r="N492" s="35" t="s">
        <v>1333</v>
      </c>
      <c r="O492" s="2" t="s">
        <v>458</v>
      </c>
      <c r="P492" s="2" cm="1">
        <f t="array" ref="P492">_xlfn.XLOOKUP(TRIM(B492),TRIM('[1]wc-product-export-16-3-2026-177'!$A:$A),'[1]wc-product-export-16-3-2026-177'!$D:$D,0,0)</f>
        <v>0</v>
      </c>
      <c r="Q492" s="2" cm="1">
        <f t="array" ref="Q492">IF(TRIM($D492)="SET",IF($K492="Steak Set1",ROUNDDOWN(IFERROR(MIN(_xlfn._xlws.FILTER(O$3:O$650,ISNUMBER(MATCH(TRIM($B$3:$B$650),TRIM(_xlfn.TEXTSPLIT($N492,",")),0)))),0)/4,0)+P492,IF(IFERROR(MIN(_xlfn._xlws.FILTER(O$3:O$650,ISNUMBER(MATCH(TRIM($B$3:$B$650),TRIM(_xlfn.TEXTSPLIT($N492,",")),0)))),0)&gt;=$E$1,IFERROR(MIN(_xlfn._xlws.FILTER(O$3:O$650,ISNUMBER(MATCH(TRIM($B$3:$B$650),TRIM(_xlfn.TEXTSPLIT($N492,",")),0)))),0)+P492,P492)),IF(TRIM($D492)="EA",IF(TRIM($E492)="M",ROUNDUP(O492*0.85,0),IF(TRIM($E492)="P",O492,P492)),P492))</f>
        <v>13</v>
      </c>
      <c r="T492" t="str" cm="1">
        <f t="array" ref="T492">IFERROR(IF(D492="SET",_xlfn.TEXTJOIN(", ",TRUE,_xlfn._xlws.FILTER(TRANSPOSE(TRIM(_xlfn.TEXTSPLIT(N492,","))),COUNTIFS(B$3:B$650,TRANSPOSE(TRIM(_xlfn.TEXTSPLIT(N492,","))),O$3:O$650,"&lt;="&amp;$T$1))),""),"")</f>
        <v/>
      </c>
    </row>
    <row r="493" spans="1:20" ht="15.6" customHeight="1" x14ac:dyDescent="0.3">
      <c r="A493" s="1">
        <v>59928</v>
      </c>
      <c r="B493" s="1" t="s">
        <v>1012</v>
      </c>
      <c r="C493" s="1" t="s">
        <v>1261</v>
      </c>
      <c r="D493" s="1" t="s">
        <v>628</v>
      </c>
      <c r="E493" s="1" t="s">
        <v>686</v>
      </c>
      <c r="F493" s="9" t="s">
        <v>1689</v>
      </c>
      <c r="G493" s="9"/>
      <c r="H493" s="16" t="s">
        <v>370</v>
      </c>
      <c r="I493" s="9" t="b">
        <f t="shared" si="11"/>
        <v>0</v>
      </c>
      <c r="J493" s="1" t="s">
        <v>402</v>
      </c>
      <c r="K493" s="1" t="s">
        <v>280</v>
      </c>
      <c r="L493" s="1" t="s">
        <v>1721</v>
      </c>
      <c r="M493" s="9"/>
      <c r="N493" s="35" t="s">
        <v>1334</v>
      </c>
      <c r="O493" s="2" t="s">
        <v>458</v>
      </c>
      <c r="P493" s="2" cm="1">
        <f t="array" ref="P493">_xlfn.XLOOKUP(TRIM(B493),TRIM('[1]wc-product-export-16-3-2026-177'!$A:$A),'[1]wc-product-export-16-3-2026-177'!$D:$D,0,0)</f>
        <v>0</v>
      </c>
      <c r="Q493" s="2" cm="1">
        <f t="array" ref="Q493">IF(TRIM($D493)="SET",IF($K493="Steak Set1",ROUNDDOWN(IFERROR(MIN(_xlfn._xlws.FILTER(O$3:O$650,ISNUMBER(MATCH(TRIM($B$3:$B$650),TRIM(_xlfn.TEXTSPLIT($N493,",")),0)))),0)/4,0)+P493,IF(IFERROR(MIN(_xlfn._xlws.FILTER(O$3:O$650,ISNUMBER(MATCH(TRIM($B$3:$B$650),TRIM(_xlfn.TEXTSPLIT($N493,",")),0)))),0)&gt;=$E$1,IFERROR(MIN(_xlfn._xlws.FILTER(O$3:O$650,ISNUMBER(MATCH(TRIM($B$3:$B$650),TRIM(_xlfn.TEXTSPLIT($N493,",")),0)))),0)+P493,P493)),IF(TRIM($D493)="EA",IF(TRIM($E493)="M",ROUNDUP(O493*0.85,0),IF(TRIM($E493)="P",O493,P493)),P493))</f>
        <v>13</v>
      </c>
      <c r="T493" t="str" cm="1">
        <f t="array" ref="T493">IFERROR(IF(D493="SET",_xlfn.TEXTJOIN(", ",TRUE,_xlfn._xlws.FILTER(TRANSPOSE(TRIM(_xlfn.TEXTSPLIT(N493,","))),COUNTIFS(B$3:B$650,TRANSPOSE(TRIM(_xlfn.TEXTSPLIT(N493,","))),O$3:O$650,"&lt;="&amp;$T$1))),""),"")</f>
        <v/>
      </c>
    </row>
    <row r="494" spans="1:20" ht="15.6" customHeight="1" x14ac:dyDescent="0.3">
      <c r="A494" s="1">
        <v>59929</v>
      </c>
      <c r="B494" s="1" t="s">
        <v>1013</v>
      </c>
      <c r="C494" s="1" t="s">
        <v>1261</v>
      </c>
      <c r="D494" s="1" t="s">
        <v>628</v>
      </c>
      <c r="E494" s="1" t="s">
        <v>686</v>
      </c>
      <c r="F494" s="9" t="s">
        <v>1689</v>
      </c>
      <c r="G494" s="9"/>
      <c r="H494" s="16" t="s">
        <v>371</v>
      </c>
      <c r="I494" s="9" t="b">
        <f t="shared" si="11"/>
        <v>0</v>
      </c>
      <c r="J494" s="1" t="s">
        <v>402</v>
      </c>
      <c r="K494" s="1" t="s">
        <v>280</v>
      </c>
      <c r="L494" s="1" t="s">
        <v>1721</v>
      </c>
      <c r="M494" s="9"/>
      <c r="N494" s="35" t="s">
        <v>1335</v>
      </c>
      <c r="O494" s="2" t="s">
        <v>458</v>
      </c>
      <c r="P494" s="2" cm="1">
        <f t="array" ref="P494">_xlfn.XLOOKUP(TRIM(B494),TRIM('[1]wc-product-export-16-3-2026-177'!$A:$A),'[1]wc-product-export-16-3-2026-177'!$D:$D,0,0)</f>
        <v>0</v>
      </c>
      <c r="Q494" s="2" cm="1">
        <f t="array" ref="Q494">IF(TRIM($D494)="SET",IF($K494="Steak Set1",ROUNDDOWN(IFERROR(MIN(_xlfn._xlws.FILTER(O$3:O$650,ISNUMBER(MATCH(TRIM($B$3:$B$650),TRIM(_xlfn.TEXTSPLIT($N494,",")),0)))),0)/4,0)+P494,IF(IFERROR(MIN(_xlfn._xlws.FILTER(O$3:O$650,ISNUMBER(MATCH(TRIM($B$3:$B$650),TRIM(_xlfn.TEXTSPLIT($N494,",")),0)))),0)&gt;=$E$1,IFERROR(MIN(_xlfn._xlws.FILTER(O$3:O$650,ISNUMBER(MATCH(TRIM($B$3:$B$650),TRIM(_xlfn.TEXTSPLIT($N494,",")),0)))),0)+P494,P494)),IF(TRIM($D494)="EA",IF(TRIM($E494)="M",ROUNDUP(O494*0.85,0),IF(TRIM($E494)="P",O494,P494)),P494))</f>
        <v>0</v>
      </c>
      <c r="T494" t="str" cm="1">
        <f t="array" ref="T494">IFERROR(IF(D494="SET",_xlfn.TEXTJOIN(", ",TRUE,_xlfn._xlws.FILTER(TRANSPOSE(TRIM(_xlfn.TEXTSPLIT(N494,","))),COUNTIFS(B$3:B$650,TRANSPOSE(TRIM(_xlfn.TEXTSPLIT(N494,","))),O$3:O$650,"&lt;="&amp;$T$1))),""),"")</f>
        <v>59920</v>
      </c>
    </row>
    <row r="495" spans="1:20" ht="15.6" customHeight="1" x14ac:dyDescent="0.3">
      <c r="A495" s="1">
        <v>59935</v>
      </c>
      <c r="B495" s="55" t="s">
        <v>1014</v>
      </c>
      <c r="C495" s="1" t="s">
        <v>1261</v>
      </c>
      <c r="D495" s="1" t="s">
        <v>624</v>
      </c>
      <c r="E495" s="1" t="s">
        <v>686</v>
      </c>
      <c r="F495" s="9"/>
      <c r="G495" s="9"/>
      <c r="H495" s="16" t="s">
        <v>63</v>
      </c>
      <c r="I495" s="9" t="b">
        <f t="shared" si="11"/>
        <v>0</v>
      </c>
      <c r="J495" s="1" t="s">
        <v>402</v>
      </c>
      <c r="K495" s="1" t="s">
        <v>271</v>
      </c>
      <c r="L495" s="1" t="s">
        <v>271</v>
      </c>
      <c r="M495" s="9"/>
      <c r="N495" s="35"/>
      <c r="O495" s="24">
        <v>13</v>
      </c>
      <c r="P495" s="2" cm="1">
        <f t="array" ref="P495">_xlfn.XLOOKUP(TRIM(B495),TRIM('[1]wc-product-export-16-3-2026-177'!$A:$A),'[1]wc-product-export-16-3-2026-177'!$D:$D,0,0)</f>
        <v>0</v>
      </c>
      <c r="Q495" s="2" cm="1">
        <f t="array" ref="Q495">IF(TRIM($D495)="SET",IF($K495="Steak Set1",ROUNDDOWN(IFERROR(MIN(_xlfn._xlws.FILTER(O$3:O$650,ISNUMBER(MATCH(TRIM($B$3:$B$650),TRIM(_xlfn.TEXTSPLIT($N495,",")),0)))),0)/4,0)+P495,IF(IFERROR(MIN(_xlfn._xlws.FILTER(O$3:O$650,ISNUMBER(MATCH(TRIM($B$3:$B$650),TRIM(_xlfn.TEXTSPLIT($N495,",")),0)))),0)&gt;=$E$1,IFERROR(MIN(_xlfn._xlws.FILTER(O$3:O$650,ISNUMBER(MATCH(TRIM($B$3:$B$650),TRIM(_xlfn.TEXTSPLIT($N495,",")),0)))),0)+P495,P495)),IF(TRIM($D495)="EA",IF(TRIM($E495)="M",ROUNDUP(O495*0.85,0),IF(TRIM($E495)="P",O495,P495)),P495))</f>
        <v>12</v>
      </c>
      <c r="T495" t="str" cm="1">
        <f t="array" ref="T495">IFERROR(IF(D495="SET",_xlfn.TEXTJOIN(", ",TRUE,_xlfn._xlws.FILTER(TRANSPOSE(TRIM(_xlfn.TEXTSPLIT(N495,","))),COUNTIFS(B$3:B$650,TRANSPOSE(TRIM(_xlfn.TEXTSPLIT(N495,","))),O$3:O$650,"&lt;="&amp;$T$1))),""),"")</f>
        <v/>
      </c>
    </row>
    <row r="496" spans="1:20" ht="15.6" customHeight="1" x14ac:dyDescent="0.3">
      <c r="A496" s="1">
        <v>59938</v>
      </c>
      <c r="B496" s="56" t="s">
        <v>1015</v>
      </c>
      <c r="C496" s="1" t="s">
        <v>1261</v>
      </c>
      <c r="D496" s="1" t="s">
        <v>624</v>
      </c>
      <c r="E496" s="1" t="s">
        <v>686</v>
      </c>
      <c r="F496" s="9"/>
      <c r="G496" s="9"/>
      <c r="H496" s="16" t="s">
        <v>64</v>
      </c>
      <c r="I496" s="9" t="b">
        <f t="shared" si="11"/>
        <v>0</v>
      </c>
      <c r="J496" s="1" t="s">
        <v>402</v>
      </c>
      <c r="K496" s="1" t="s">
        <v>272</v>
      </c>
      <c r="L496" s="1" t="s">
        <v>272</v>
      </c>
      <c r="M496" s="9"/>
      <c r="N496" s="35"/>
      <c r="O496" s="24">
        <v>27</v>
      </c>
      <c r="P496" s="2" cm="1">
        <f t="array" ref="P496">_xlfn.XLOOKUP(TRIM(B496),TRIM('[1]wc-product-export-16-3-2026-177'!$A:$A),'[1]wc-product-export-16-3-2026-177'!$D:$D,0,0)</f>
        <v>0</v>
      </c>
      <c r="Q496" s="2" cm="1">
        <f t="array" ref="Q496">IF(TRIM($D496)="SET",IF($K496="Steak Set1",ROUNDDOWN(IFERROR(MIN(_xlfn._xlws.FILTER(O$3:O$650,ISNUMBER(MATCH(TRIM($B$3:$B$650),TRIM(_xlfn.TEXTSPLIT($N496,",")),0)))),0)/4,0)+P496,IF(IFERROR(MIN(_xlfn._xlws.FILTER(O$3:O$650,ISNUMBER(MATCH(TRIM($B$3:$B$650),TRIM(_xlfn.TEXTSPLIT($N496,",")),0)))),0)&gt;=$E$1,IFERROR(MIN(_xlfn._xlws.FILTER(O$3:O$650,ISNUMBER(MATCH(TRIM($B$3:$B$650),TRIM(_xlfn.TEXTSPLIT($N496,",")),0)))),0)+P496,P496)),IF(TRIM($D496)="EA",IF(TRIM($E496)="M",ROUNDUP(O496*0.85,0),IF(TRIM($E496)="P",O496,P496)),P496))</f>
        <v>23</v>
      </c>
      <c r="T496" t="str" cm="1">
        <f t="array" ref="T496">IFERROR(IF(D496="SET",_xlfn.TEXTJOIN(", ",TRUE,_xlfn._xlws.FILTER(TRANSPOSE(TRIM(_xlfn.TEXTSPLIT(N496,","))),COUNTIFS(B$3:B$650,TRANSPOSE(TRIM(_xlfn.TEXTSPLIT(N496,","))),O$3:O$650,"&lt;="&amp;$T$1))),""),"")</f>
        <v/>
      </c>
    </row>
    <row r="497" spans="1:20" ht="15.6" customHeight="1" x14ac:dyDescent="0.3">
      <c r="A497" s="1">
        <v>59940</v>
      </c>
      <c r="B497" s="55" t="s">
        <v>1016</v>
      </c>
      <c r="C497" s="1" t="s">
        <v>1261</v>
      </c>
      <c r="D497" s="1" t="s">
        <v>624</v>
      </c>
      <c r="E497" s="1" t="s">
        <v>686</v>
      </c>
      <c r="F497" s="9" t="s">
        <v>1688</v>
      </c>
      <c r="G497" s="9"/>
      <c r="H497" s="16" t="s">
        <v>176</v>
      </c>
      <c r="I497" s="9" t="b">
        <f t="shared" si="11"/>
        <v>0</v>
      </c>
      <c r="J497" s="1" t="s">
        <v>402</v>
      </c>
      <c r="K497" s="1" t="s">
        <v>273</v>
      </c>
      <c r="L497" s="1" t="s">
        <v>273</v>
      </c>
      <c r="M497" s="9"/>
      <c r="N497" s="35"/>
      <c r="O497" s="24">
        <v>25</v>
      </c>
      <c r="P497" s="2" cm="1">
        <f t="array" ref="P497">_xlfn.XLOOKUP(TRIM(B497),TRIM('[1]wc-product-export-16-3-2026-177'!$A:$A),'[1]wc-product-export-16-3-2026-177'!$D:$D,0,0)</f>
        <v>0</v>
      </c>
      <c r="Q497" s="2" cm="1">
        <f t="array" ref="Q497">IF(TRIM($D497)="SET",IF($K497="Steak Set1",ROUNDDOWN(IFERROR(MIN(_xlfn._xlws.FILTER(O$3:O$650,ISNUMBER(MATCH(TRIM($B$3:$B$650),TRIM(_xlfn.TEXTSPLIT($N497,",")),0)))),0)/4,0)+P497,IF(IFERROR(MIN(_xlfn._xlws.FILTER(O$3:O$650,ISNUMBER(MATCH(TRIM($B$3:$B$650),TRIM(_xlfn.TEXTSPLIT($N497,",")),0)))),0)&gt;=$E$1,IFERROR(MIN(_xlfn._xlws.FILTER(O$3:O$650,ISNUMBER(MATCH(TRIM($B$3:$B$650),TRIM(_xlfn.TEXTSPLIT($N497,",")),0)))),0)+P497,P497)),IF(TRIM($D497)="EA",IF(TRIM($E497)="M",ROUNDUP(O497*0.85,0),IF(TRIM($E497)="P",O497,P497)),P497))</f>
        <v>22</v>
      </c>
      <c r="T497" t="str" cm="1">
        <f t="array" ref="T497">IFERROR(IF(D497="SET",_xlfn.TEXTJOIN(", ",TRUE,_xlfn._xlws.FILTER(TRANSPOSE(TRIM(_xlfn.TEXTSPLIT(N497,","))),COUNTIFS(B$3:B$650,TRANSPOSE(TRIM(_xlfn.TEXTSPLIT(N497,","))),O$3:O$650,"&lt;="&amp;$T$1))),""),"")</f>
        <v/>
      </c>
    </row>
    <row r="498" spans="1:20" ht="15.6" customHeight="1" x14ac:dyDescent="0.3">
      <c r="A498" s="1">
        <v>59943</v>
      </c>
      <c r="B498" s="55" t="s">
        <v>1017</v>
      </c>
      <c r="C498" s="1" t="s">
        <v>1261</v>
      </c>
      <c r="D498" s="1" t="s">
        <v>624</v>
      </c>
      <c r="E498" s="1" t="s">
        <v>686</v>
      </c>
      <c r="F498" s="9"/>
      <c r="G498" s="9"/>
      <c r="H498" s="16" t="s">
        <v>66</v>
      </c>
      <c r="I498" s="9" t="b">
        <f t="shared" si="11"/>
        <v>0</v>
      </c>
      <c r="J498" s="1" t="s">
        <v>402</v>
      </c>
      <c r="K498" s="1" t="s">
        <v>274</v>
      </c>
      <c r="L498" s="1" t="s">
        <v>274</v>
      </c>
      <c r="M498" s="9"/>
      <c r="N498" s="35"/>
      <c r="O498" s="24">
        <v>29</v>
      </c>
      <c r="P498" s="2" cm="1">
        <f t="array" ref="P498">_xlfn.XLOOKUP(TRIM(B498),TRIM('[1]wc-product-export-16-3-2026-177'!$A:$A),'[1]wc-product-export-16-3-2026-177'!$D:$D,0,0)</f>
        <v>0</v>
      </c>
      <c r="Q498" s="2" cm="1">
        <f t="array" ref="Q498">IF(TRIM($D498)="SET",IF($K498="Steak Set1",ROUNDDOWN(IFERROR(MIN(_xlfn._xlws.FILTER(O$3:O$650,ISNUMBER(MATCH(TRIM($B$3:$B$650),TRIM(_xlfn.TEXTSPLIT($N498,",")),0)))),0)/4,0)+P498,IF(IFERROR(MIN(_xlfn._xlws.FILTER(O$3:O$650,ISNUMBER(MATCH(TRIM($B$3:$B$650),TRIM(_xlfn.TEXTSPLIT($N498,",")),0)))),0)&gt;=$E$1,IFERROR(MIN(_xlfn._xlws.FILTER(O$3:O$650,ISNUMBER(MATCH(TRIM($B$3:$B$650),TRIM(_xlfn.TEXTSPLIT($N498,",")),0)))),0)+P498,P498)),IF(TRIM($D498)="EA",IF(TRIM($E498)="M",ROUNDUP(O498*0.85,0),IF(TRIM($E498)="P",O498,P498)),P498))</f>
        <v>25</v>
      </c>
      <c r="T498" t="str" cm="1">
        <f t="array" ref="T498">IFERROR(IF(D498="SET",_xlfn.TEXTJOIN(", ",TRUE,_xlfn._xlws.FILTER(TRANSPOSE(TRIM(_xlfn.TEXTSPLIT(N498,","))),COUNTIFS(B$3:B$650,TRANSPOSE(TRIM(_xlfn.TEXTSPLIT(N498,","))),O$3:O$650,"&lt;="&amp;$T$1))),""),"")</f>
        <v/>
      </c>
    </row>
    <row r="499" spans="1:20" ht="15.6" customHeight="1" x14ac:dyDescent="0.3">
      <c r="A499" s="1">
        <v>59945</v>
      </c>
      <c r="B499" s="55" t="s">
        <v>1018</v>
      </c>
      <c r="C499" s="1" t="s">
        <v>1261</v>
      </c>
      <c r="D499" s="1" t="s">
        <v>624</v>
      </c>
      <c r="E499" s="1" t="s">
        <v>686</v>
      </c>
      <c r="F499" s="9"/>
      <c r="G499" s="9"/>
      <c r="H499" s="16" t="s">
        <v>186</v>
      </c>
      <c r="I499" s="9" t="b">
        <f t="shared" si="11"/>
        <v>0</v>
      </c>
      <c r="J499" s="1" t="s">
        <v>402</v>
      </c>
      <c r="K499" s="1" t="s">
        <v>273</v>
      </c>
      <c r="L499" s="1" t="s">
        <v>1294</v>
      </c>
      <c r="M499" s="9"/>
      <c r="N499" s="35"/>
      <c r="O499" s="24">
        <v>29</v>
      </c>
      <c r="P499" s="2" cm="1">
        <f t="array" ref="P499">_xlfn.XLOOKUP(TRIM(B499),TRIM('[1]wc-product-export-16-3-2026-177'!$A:$A),'[1]wc-product-export-16-3-2026-177'!$D:$D,0,0)</f>
        <v>0</v>
      </c>
      <c r="Q499" s="2" cm="1">
        <f t="array" ref="Q499">IF(TRIM($D499)="SET",IF($K499="Steak Set1",ROUNDDOWN(IFERROR(MIN(_xlfn._xlws.FILTER(O$3:O$650,ISNUMBER(MATCH(TRIM($B$3:$B$650),TRIM(_xlfn.TEXTSPLIT($N499,",")),0)))),0)/4,0)+P499,IF(IFERROR(MIN(_xlfn._xlws.FILTER(O$3:O$650,ISNUMBER(MATCH(TRIM($B$3:$B$650),TRIM(_xlfn.TEXTSPLIT($N499,",")),0)))),0)&gt;=$E$1,IFERROR(MIN(_xlfn._xlws.FILTER(O$3:O$650,ISNUMBER(MATCH(TRIM($B$3:$B$650),TRIM(_xlfn.TEXTSPLIT($N499,",")),0)))),0)+P499,P499)),IF(TRIM($D499)="EA",IF(TRIM($E499)="M",ROUNDUP(O499*0.85,0),IF(TRIM($E499)="P",O499,P499)),P499))</f>
        <v>25</v>
      </c>
      <c r="T499" t="str" cm="1">
        <f t="array" ref="T499">IFERROR(IF(D499="SET",_xlfn.TEXTJOIN(", ",TRUE,_xlfn._xlws.FILTER(TRANSPOSE(TRIM(_xlfn.TEXTSPLIT(N499,","))),COUNTIFS(B$3:B$650,TRANSPOSE(TRIM(_xlfn.TEXTSPLIT(N499,","))),O$3:O$650,"&lt;="&amp;$T$1))),""),"")</f>
        <v/>
      </c>
    </row>
    <row r="500" spans="1:20" ht="15.6" customHeight="1" x14ac:dyDescent="0.3">
      <c r="A500" s="1">
        <v>59948</v>
      </c>
      <c r="B500" s="55" t="s">
        <v>1019</v>
      </c>
      <c r="C500" s="1" t="s">
        <v>1261</v>
      </c>
      <c r="D500" s="1" t="s">
        <v>624</v>
      </c>
      <c r="E500" s="1" t="s">
        <v>686</v>
      </c>
      <c r="F500" s="9"/>
      <c r="G500" s="9"/>
      <c r="H500" s="16" t="s">
        <v>93</v>
      </c>
      <c r="I500" s="9" t="b">
        <f t="shared" si="11"/>
        <v>0</v>
      </c>
      <c r="J500" s="1" t="s">
        <v>402</v>
      </c>
      <c r="K500" s="1" t="s">
        <v>275</v>
      </c>
      <c r="L500" s="1" t="s">
        <v>1730</v>
      </c>
      <c r="M500" s="9"/>
      <c r="N500" s="35"/>
      <c r="O500" s="24">
        <v>0</v>
      </c>
      <c r="P500" s="2" cm="1">
        <f t="array" ref="P500">_xlfn.XLOOKUP(TRIM(B500),TRIM('[1]wc-product-export-16-3-2026-177'!$A:$A),'[1]wc-product-export-16-3-2026-177'!$D:$D,0,0)</f>
        <v>0</v>
      </c>
      <c r="Q500" s="2" cm="1">
        <f t="array" ref="Q500">IF(TRIM($D500)="SET",IF($K500="Steak Set1",ROUNDDOWN(IFERROR(MIN(_xlfn._xlws.FILTER(O$3:O$650,ISNUMBER(MATCH(TRIM($B$3:$B$650),TRIM(_xlfn.TEXTSPLIT($N500,",")),0)))),0)/4,0)+P500,IF(IFERROR(MIN(_xlfn._xlws.FILTER(O$3:O$650,ISNUMBER(MATCH(TRIM($B$3:$B$650),TRIM(_xlfn.TEXTSPLIT($N500,",")),0)))),0)&gt;=$E$1,IFERROR(MIN(_xlfn._xlws.FILTER(O$3:O$650,ISNUMBER(MATCH(TRIM($B$3:$B$650),TRIM(_xlfn.TEXTSPLIT($N500,",")),0)))),0)+P500,P500)),IF(TRIM($D500)="EA",IF(TRIM($E500)="M",ROUNDUP(O500*0.85,0),IF(TRIM($E500)="P",O500,P500)),P500))</f>
        <v>0</v>
      </c>
      <c r="T500" t="str" cm="1">
        <f t="array" ref="T500">IFERROR(IF(D500="SET",_xlfn.TEXTJOIN(", ",TRUE,_xlfn._xlws.FILTER(TRANSPOSE(TRIM(_xlfn.TEXTSPLIT(N500,","))),COUNTIFS(B$3:B$650,TRANSPOSE(TRIM(_xlfn.TEXTSPLIT(N500,","))),O$3:O$650,"&lt;="&amp;$T$1))),""),"")</f>
        <v/>
      </c>
    </row>
    <row r="501" spans="1:20" ht="15.6" customHeight="1" x14ac:dyDescent="0.3">
      <c r="A501" s="1">
        <v>59949</v>
      </c>
      <c r="B501" s="56" t="s">
        <v>1020</v>
      </c>
      <c r="C501" s="1" t="s">
        <v>1261</v>
      </c>
      <c r="D501" s="1" t="s">
        <v>624</v>
      </c>
      <c r="E501" s="1" t="s">
        <v>686</v>
      </c>
      <c r="F501" s="9"/>
      <c r="G501" s="9"/>
      <c r="H501" s="16" t="s">
        <v>94</v>
      </c>
      <c r="I501" s="9" t="b">
        <f t="shared" si="11"/>
        <v>0</v>
      </c>
      <c r="J501" s="1" t="s">
        <v>402</v>
      </c>
      <c r="K501" s="1" t="s">
        <v>275</v>
      </c>
      <c r="L501" s="1" t="s">
        <v>1731</v>
      </c>
      <c r="M501" s="9"/>
      <c r="N501" s="35"/>
      <c r="O501" s="24">
        <v>44</v>
      </c>
      <c r="P501" s="2" cm="1">
        <f t="array" ref="P501">_xlfn.XLOOKUP(TRIM(B501),TRIM('[1]wc-product-export-16-3-2026-177'!$A:$A),'[1]wc-product-export-16-3-2026-177'!$D:$D,0,0)</f>
        <v>0</v>
      </c>
      <c r="Q501" s="2" cm="1">
        <f t="array" ref="Q501">IF(TRIM($D501)="SET",IF($K501="Steak Set1",ROUNDDOWN(IFERROR(MIN(_xlfn._xlws.FILTER(O$3:O$650,ISNUMBER(MATCH(TRIM($B$3:$B$650),TRIM(_xlfn.TEXTSPLIT($N501,",")),0)))),0)/4,0)+P501,IF(IFERROR(MIN(_xlfn._xlws.FILTER(O$3:O$650,ISNUMBER(MATCH(TRIM($B$3:$B$650),TRIM(_xlfn.TEXTSPLIT($N501,",")),0)))),0)&gt;=$E$1,IFERROR(MIN(_xlfn._xlws.FILTER(O$3:O$650,ISNUMBER(MATCH(TRIM($B$3:$B$650),TRIM(_xlfn.TEXTSPLIT($N501,",")),0)))),0)+P501,P501)),IF(TRIM($D501)="EA",IF(TRIM($E501)="M",ROUNDUP(O501*0.85,0),IF(TRIM($E501)="P",O501,P501)),P501))</f>
        <v>38</v>
      </c>
      <c r="T501" t="str" cm="1">
        <f t="array" ref="T501">IFERROR(IF(D501="SET",_xlfn.TEXTJOIN(", ",TRUE,_xlfn._xlws.FILTER(TRANSPOSE(TRIM(_xlfn.TEXTSPLIT(N501,","))),COUNTIFS(B$3:B$650,TRANSPOSE(TRIM(_xlfn.TEXTSPLIT(N501,","))),O$3:O$650,"&lt;="&amp;$T$1))),""),"")</f>
        <v/>
      </c>
    </row>
    <row r="502" spans="1:20" ht="15.6" customHeight="1" x14ac:dyDescent="0.3">
      <c r="A502" s="1">
        <v>59950</v>
      </c>
      <c r="B502" s="56" t="s">
        <v>1021</v>
      </c>
      <c r="C502" s="1" t="s">
        <v>1261</v>
      </c>
      <c r="D502" s="1" t="s">
        <v>624</v>
      </c>
      <c r="E502" s="1" t="s">
        <v>686</v>
      </c>
      <c r="F502" s="9"/>
      <c r="G502" s="9"/>
      <c r="H502" s="16" t="s">
        <v>95</v>
      </c>
      <c r="I502" s="9" t="b">
        <f t="shared" si="11"/>
        <v>0</v>
      </c>
      <c r="J502" s="1" t="s">
        <v>402</v>
      </c>
      <c r="K502" s="1" t="s">
        <v>275</v>
      </c>
      <c r="L502" s="1" t="s">
        <v>1732</v>
      </c>
      <c r="M502" s="9"/>
      <c r="N502" s="35"/>
      <c r="O502" s="24">
        <v>23</v>
      </c>
      <c r="P502" s="2" cm="1">
        <f t="array" ref="P502">_xlfn.XLOOKUP(TRIM(B502),TRIM('[1]wc-product-export-16-3-2026-177'!$A:$A),'[1]wc-product-export-16-3-2026-177'!$D:$D,0,0)</f>
        <v>0</v>
      </c>
      <c r="Q502" s="2" cm="1">
        <f t="array" ref="Q502">IF(TRIM($D502)="SET",IF($K502="Steak Set1",ROUNDDOWN(IFERROR(MIN(_xlfn._xlws.FILTER(O$3:O$650,ISNUMBER(MATCH(TRIM($B$3:$B$650),TRIM(_xlfn.TEXTSPLIT($N502,",")),0)))),0)/4,0)+P502,IF(IFERROR(MIN(_xlfn._xlws.FILTER(O$3:O$650,ISNUMBER(MATCH(TRIM($B$3:$B$650),TRIM(_xlfn.TEXTSPLIT($N502,",")),0)))),0)&gt;=$E$1,IFERROR(MIN(_xlfn._xlws.FILTER(O$3:O$650,ISNUMBER(MATCH(TRIM($B$3:$B$650),TRIM(_xlfn.TEXTSPLIT($N502,",")),0)))),0)+P502,P502)),IF(TRIM($D502)="EA",IF(TRIM($E502)="M",ROUNDUP(O502*0.85,0),IF(TRIM($E502)="P",O502,P502)),P502))</f>
        <v>20</v>
      </c>
      <c r="T502" t="str" cm="1">
        <f t="array" ref="T502">IFERROR(IF(D502="SET",_xlfn.TEXTJOIN(", ",TRUE,_xlfn._xlws.FILTER(TRANSPOSE(TRIM(_xlfn.TEXTSPLIT(N502,","))),COUNTIFS(B$3:B$650,TRANSPOSE(TRIM(_xlfn.TEXTSPLIT(N502,","))),O$3:O$650,"&lt;="&amp;$T$1))),""),"")</f>
        <v/>
      </c>
    </row>
    <row r="503" spans="1:20" ht="15.6" customHeight="1" x14ac:dyDescent="0.3">
      <c r="A503" s="1">
        <v>59952</v>
      </c>
      <c r="B503" s="55" t="s">
        <v>1022</v>
      </c>
      <c r="C503" s="1" t="s">
        <v>1261</v>
      </c>
      <c r="D503" s="1" t="s">
        <v>624</v>
      </c>
      <c r="E503" s="1" t="s">
        <v>686</v>
      </c>
      <c r="F503" s="9" t="s">
        <v>1688</v>
      </c>
      <c r="G503" s="9"/>
      <c r="H503" s="16" t="s">
        <v>92</v>
      </c>
      <c r="I503" s="9" t="b">
        <f t="shared" si="11"/>
        <v>0</v>
      </c>
      <c r="J503" s="1" t="s">
        <v>402</v>
      </c>
      <c r="K503" s="1" t="s">
        <v>275</v>
      </c>
      <c r="L503" s="1" t="s">
        <v>1733</v>
      </c>
      <c r="M503" s="9"/>
      <c r="N503" s="35"/>
      <c r="O503" s="24">
        <v>19</v>
      </c>
      <c r="P503" s="2" cm="1">
        <f t="array" ref="P503">_xlfn.XLOOKUP(TRIM(B503),TRIM('[1]wc-product-export-16-3-2026-177'!$A:$A),'[1]wc-product-export-16-3-2026-177'!$D:$D,0,0)</f>
        <v>0</v>
      </c>
      <c r="Q503" s="2" cm="1">
        <f t="array" ref="Q503">IF(TRIM($D503)="SET",IF($K503="Steak Set1",ROUNDDOWN(IFERROR(MIN(_xlfn._xlws.FILTER(O$3:O$650,ISNUMBER(MATCH(TRIM($B$3:$B$650),TRIM(_xlfn.TEXTSPLIT($N503,",")),0)))),0)/4,0)+P503,IF(IFERROR(MIN(_xlfn._xlws.FILTER(O$3:O$650,ISNUMBER(MATCH(TRIM($B$3:$B$650),TRIM(_xlfn.TEXTSPLIT($N503,",")),0)))),0)&gt;=$E$1,IFERROR(MIN(_xlfn._xlws.FILTER(O$3:O$650,ISNUMBER(MATCH(TRIM($B$3:$B$650),TRIM(_xlfn.TEXTSPLIT($N503,",")),0)))),0)+P503,P503)),IF(TRIM($D503)="EA",IF(TRIM($E503)="M",ROUNDUP(O503*0.85,0),IF(TRIM($E503)="P",O503,P503)),P503))</f>
        <v>17</v>
      </c>
      <c r="T503" t="str" cm="1">
        <f t="array" ref="T503">IFERROR(IF(D503="SET",_xlfn.TEXTJOIN(", ",TRUE,_xlfn._xlws.FILTER(TRANSPOSE(TRIM(_xlfn.TEXTSPLIT(N503,","))),COUNTIFS(B$3:B$650,TRANSPOSE(TRIM(_xlfn.TEXTSPLIT(N503,","))),O$3:O$650,"&lt;="&amp;$T$1))),""),"")</f>
        <v/>
      </c>
    </row>
    <row r="504" spans="1:20" ht="15.6" customHeight="1" x14ac:dyDescent="0.3">
      <c r="A504" s="1">
        <v>59953</v>
      </c>
      <c r="B504" s="56" t="s">
        <v>1023</v>
      </c>
      <c r="C504" s="1" t="s">
        <v>1261</v>
      </c>
      <c r="D504" s="1" t="s">
        <v>624</v>
      </c>
      <c r="E504" s="1" t="s">
        <v>686</v>
      </c>
      <c r="F504" s="9"/>
      <c r="G504" s="9"/>
      <c r="H504" s="16" t="s">
        <v>85</v>
      </c>
      <c r="I504" s="9" t="b">
        <f t="shared" si="11"/>
        <v>0</v>
      </c>
      <c r="J504" s="1" t="s">
        <v>402</v>
      </c>
      <c r="K504" s="1" t="s">
        <v>269</v>
      </c>
      <c r="L504" s="1" t="s">
        <v>1729</v>
      </c>
      <c r="M504" s="9"/>
      <c r="N504" s="35"/>
      <c r="O504" s="24">
        <v>28</v>
      </c>
      <c r="P504" s="2" cm="1">
        <f t="array" ref="P504">_xlfn.XLOOKUP(TRIM(B504),TRIM('[1]wc-product-export-16-3-2026-177'!$A:$A),'[1]wc-product-export-16-3-2026-177'!$D:$D,0,0)</f>
        <v>0</v>
      </c>
      <c r="Q504" s="2" cm="1">
        <f t="array" ref="Q504">IF(TRIM($D504)="SET",IF($K504="Steak Set1",ROUNDDOWN(IFERROR(MIN(_xlfn._xlws.FILTER(O$3:O$650,ISNUMBER(MATCH(TRIM($B$3:$B$650),TRIM(_xlfn.TEXTSPLIT($N504,",")),0)))),0)/4,0)+P504,IF(IFERROR(MIN(_xlfn._xlws.FILTER(O$3:O$650,ISNUMBER(MATCH(TRIM($B$3:$B$650),TRIM(_xlfn.TEXTSPLIT($N504,",")),0)))),0)&gt;=$E$1,IFERROR(MIN(_xlfn._xlws.FILTER(O$3:O$650,ISNUMBER(MATCH(TRIM($B$3:$B$650),TRIM(_xlfn.TEXTSPLIT($N504,",")),0)))),0)+P504,P504)),IF(TRIM($D504)="EA",IF(TRIM($E504)="M",ROUNDUP(O504*0.85,0),IF(TRIM($E504)="P",O504,P504)),P504))</f>
        <v>24</v>
      </c>
      <c r="T504" t="str" cm="1">
        <f t="array" ref="T504">IFERROR(IF(D504="SET",_xlfn.TEXTJOIN(", ",TRUE,_xlfn._xlws.FILTER(TRANSPOSE(TRIM(_xlfn.TEXTSPLIT(N504,","))),COUNTIFS(B$3:B$650,TRANSPOSE(TRIM(_xlfn.TEXTSPLIT(N504,","))),O$3:O$650,"&lt;="&amp;$T$1))),""),"")</f>
        <v/>
      </c>
    </row>
    <row r="505" spans="1:20" ht="15.6" customHeight="1" x14ac:dyDescent="0.3">
      <c r="A505" s="1">
        <v>59955</v>
      </c>
      <c r="B505" s="55" t="s">
        <v>1024</v>
      </c>
      <c r="C505" s="1" t="s">
        <v>1261</v>
      </c>
      <c r="D505" s="1" t="s">
        <v>624</v>
      </c>
      <c r="E505" s="1" t="s">
        <v>686</v>
      </c>
      <c r="F505" s="9"/>
      <c r="G505" s="9"/>
      <c r="H505" s="16" t="s">
        <v>69</v>
      </c>
      <c r="I505" s="9" t="b">
        <f t="shared" si="11"/>
        <v>0</v>
      </c>
      <c r="J505" s="1" t="s">
        <v>402</v>
      </c>
      <c r="K505" s="1" t="s">
        <v>272</v>
      </c>
      <c r="L505" s="1" t="s">
        <v>272</v>
      </c>
      <c r="M505" s="9"/>
      <c r="N505" s="35"/>
      <c r="O505" s="24">
        <v>13</v>
      </c>
      <c r="P505" s="2" cm="1">
        <f t="array" ref="P505">_xlfn.XLOOKUP(TRIM(B505),TRIM('[1]wc-product-export-16-3-2026-177'!$A:$A),'[1]wc-product-export-16-3-2026-177'!$D:$D,0,0)</f>
        <v>0</v>
      </c>
      <c r="Q505" s="2" cm="1">
        <f t="array" ref="Q505">IF(TRIM($D505)="SET",IF($K505="Steak Set1",ROUNDDOWN(IFERROR(MIN(_xlfn._xlws.FILTER(O$3:O$650,ISNUMBER(MATCH(TRIM($B$3:$B$650),TRIM(_xlfn.TEXTSPLIT($N505,",")),0)))),0)/4,0)+P505,IF(IFERROR(MIN(_xlfn._xlws.FILTER(O$3:O$650,ISNUMBER(MATCH(TRIM($B$3:$B$650),TRIM(_xlfn.TEXTSPLIT($N505,",")),0)))),0)&gt;=$E$1,IFERROR(MIN(_xlfn._xlws.FILTER(O$3:O$650,ISNUMBER(MATCH(TRIM($B$3:$B$650),TRIM(_xlfn.TEXTSPLIT($N505,",")),0)))),0)+P505,P505)),IF(TRIM($D505)="EA",IF(TRIM($E505)="M",ROUNDUP(O505*0.85,0),IF(TRIM($E505)="P",O505,P505)),P505))</f>
        <v>12</v>
      </c>
      <c r="T505" t="str" cm="1">
        <f t="array" ref="T505">IFERROR(IF(D505="SET",_xlfn.TEXTJOIN(", ",TRUE,_xlfn._xlws.FILTER(TRANSPOSE(TRIM(_xlfn.TEXTSPLIT(N505,","))),COUNTIFS(B$3:B$650,TRANSPOSE(TRIM(_xlfn.TEXTSPLIT(N505,","))),O$3:O$650,"&lt;="&amp;$T$1))),""),"")</f>
        <v/>
      </c>
    </row>
    <row r="506" spans="1:20" ht="15.6" customHeight="1" x14ac:dyDescent="0.3">
      <c r="A506" s="1">
        <v>59957</v>
      </c>
      <c r="B506" s="55" t="s">
        <v>1025</v>
      </c>
      <c r="C506" s="1" t="s">
        <v>1261</v>
      </c>
      <c r="D506" s="1" t="s">
        <v>624</v>
      </c>
      <c r="E506" s="1" t="s">
        <v>686</v>
      </c>
      <c r="F506" s="9"/>
      <c r="G506" s="9"/>
      <c r="H506" s="16" t="s">
        <v>71</v>
      </c>
      <c r="I506" s="9" t="b">
        <f t="shared" si="11"/>
        <v>0</v>
      </c>
      <c r="J506" s="1" t="s">
        <v>402</v>
      </c>
      <c r="K506" s="1" t="s">
        <v>272</v>
      </c>
      <c r="L506" s="1" t="s">
        <v>272</v>
      </c>
      <c r="M506" s="9"/>
      <c r="N506" s="35"/>
      <c r="O506" s="24">
        <v>0</v>
      </c>
      <c r="P506" s="2" cm="1">
        <f t="array" ref="P506">_xlfn.XLOOKUP(TRIM(B506),TRIM('[1]wc-product-export-16-3-2026-177'!$A:$A),'[1]wc-product-export-16-3-2026-177'!$D:$D,0,0)</f>
        <v>0</v>
      </c>
      <c r="Q506" s="2" cm="1">
        <f t="array" ref="Q506">IF(TRIM($D506)="SET",IF($K506="Steak Set1",ROUNDDOWN(IFERROR(MIN(_xlfn._xlws.FILTER(O$3:O$650,ISNUMBER(MATCH(TRIM($B$3:$B$650),TRIM(_xlfn.TEXTSPLIT($N506,",")),0)))),0)/4,0)+P506,IF(IFERROR(MIN(_xlfn._xlws.FILTER(O$3:O$650,ISNUMBER(MATCH(TRIM($B$3:$B$650),TRIM(_xlfn.TEXTSPLIT($N506,",")),0)))),0)&gt;=$E$1,IFERROR(MIN(_xlfn._xlws.FILTER(O$3:O$650,ISNUMBER(MATCH(TRIM($B$3:$B$650),TRIM(_xlfn.TEXTSPLIT($N506,",")),0)))),0)+P506,P506)),IF(TRIM($D506)="EA",IF(TRIM($E506)="M",ROUNDUP(O506*0.85,0),IF(TRIM($E506)="P",O506,P506)),P506))</f>
        <v>0</v>
      </c>
      <c r="T506" t="str" cm="1">
        <f t="array" ref="T506">IFERROR(IF(D506="SET",_xlfn.TEXTJOIN(", ",TRUE,_xlfn._xlws.FILTER(TRANSPOSE(TRIM(_xlfn.TEXTSPLIT(N506,","))),COUNTIFS(B$3:B$650,TRANSPOSE(TRIM(_xlfn.TEXTSPLIT(N506,","))),O$3:O$650,"&lt;="&amp;$T$1))),""),"")</f>
        <v/>
      </c>
    </row>
    <row r="507" spans="1:20" ht="15.6" customHeight="1" x14ac:dyDescent="0.3">
      <c r="A507" s="1">
        <v>59958</v>
      </c>
      <c r="B507" s="55" t="s">
        <v>1026</v>
      </c>
      <c r="C507" s="1" t="s">
        <v>1261</v>
      </c>
      <c r="D507" s="1" t="s">
        <v>624</v>
      </c>
      <c r="E507" s="1" t="s">
        <v>686</v>
      </c>
      <c r="F507" s="9"/>
      <c r="G507" s="9"/>
      <c r="H507" s="16" t="s">
        <v>197</v>
      </c>
      <c r="I507" s="9" t="b">
        <f t="shared" si="11"/>
        <v>0</v>
      </c>
      <c r="J507" s="1" t="s">
        <v>402</v>
      </c>
      <c r="K507" s="1" t="s">
        <v>269</v>
      </c>
      <c r="L507" s="1" t="s">
        <v>1724</v>
      </c>
      <c r="M507" s="9"/>
      <c r="N507" s="35"/>
      <c r="O507" s="24">
        <v>13</v>
      </c>
      <c r="P507" s="2" cm="1">
        <f t="array" ref="P507">_xlfn.XLOOKUP(TRIM(B507),TRIM('[1]wc-product-export-16-3-2026-177'!$A:$A),'[1]wc-product-export-16-3-2026-177'!$D:$D,0,0)</f>
        <v>0</v>
      </c>
      <c r="Q507" s="2" cm="1">
        <f t="array" ref="Q507">IF(TRIM($D507)="SET",IF($K507="Steak Set1",ROUNDDOWN(IFERROR(MIN(_xlfn._xlws.FILTER(O$3:O$650,ISNUMBER(MATCH(TRIM($B$3:$B$650),TRIM(_xlfn.TEXTSPLIT($N507,",")),0)))),0)/4,0)+P507,IF(IFERROR(MIN(_xlfn._xlws.FILTER(O$3:O$650,ISNUMBER(MATCH(TRIM($B$3:$B$650),TRIM(_xlfn.TEXTSPLIT($N507,",")),0)))),0)&gt;=$E$1,IFERROR(MIN(_xlfn._xlws.FILTER(O$3:O$650,ISNUMBER(MATCH(TRIM($B$3:$B$650),TRIM(_xlfn.TEXTSPLIT($N507,",")),0)))),0)+P507,P507)),IF(TRIM($D507)="EA",IF(TRIM($E507)="M",ROUNDUP(O507*0.85,0),IF(TRIM($E507)="P",O507,P507)),P507))</f>
        <v>12</v>
      </c>
      <c r="T507" t="str" cm="1">
        <f t="array" ref="T507">IFERROR(IF(D507="SET",_xlfn.TEXTJOIN(", ",TRUE,_xlfn._xlws.FILTER(TRANSPOSE(TRIM(_xlfn.TEXTSPLIT(N507,","))),COUNTIFS(B$3:B$650,TRANSPOSE(TRIM(_xlfn.TEXTSPLIT(N507,","))),O$3:O$650,"&lt;="&amp;$T$1))),""),"")</f>
        <v/>
      </c>
    </row>
    <row r="508" spans="1:20" ht="15.6" customHeight="1" x14ac:dyDescent="0.3">
      <c r="A508" s="1">
        <v>59959</v>
      </c>
      <c r="B508" s="56" t="s">
        <v>1027</v>
      </c>
      <c r="C508" s="1" t="s">
        <v>1261</v>
      </c>
      <c r="D508" s="1" t="s">
        <v>624</v>
      </c>
      <c r="E508" s="1" t="s">
        <v>686</v>
      </c>
      <c r="F508" s="9"/>
      <c r="G508" s="9"/>
      <c r="H508" s="16" t="s">
        <v>84</v>
      </c>
      <c r="I508" s="9" t="b">
        <f t="shared" si="11"/>
        <v>0</v>
      </c>
      <c r="J508" s="1" t="s">
        <v>402</v>
      </c>
      <c r="K508" s="1" t="s">
        <v>273</v>
      </c>
      <c r="L508" s="1" t="s">
        <v>1734</v>
      </c>
      <c r="M508" s="9"/>
      <c r="N508" s="35"/>
      <c r="O508" s="24">
        <v>19</v>
      </c>
      <c r="P508" s="2" cm="1">
        <f t="array" ref="P508">_xlfn.XLOOKUP(TRIM(B508),TRIM('[1]wc-product-export-16-3-2026-177'!$A:$A),'[1]wc-product-export-16-3-2026-177'!$D:$D,0,0)</f>
        <v>0</v>
      </c>
      <c r="Q508" s="2" cm="1">
        <f t="array" ref="Q508">IF(TRIM($D508)="SET",IF($K508="Steak Set1",ROUNDDOWN(IFERROR(MIN(_xlfn._xlws.FILTER(O$3:O$650,ISNUMBER(MATCH(TRIM($B$3:$B$650),TRIM(_xlfn.TEXTSPLIT($N508,",")),0)))),0)/4,0)+P508,IF(IFERROR(MIN(_xlfn._xlws.FILTER(O$3:O$650,ISNUMBER(MATCH(TRIM($B$3:$B$650),TRIM(_xlfn.TEXTSPLIT($N508,",")),0)))),0)&gt;=$E$1,IFERROR(MIN(_xlfn._xlws.FILTER(O$3:O$650,ISNUMBER(MATCH(TRIM($B$3:$B$650),TRIM(_xlfn.TEXTSPLIT($N508,",")),0)))),0)+P508,P508)),IF(TRIM($D508)="EA",IF(TRIM($E508)="M",ROUNDUP(O508*0.85,0),IF(TRIM($E508)="P",O508,P508)),P508))</f>
        <v>17</v>
      </c>
      <c r="T508" t="str" cm="1">
        <f t="array" ref="T508">IFERROR(IF(D508="SET",_xlfn.TEXTJOIN(", ",TRUE,_xlfn._xlws.FILTER(TRANSPOSE(TRIM(_xlfn.TEXTSPLIT(N508,","))),COUNTIFS(B$3:B$650,TRANSPOSE(TRIM(_xlfn.TEXTSPLIT(N508,","))),O$3:O$650,"&lt;="&amp;$T$1))),""),"")</f>
        <v/>
      </c>
    </row>
    <row r="509" spans="1:20" ht="15.6" customHeight="1" x14ac:dyDescent="0.3">
      <c r="A509" s="1">
        <v>59960</v>
      </c>
      <c r="B509" s="55" t="s">
        <v>1028</v>
      </c>
      <c r="C509" s="1" t="s">
        <v>1261</v>
      </c>
      <c r="D509" s="1" t="s">
        <v>624</v>
      </c>
      <c r="E509" s="1" t="s">
        <v>686</v>
      </c>
      <c r="F509" s="9"/>
      <c r="G509" s="9"/>
      <c r="H509" s="16" t="s">
        <v>260</v>
      </c>
      <c r="I509" s="9" t="b">
        <f t="shared" si="11"/>
        <v>0</v>
      </c>
      <c r="J509" s="1" t="s">
        <v>402</v>
      </c>
      <c r="K509" s="1" t="s">
        <v>276</v>
      </c>
      <c r="L509" s="1" t="s">
        <v>276</v>
      </c>
      <c r="M509" s="9"/>
      <c r="N509" s="35"/>
      <c r="O509" s="24">
        <v>31</v>
      </c>
      <c r="P509" s="2" cm="1">
        <f t="array" ref="P509">_xlfn.XLOOKUP(TRIM(B509),TRIM('[1]wc-product-export-16-3-2026-177'!$A:$A),'[1]wc-product-export-16-3-2026-177'!$D:$D,0,0)</f>
        <v>0</v>
      </c>
      <c r="Q509" s="2" cm="1">
        <f t="array" ref="Q509">IF(TRIM($D509)="SET",IF($K509="Steak Set1",ROUNDDOWN(IFERROR(MIN(_xlfn._xlws.FILTER(O$3:O$650,ISNUMBER(MATCH(TRIM($B$3:$B$650),TRIM(_xlfn.TEXTSPLIT($N509,",")),0)))),0)/4,0)+P509,IF(IFERROR(MIN(_xlfn._xlws.FILTER(O$3:O$650,ISNUMBER(MATCH(TRIM($B$3:$B$650),TRIM(_xlfn.TEXTSPLIT($N509,",")),0)))),0)&gt;=$E$1,IFERROR(MIN(_xlfn._xlws.FILTER(O$3:O$650,ISNUMBER(MATCH(TRIM($B$3:$B$650),TRIM(_xlfn.TEXTSPLIT($N509,",")),0)))),0)+P509,P509)),IF(TRIM($D509)="EA",IF(TRIM($E509)="M",ROUNDUP(O509*0.85,0),IF(TRIM($E509)="P",O509,P509)),P509))</f>
        <v>27</v>
      </c>
      <c r="T509" t="str" cm="1">
        <f t="array" ref="T509">IFERROR(IF(D509="SET",_xlfn.TEXTJOIN(", ",TRUE,_xlfn._xlws.FILTER(TRANSPOSE(TRIM(_xlfn.TEXTSPLIT(N509,","))),COUNTIFS(B$3:B$650,TRANSPOSE(TRIM(_xlfn.TEXTSPLIT(N509,","))),O$3:O$650,"&lt;="&amp;$T$1))),""),"")</f>
        <v/>
      </c>
    </row>
    <row r="510" spans="1:20" ht="15.6" customHeight="1" x14ac:dyDescent="0.3">
      <c r="A510" s="1">
        <v>59963</v>
      </c>
      <c r="B510" s="55" t="s">
        <v>1029</v>
      </c>
      <c r="C510" s="1" t="s">
        <v>1261</v>
      </c>
      <c r="D510" s="1" t="s">
        <v>628</v>
      </c>
      <c r="E510" s="1" t="s">
        <v>686</v>
      </c>
      <c r="F510" s="9"/>
      <c r="G510" s="9"/>
      <c r="H510" s="16" t="s">
        <v>326</v>
      </c>
      <c r="I510" s="9" t="b">
        <f t="shared" si="11"/>
        <v>0</v>
      </c>
      <c r="J510" s="1" t="s">
        <v>402</v>
      </c>
      <c r="K510" s="1" t="s">
        <v>278</v>
      </c>
      <c r="L510" s="1" t="s">
        <v>1735</v>
      </c>
      <c r="M510" s="9"/>
      <c r="N510" s="35" t="s">
        <v>1317</v>
      </c>
      <c r="O510" s="24">
        <v>13</v>
      </c>
      <c r="P510" s="2" cm="1">
        <f t="array" ref="P510">_xlfn.XLOOKUP(TRIM(B510),TRIM('[1]wc-product-export-16-3-2026-177'!$A:$A),'[1]wc-product-export-16-3-2026-177'!$D:$D,0,0)</f>
        <v>0</v>
      </c>
      <c r="Q510" s="2" cm="1">
        <f t="array" ref="Q510">IF(TRIM($D510)="SET",IF($K510="Steak Set1",ROUNDDOWN(IFERROR(MIN(_xlfn._xlws.FILTER(O$3:O$650,ISNUMBER(MATCH(TRIM($B$3:$B$650),TRIM(_xlfn.TEXTSPLIT($N510,",")),0)))),0)/4,0)+P510,IF(IFERROR(MIN(_xlfn._xlws.FILTER(O$3:O$650,ISNUMBER(MATCH(TRIM($B$3:$B$650),TRIM(_xlfn.TEXTSPLIT($N510,",")),0)))),0)&gt;=$E$1,IFERROR(MIN(_xlfn._xlws.FILTER(O$3:O$650,ISNUMBER(MATCH(TRIM($B$3:$B$650),TRIM(_xlfn.TEXTSPLIT($N510,",")),0)))),0)+P510,P510)),IF(TRIM($D510)="EA",IF(TRIM($E510)="M",ROUNDUP(O510*0.85,0),IF(TRIM($E510)="P",O510,P510)),P510))</f>
        <v>13</v>
      </c>
      <c r="T510" t="str" cm="1">
        <f t="array" ref="T510">IFERROR(IF(D510="SET",_xlfn.TEXTJOIN(", ",TRUE,_xlfn._xlws.FILTER(TRANSPOSE(TRIM(_xlfn.TEXTSPLIT(N510,","))),COUNTIFS(B$3:B$650,TRANSPOSE(TRIM(_xlfn.TEXTSPLIT(N510,","))),O$3:O$650,"&lt;="&amp;$T$1))),""),"")</f>
        <v/>
      </c>
    </row>
    <row r="511" spans="1:20" ht="15.6" customHeight="1" x14ac:dyDescent="0.3">
      <c r="A511" s="1">
        <v>59964</v>
      </c>
      <c r="B511" s="55" t="s">
        <v>1030</v>
      </c>
      <c r="C511" s="1" t="s">
        <v>1261</v>
      </c>
      <c r="D511" s="1" t="s">
        <v>628</v>
      </c>
      <c r="E511" s="1" t="s">
        <v>686</v>
      </c>
      <c r="F511" s="9"/>
      <c r="G511" s="9"/>
      <c r="H511" s="16" t="s">
        <v>328</v>
      </c>
      <c r="I511" s="9" t="b">
        <f t="shared" si="11"/>
        <v>0</v>
      </c>
      <c r="J511" s="1" t="s">
        <v>402</v>
      </c>
      <c r="K511" s="1" t="s">
        <v>278</v>
      </c>
      <c r="L511" s="1" t="s">
        <v>1736</v>
      </c>
      <c r="M511" s="9"/>
      <c r="N511" s="35" t="s">
        <v>1316</v>
      </c>
      <c r="O511" s="24">
        <v>17</v>
      </c>
      <c r="P511" s="2" cm="1">
        <f t="array" ref="P511">_xlfn.XLOOKUP(TRIM(B511),TRIM('[1]wc-product-export-16-3-2026-177'!$A:$A),'[1]wc-product-export-16-3-2026-177'!$D:$D,0,0)</f>
        <v>0</v>
      </c>
      <c r="Q511" s="2" cm="1">
        <f t="array" ref="Q511">IF(TRIM($D511)="SET",IF($K511="Steak Set1",ROUNDDOWN(IFERROR(MIN(_xlfn._xlws.FILTER(O$3:O$650,ISNUMBER(MATCH(TRIM($B$3:$B$650),TRIM(_xlfn.TEXTSPLIT($N511,",")),0)))),0)/4,0)+P511,IF(IFERROR(MIN(_xlfn._xlws.FILTER(O$3:O$650,ISNUMBER(MATCH(TRIM($B$3:$B$650),TRIM(_xlfn.TEXTSPLIT($N511,",")),0)))),0)&gt;=$E$1,IFERROR(MIN(_xlfn._xlws.FILTER(O$3:O$650,ISNUMBER(MATCH(TRIM($B$3:$B$650),TRIM(_xlfn.TEXTSPLIT($N511,",")),0)))),0)+P511,P511)),IF(TRIM($D511)="EA",IF(TRIM($E511)="M",ROUNDUP(O511*0.85,0),IF(TRIM($E511)="P",O511,P511)),P511))</f>
        <v>15</v>
      </c>
      <c r="T511" t="str" cm="1">
        <f t="array" ref="T511">IFERROR(IF(D511="SET",_xlfn.TEXTJOIN(", ",TRUE,_xlfn._xlws.FILTER(TRANSPOSE(TRIM(_xlfn.TEXTSPLIT(N511,","))),COUNTIFS(B$3:B$650,TRANSPOSE(TRIM(_xlfn.TEXTSPLIT(N511,","))),O$3:O$650,"&lt;="&amp;$T$1))),""),"")</f>
        <v/>
      </c>
    </row>
    <row r="512" spans="1:20" ht="15.6" customHeight="1" x14ac:dyDescent="0.3">
      <c r="A512" s="1">
        <v>59968</v>
      </c>
      <c r="B512" s="55" t="s">
        <v>1031</v>
      </c>
      <c r="C512" s="1" t="s">
        <v>1261</v>
      </c>
      <c r="D512" s="1" t="s">
        <v>628</v>
      </c>
      <c r="E512" s="1" t="s">
        <v>686</v>
      </c>
      <c r="F512" s="9"/>
      <c r="G512" s="9"/>
      <c r="H512" s="16" t="s">
        <v>72</v>
      </c>
      <c r="I512" s="9" t="b">
        <f t="shared" si="11"/>
        <v>0</v>
      </c>
      <c r="J512" s="1" t="s">
        <v>402</v>
      </c>
      <c r="K512" s="1" t="s">
        <v>1712</v>
      </c>
      <c r="L512" s="1" t="s">
        <v>1737</v>
      </c>
      <c r="M512" s="9"/>
      <c r="N512" s="35">
        <v>59920</v>
      </c>
      <c r="O512" s="24">
        <v>13</v>
      </c>
      <c r="P512" s="2" cm="1">
        <f t="array" ref="P512">_xlfn.XLOOKUP(TRIM(B512),TRIM('[1]wc-product-export-16-3-2026-177'!$A:$A),'[1]wc-product-export-16-3-2026-177'!$D:$D,0,0)</f>
        <v>13</v>
      </c>
      <c r="Q512" s="2" cm="1">
        <f t="array" ref="Q512">IF(TRIM($D512)="SET",IF($K512="Steak Set1",ROUNDDOWN(IFERROR(MIN(_xlfn._xlws.FILTER(O$3:O$650,ISNUMBER(MATCH(TRIM($B$3:$B$650),TRIM(_xlfn.TEXTSPLIT($N512,",")),0)))),0)/4,0)+P512,IF(IFERROR(MIN(_xlfn._xlws.FILTER(O$3:O$650,ISNUMBER(MATCH(TRIM($B$3:$B$650),TRIM(_xlfn.TEXTSPLIT($N512,",")),0)))),0)&gt;=$E$1,IFERROR(MIN(_xlfn._xlws.FILTER(O$3:O$650,ISNUMBER(MATCH(TRIM($B$3:$B$650),TRIM(_xlfn.TEXTSPLIT($N512,",")),0)))),0)+P512,P512)),IF(TRIM($D512)="EA",IF(TRIM($E512)="M",ROUNDUP(O512*0.85,0),IF(TRIM($E512)="P",O512,P512)),P512))</f>
        <v>13</v>
      </c>
      <c r="T512" t="str" cm="1">
        <f t="array" ref="T512">IFERROR(IF(D512="SET",_xlfn.TEXTJOIN(", ",TRUE,_xlfn._xlws.FILTER(TRANSPOSE(TRIM(_xlfn.TEXTSPLIT(N512,","))),COUNTIFS(B$3:B$650,TRANSPOSE(TRIM(_xlfn.TEXTSPLIT(N512,","))),O$3:O$650,"&lt;="&amp;$T$1))),""),"")</f>
        <v>59920</v>
      </c>
    </row>
    <row r="513" spans="1:20" ht="15.6" customHeight="1" x14ac:dyDescent="0.3">
      <c r="A513" s="1">
        <v>59969</v>
      </c>
      <c r="B513" s="55" t="s">
        <v>1032</v>
      </c>
      <c r="C513" s="1" t="s">
        <v>1261</v>
      </c>
      <c r="D513" s="1" t="s">
        <v>628</v>
      </c>
      <c r="E513" s="1" t="s">
        <v>686</v>
      </c>
      <c r="F513" s="9"/>
      <c r="G513" s="9"/>
      <c r="H513" s="16" t="s">
        <v>324</v>
      </c>
      <c r="I513" s="9" t="b">
        <f t="shared" si="11"/>
        <v>0</v>
      </c>
      <c r="J513" s="1" t="s">
        <v>402</v>
      </c>
      <c r="K513" s="1" t="s">
        <v>277</v>
      </c>
      <c r="L513" s="1" t="s">
        <v>1738</v>
      </c>
      <c r="M513" s="9"/>
      <c r="N513" s="35" t="s">
        <v>1315</v>
      </c>
      <c r="O513" s="24">
        <v>28</v>
      </c>
      <c r="P513" s="2" cm="1">
        <f t="array" ref="P513">_xlfn.XLOOKUP(TRIM(B513),TRIM('[1]wc-product-export-16-3-2026-177'!$A:$A),'[1]wc-product-export-16-3-2026-177'!$D:$D,0,0)</f>
        <v>1</v>
      </c>
      <c r="Q513" s="2" cm="1">
        <f t="array" ref="Q513">IF(TRIM($D513)="SET",IF($K513="Steak Set1",ROUNDDOWN(IFERROR(MIN(_xlfn._xlws.FILTER(O$3:O$650,ISNUMBER(MATCH(TRIM($B$3:$B$650),TRIM(_xlfn.TEXTSPLIT($N513,",")),0)))),0)/4,0)+P513,IF(IFERROR(MIN(_xlfn._xlws.FILTER(O$3:O$650,ISNUMBER(MATCH(TRIM($B$3:$B$650),TRIM(_xlfn.TEXTSPLIT($N513,",")),0)))),0)&gt;=$E$1,IFERROR(MIN(_xlfn._xlws.FILTER(O$3:O$650,ISNUMBER(MATCH(TRIM($B$3:$B$650),TRIM(_xlfn.TEXTSPLIT($N513,",")),0)))),0)+P513,P513)),IF(TRIM($D513)="EA",IF(TRIM($E513)="M",ROUNDUP(O513*0.85,0),IF(TRIM($E513)="P",O513,P513)),P513))</f>
        <v>30</v>
      </c>
      <c r="T513" t="str" cm="1">
        <f t="array" ref="T513">IFERROR(IF(D513="SET",_xlfn.TEXTJOIN(", ",TRUE,_xlfn._xlws.FILTER(TRANSPOSE(TRIM(_xlfn.TEXTSPLIT(N513,","))),COUNTIFS(B$3:B$650,TRANSPOSE(TRIM(_xlfn.TEXTSPLIT(N513,","))),O$3:O$650,"&lt;="&amp;$T$1))),""),"")</f>
        <v/>
      </c>
    </row>
    <row r="514" spans="1:20" ht="15.6" customHeight="1" x14ac:dyDescent="0.3">
      <c r="A514" s="1">
        <v>59973</v>
      </c>
      <c r="B514" s="55" t="s">
        <v>1033</v>
      </c>
      <c r="C514" s="1" t="s">
        <v>1261</v>
      </c>
      <c r="D514" s="1" t="s">
        <v>628</v>
      </c>
      <c r="E514" s="1" t="s">
        <v>686</v>
      </c>
      <c r="F514" s="9"/>
      <c r="G514" s="9"/>
      <c r="H514" s="16" t="s">
        <v>327</v>
      </c>
      <c r="I514" s="9" t="b">
        <f t="shared" si="11"/>
        <v>0</v>
      </c>
      <c r="J514" s="1" t="s">
        <v>402</v>
      </c>
      <c r="K514" s="1" t="s">
        <v>278</v>
      </c>
      <c r="L514" s="1" t="s">
        <v>1735</v>
      </c>
      <c r="M514" s="9"/>
      <c r="N514" s="35" t="s">
        <v>1319</v>
      </c>
      <c r="O514" s="24">
        <v>17</v>
      </c>
      <c r="P514" s="2" cm="1">
        <f t="array" ref="P514">_xlfn.XLOOKUP(TRIM(B514),TRIM('[1]wc-product-export-16-3-2026-177'!$A:$A),'[1]wc-product-export-16-3-2026-177'!$D:$D,0,0)</f>
        <v>0</v>
      </c>
      <c r="Q514" s="2" cm="1">
        <f t="array" ref="Q514">IF(TRIM($D514)="SET",IF($K514="Steak Set1",ROUNDDOWN(IFERROR(MIN(_xlfn._xlws.FILTER(O$3:O$650,ISNUMBER(MATCH(TRIM($B$3:$B$650),TRIM(_xlfn.TEXTSPLIT($N514,",")),0)))),0)/4,0)+P514,IF(IFERROR(MIN(_xlfn._xlws.FILTER(O$3:O$650,ISNUMBER(MATCH(TRIM($B$3:$B$650),TRIM(_xlfn.TEXTSPLIT($N514,",")),0)))),0)&gt;=$E$1,IFERROR(MIN(_xlfn._xlws.FILTER(O$3:O$650,ISNUMBER(MATCH(TRIM($B$3:$B$650),TRIM(_xlfn.TEXTSPLIT($N514,",")),0)))),0)+P514,P514)),IF(TRIM($D514)="EA",IF(TRIM($E514)="M",ROUNDUP(O514*0.85,0),IF(TRIM($E514)="P",O514,P514)),P514))</f>
        <v>15</v>
      </c>
      <c r="T514" t="str" cm="1">
        <f t="array" ref="T514">IFERROR(IF(D514="SET",_xlfn.TEXTJOIN(", ",TRUE,_xlfn._xlws.FILTER(TRANSPOSE(TRIM(_xlfn.TEXTSPLIT(N514,","))),COUNTIFS(B$3:B$650,TRANSPOSE(TRIM(_xlfn.TEXTSPLIT(N514,","))),O$3:O$650,"&lt;="&amp;$T$1))),""),"")</f>
        <v/>
      </c>
    </row>
    <row r="515" spans="1:20" ht="15.6" customHeight="1" x14ac:dyDescent="0.3">
      <c r="A515" s="1">
        <v>59974</v>
      </c>
      <c r="B515" s="55" t="s">
        <v>1034</v>
      </c>
      <c r="C515" s="1" t="s">
        <v>1261</v>
      </c>
      <c r="D515" s="1" t="s">
        <v>628</v>
      </c>
      <c r="E515" s="1" t="s">
        <v>686</v>
      </c>
      <c r="F515" s="9"/>
      <c r="G515" s="9"/>
      <c r="H515" s="16" t="s">
        <v>325</v>
      </c>
      <c r="I515" s="9" t="b">
        <f t="shared" si="11"/>
        <v>0</v>
      </c>
      <c r="J515" s="1" t="s">
        <v>402</v>
      </c>
      <c r="K515" s="1" t="s">
        <v>277</v>
      </c>
      <c r="L515" s="1" t="s">
        <v>1739</v>
      </c>
      <c r="M515" s="9"/>
      <c r="N515" s="35" t="s">
        <v>1320</v>
      </c>
      <c r="O515" s="24">
        <v>21</v>
      </c>
      <c r="P515" s="2" cm="1">
        <f t="array" ref="P515">_xlfn.XLOOKUP(TRIM(B515),TRIM('[1]wc-product-export-16-3-2026-177'!$A:$A),'[1]wc-product-export-16-3-2026-177'!$D:$D,0,0)</f>
        <v>2</v>
      </c>
      <c r="Q515" s="2" cm="1">
        <f t="array" ref="Q515">IF(TRIM($D515)="SET",IF($K515="Steak Set1",ROUNDDOWN(IFERROR(MIN(_xlfn._xlws.FILTER(O$3:O$650,ISNUMBER(MATCH(TRIM($B$3:$B$650),TRIM(_xlfn.TEXTSPLIT($N515,",")),0)))),0)/4,0)+P515,IF(IFERROR(MIN(_xlfn._xlws.FILTER(O$3:O$650,ISNUMBER(MATCH(TRIM($B$3:$B$650),TRIM(_xlfn.TEXTSPLIT($N515,",")),0)))),0)&gt;=$E$1,IFERROR(MIN(_xlfn._xlws.FILTER(O$3:O$650,ISNUMBER(MATCH(TRIM($B$3:$B$650),TRIM(_xlfn.TEXTSPLIT($N515,",")),0)))),0)+P515,P515)),IF(TRIM($D515)="EA",IF(TRIM($E515)="M",ROUNDUP(O515*0.85,0),IF(TRIM($E515)="P",O515,P515)),P515))</f>
        <v>21</v>
      </c>
      <c r="T515" t="str" cm="1">
        <f t="array" ref="T515">IFERROR(IF(D515="SET",_xlfn.TEXTJOIN(", ",TRUE,_xlfn._xlws.FILTER(TRANSPOSE(TRIM(_xlfn.TEXTSPLIT(N515,","))),COUNTIFS(B$3:B$650,TRANSPOSE(TRIM(_xlfn.TEXTSPLIT(N515,","))),O$3:O$650,"&lt;="&amp;$T$1))),""),"")</f>
        <v/>
      </c>
    </row>
    <row r="516" spans="1:20" ht="15.6" customHeight="1" x14ac:dyDescent="0.3">
      <c r="A516" s="1">
        <v>59983</v>
      </c>
      <c r="B516" s="55" t="s">
        <v>1035</v>
      </c>
      <c r="C516" s="1" t="s">
        <v>1261</v>
      </c>
      <c r="D516" s="1" t="s">
        <v>628</v>
      </c>
      <c r="E516" s="1" t="s">
        <v>686</v>
      </c>
      <c r="F516" s="9"/>
      <c r="G516" s="9"/>
      <c r="H516" s="16" t="s">
        <v>567</v>
      </c>
      <c r="I516" s="9" t="b">
        <f t="shared" si="11"/>
        <v>0</v>
      </c>
      <c r="J516" s="1" t="s">
        <v>402</v>
      </c>
      <c r="K516" s="1" t="s">
        <v>1715</v>
      </c>
      <c r="L516" s="1" t="s">
        <v>1715</v>
      </c>
      <c r="M516" s="9"/>
      <c r="N516" s="35" t="s">
        <v>1321</v>
      </c>
      <c r="O516" s="24">
        <v>13</v>
      </c>
      <c r="P516" s="2" cm="1">
        <f t="array" ref="P516">_xlfn.XLOOKUP(TRIM(B516),TRIM('[1]wc-product-export-16-3-2026-177'!$A:$A),'[1]wc-product-export-16-3-2026-177'!$D:$D,0,0)</f>
        <v>0</v>
      </c>
      <c r="Q516" s="2" cm="1">
        <f t="array" ref="Q516">IF(TRIM($D516)="SET",IF($K516="Steak Set1",ROUNDDOWN(IFERROR(MIN(_xlfn._xlws.FILTER(O$3:O$650,ISNUMBER(MATCH(TRIM($B$3:$B$650),TRIM(_xlfn.TEXTSPLIT($N516,",")),0)))),0)/4,0)+P516,IF(IFERROR(MIN(_xlfn._xlws.FILTER(O$3:O$650,ISNUMBER(MATCH(TRIM($B$3:$B$650),TRIM(_xlfn.TEXTSPLIT($N516,",")),0)))),0)&gt;=$E$1,IFERROR(MIN(_xlfn._xlws.FILTER(O$3:O$650,ISNUMBER(MATCH(TRIM($B$3:$B$650),TRIM(_xlfn.TEXTSPLIT($N516,",")),0)))),0)+P516,P516)),IF(TRIM($D516)="EA",IF(TRIM($E516)="M",ROUNDUP(O516*0.85,0),IF(TRIM($E516)="P",O516,P516)),P516))</f>
        <v>13</v>
      </c>
      <c r="T516" t="str" cm="1">
        <f t="array" ref="T516">IFERROR(IF(D516="SET",_xlfn.TEXTJOIN(", ",TRUE,_xlfn._xlws.FILTER(TRANSPOSE(TRIM(_xlfn.TEXTSPLIT(N516,","))),COUNTIFS(B$3:B$650,TRANSPOSE(TRIM(_xlfn.TEXTSPLIT(N516,","))),O$3:O$650,"&lt;="&amp;$T$1))),""),"")</f>
        <v/>
      </c>
    </row>
    <row r="517" spans="1:20" ht="15.6" customHeight="1" x14ac:dyDescent="0.3">
      <c r="A517" s="1">
        <v>59984</v>
      </c>
      <c r="B517" s="55" t="s">
        <v>1036</v>
      </c>
      <c r="C517" s="1" t="s">
        <v>1261</v>
      </c>
      <c r="D517" s="1" t="s">
        <v>628</v>
      </c>
      <c r="E517" s="1" t="s">
        <v>686</v>
      </c>
      <c r="F517" s="9"/>
      <c r="G517" s="9"/>
      <c r="H517" s="16" t="s">
        <v>568</v>
      </c>
      <c r="I517" s="9" t="b">
        <f t="shared" si="11"/>
        <v>0</v>
      </c>
      <c r="J517" s="1" t="s">
        <v>402</v>
      </c>
      <c r="K517" s="1" t="s">
        <v>1716</v>
      </c>
      <c r="L517" s="1" t="s">
        <v>1716</v>
      </c>
      <c r="M517" s="9"/>
      <c r="N517" s="35" t="s">
        <v>1322</v>
      </c>
      <c r="O517" s="24">
        <v>13</v>
      </c>
      <c r="P517" s="2" cm="1">
        <f t="array" ref="P517">_xlfn.XLOOKUP(TRIM(B517),TRIM('[1]wc-product-export-16-3-2026-177'!$A:$A),'[1]wc-product-export-16-3-2026-177'!$D:$D,0,0)</f>
        <v>0</v>
      </c>
      <c r="Q517" s="2" cm="1">
        <f t="array" ref="Q517">IF(TRIM($D517)="SET",IF($K517="Steak Set1",ROUNDDOWN(IFERROR(MIN(_xlfn._xlws.FILTER(O$3:O$650,ISNUMBER(MATCH(TRIM($B$3:$B$650),TRIM(_xlfn.TEXTSPLIT($N517,",")),0)))),0)/4,0)+P517,IF(IFERROR(MIN(_xlfn._xlws.FILTER(O$3:O$650,ISNUMBER(MATCH(TRIM($B$3:$B$650),TRIM(_xlfn.TEXTSPLIT($N517,",")),0)))),0)&gt;=$E$1,IFERROR(MIN(_xlfn._xlws.FILTER(O$3:O$650,ISNUMBER(MATCH(TRIM($B$3:$B$650),TRIM(_xlfn.TEXTSPLIT($N517,",")),0)))),0)+P517,P517)),IF(TRIM($D517)="EA",IF(TRIM($E517)="M",ROUNDUP(O517*0.85,0),IF(TRIM($E517)="P",O517,P517)),P517))</f>
        <v>13</v>
      </c>
      <c r="T517" t="str" cm="1">
        <f t="array" ref="T517">IFERROR(IF(D517="SET",_xlfn.TEXTJOIN(", ",TRUE,_xlfn._xlws.FILTER(TRANSPOSE(TRIM(_xlfn.TEXTSPLIT(N517,","))),COUNTIFS(B$3:B$650,TRANSPOSE(TRIM(_xlfn.TEXTSPLIT(N517,","))),O$3:O$650,"&lt;="&amp;$T$1))),""),"")</f>
        <v/>
      </c>
    </row>
    <row r="518" spans="1:20" ht="15.6" customHeight="1" x14ac:dyDescent="0.3">
      <c r="A518" s="1">
        <v>59985</v>
      </c>
      <c r="B518" s="55" t="s">
        <v>1037</v>
      </c>
      <c r="C518" s="1" t="s">
        <v>1261</v>
      </c>
      <c r="D518" s="1" t="s">
        <v>628</v>
      </c>
      <c r="E518" s="1" t="s">
        <v>686</v>
      </c>
      <c r="F518" s="9" t="s">
        <v>1608</v>
      </c>
      <c r="G518" s="9"/>
      <c r="H518" s="16" t="s">
        <v>587</v>
      </c>
      <c r="I518" s="9" t="b">
        <f t="shared" si="11"/>
        <v>0</v>
      </c>
      <c r="J518" s="1" t="s">
        <v>402</v>
      </c>
      <c r="K518" s="1" t="s">
        <v>1714</v>
      </c>
      <c r="L518" s="1" t="s">
        <v>1720</v>
      </c>
      <c r="M518" s="9">
        <v>2</v>
      </c>
      <c r="N518" s="35" t="s">
        <v>1324</v>
      </c>
      <c r="O518" s="24">
        <v>0</v>
      </c>
      <c r="P518" s="2" cm="1">
        <f t="array" ref="P518">_xlfn.XLOOKUP(TRIM(B518),TRIM('[1]wc-product-export-16-3-2026-177'!$A:$A),'[1]wc-product-export-16-3-2026-177'!$D:$D,0,0)</f>
        <v>0</v>
      </c>
      <c r="Q518" s="66" cm="1">
        <f t="array" ref="Q518">_xlfn.LET(_xlpm.items,TRIM(_xlfn.TEXTSPLIT($N518,",")),_xlpm.codes,TRIM($B$3:$B$650),_xlpm.qty,$O$3:$O$650,_xlpm.setMask,ISNUMBER(MATCH(_xlpm.codes,_xlpm.items,0)),_xlpm.knifeType,IF(ISNUMBER(SEARCH("fine",$H518)),"15",IF(ISNUMBER(SEARCH("serr",$H518)),"20","")),_xlpm.knifeStock,IFERROR(MIN(IF(_xlpm.setMask*(RIGHT(_xlpm.codes,2)=_xlpm.knifeType),_xlpm.qty)),0),_xlpm.otherStock,IFERROR(MIN(IF(_xlpm.setMask*(RIGHT(_xlpm.codes,2)&lt;&gt;_xlpm.knifeType),_xlpm.qty)),0),IF(_xlpm.knifeStock&gt;=8,MIN(ROUNDDOWN(_xlpm.knifeStock/8,0),_xlpm.otherStock),0)+P518)</f>
        <v>0</v>
      </c>
      <c r="T518" t="str" cm="1">
        <f t="array" ref="T518">IFERROR(IF(D518="SET",_xlfn.TEXTJOIN(", ",TRUE,_xlfn._xlws.FILTER(TRANSPOSE(TRIM(_xlfn.TEXTSPLIT(N518,","))),COUNTIFS(B$3:B$650,TRANSPOSE(TRIM(_xlfn.TEXTSPLIT(N518,","))),O$3:O$650,"&lt;="&amp;$T$1))),""),"")</f>
        <v>59920</v>
      </c>
    </row>
    <row r="519" spans="1:20" ht="15.6" customHeight="1" x14ac:dyDescent="0.3">
      <c r="A519" s="1">
        <v>59986</v>
      </c>
      <c r="B519" s="55" t="s">
        <v>1038</v>
      </c>
      <c r="C519" s="1" t="s">
        <v>1261</v>
      </c>
      <c r="D519" s="1" t="s">
        <v>628</v>
      </c>
      <c r="E519" s="1" t="s">
        <v>686</v>
      </c>
      <c r="F519" s="9" t="s">
        <v>1608</v>
      </c>
      <c r="G519" s="9"/>
      <c r="H519" s="16" t="s">
        <v>569</v>
      </c>
      <c r="I519" s="9" t="b">
        <f t="shared" si="11"/>
        <v>0</v>
      </c>
      <c r="J519" s="1" t="s">
        <v>402</v>
      </c>
      <c r="K519" s="1" t="s">
        <v>1714</v>
      </c>
      <c r="L519" s="1" t="s">
        <v>1720</v>
      </c>
      <c r="M519" s="9">
        <v>2</v>
      </c>
      <c r="N519" s="35" t="s">
        <v>1325</v>
      </c>
      <c r="O519" s="24">
        <v>2</v>
      </c>
      <c r="P519" s="2" cm="1">
        <f t="array" ref="P519">_xlfn.XLOOKUP(TRIM(B519),TRIM('[1]wc-product-export-16-3-2026-177'!$A:$A),'[1]wc-product-export-16-3-2026-177'!$D:$D,0,0)</f>
        <v>0</v>
      </c>
      <c r="Q519" s="66" cm="1">
        <f t="array" ref="Q519">_xlfn.LET(_xlpm.items,TRIM(_xlfn.TEXTSPLIT($N519,",")),_xlpm.codes,TRIM($B$3:$B$650),_xlpm.qty,$O$3:$O$650,_xlpm.setMask,ISNUMBER(MATCH(_xlpm.codes,_xlpm.items,0)),_xlpm.knifeType,IF(ISNUMBER(SEARCH("fine",$H519)),"15",IF(ISNUMBER(SEARCH("serr",$H519)),"20","")),_xlpm.knifeStock,IFERROR(MIN(IF(_xlpm.setMask*(RIGHT(_xlpm.codes,2)=_xlpm.knifeType),_xlpm.qty)),0),_xlpm.otherStock,IFERROR(MIN(IF(_xlpm.setMask*(RIGHT(_xlpm.codes,2)&lt;&gt;_xlpm.knifeType),_xlpm.qty)),0),IF(_xlpm.knifeStock&gt;=8,MIN(ROUNDDOWN(_xlpm.knifeStock/8,0),_xlpm.otherStock),0)+P519)</f>
        <v>2</v>
      </c>
      <c r="T519" t="str" cm="1">
        <f t="array" ref="T519">IFERROR(IF(D519="SET",_xlfn.TEXTJOIN(", ",TRUE,_xlfn._xlws.FILTER(TRANSPOSE(TRIM(_xlfn.TEXTSPLIT(N519,","))),COUNTIFS(B$3:B$650,TRANSPOSE(TRIM(_xlfn.TEXTSPLIT(N519,","))),O$3:O$650,"&lt;="&amp;$T$1))),""),"")</f>
        <v/>
      </c>
    </row>
    <row r="520" spans="1:20" ht="15.6" customHeight="1" x14ac:dyDescent="0.3">
      <c r="A520" s="1">
        <v>59987</v>
      </c>
      <c r="B520" s="55" t="s">
        <v>1039</v>
      </c>
      <c r="C520" s="1" t="s">
        <v>1261</v>
      </c>
      <c r="D520" s="1" t="s">
        <v>628</v>
      </c>
      <c r="E520" s="1" t="s">
        <v>686</v>
      </c>
      <c r="F520" s="9"/>
      <c r="G520" s="9"/>
      <c r="H520" s="16" t="s">
        <v>588</v>
      </c>
      <c r="I520" s="9" t="b">
        <f t="shared" ref="I520:I551" si="12">ISNUMBER(SEARCH($I$2,H520))</f>
        <v>0</v>
      </c>
      <c r="J520" s="1" t="s">
        <v>402</v>
      </c>
      <c r="K520" s="1" t="s">
        <v>1714</v>
      </c>
      <c r="L520" s="1" t="s">
        <v>1719</v>
      </c>
      <c r="M520" s="9">
        <v>2</v>
      </c>
      <c r="N520" s="35" t="s">
        <v>1318</v>
      </c>
      <c r="O520" s="24">
        <v>0</v>
      </c>
      <c r="P520" s="2" cm="1">
        <f t="array" ref="P520">_xlfn.XLOOKUP(TRIM(B520),TRIM('[1]wc-product-export-16-3-2026-177'!$A:$A),'[1]wc-product-export-16-3-2026-177'!$D:$D,0,0)</f>
        <v>0</v>
      </c>
      <c r="Q520" s="66" cm="1">
        <f t="array" ref="Q520">_xlfn.LET(_xlpm.items,TRIM(_xlfn.TEXTSPLIT($N520,",")),_xlpm.codes,TRIM($B$3:$B$650),_xlpm.qty,$O$3:$O$650,_xlpm.setMask,ISNUMBER(MATCH(_xlpm.codes,_xlpm.items,0)),_xlpm.knifeType,IF(ISNUMBER(SEARCH("fine",$H520)),"15",IF(ISNUMBER(SEARCH("serr",$H520)),"20","")),_xlpm.knifeStock,IFERROR(MIN(IF(_xlpm.setMask*(RIGHT(_xlpm.codes,2)=_xlpm.knifeType),_xlpm.qty)),0),_xlpm.otherStock,IFERROR(MIN(IF(_xlpm.setMask*(RIGHT(_xlpm.codes,2)&lt;&gt;_xlpm.knifeType),_xlpm.qty)),0),IF(_xlpm.knifeStock&gt;=8,MIN(ROUNDDOWN(_xlpm.knifeStock/8,0),_xlpm.otherStock),0)+P520)</f>
        <v>0</v>
      </c>
      <c r="T520" t="str" cm="1">
        <f t="array" ref="T520">IFERROR(IF(D520="SET",_xlfn.TEXTJOIN(", ",TRUE,_xlfn._xlws.FILTER(TRANSPOSE(TRIM(_xlfn.TEXTSPLIT(N520,","))),COUNTIFS(B$3:B$650,TRANSPOSE(TRIM(_xlfn.TEXTSPLIT(N520,","))),O$3:O$650,"&lt;="&amp;$T$1))),""),"")</f>
        <v>59920</v>
      </c>
    </row>
    <row r="521" spans="1:20" ht="15.6" customHeight="1" x14ac:dyDescent="0.3">
      <c r="A521" s="1">
        <v>59988</v>
      </c>
      <c r="B521" s="55" t="s">
        <v>1040</v>
      </c>
      <c r="C521" s="1" t="s">
        <v>1261</v>
      </c>
      <c r="D521" s="1" t="s">
        <v>628</v>
      </c>
      <c r="E521" s="1" t="s">
        <v>686</v>
      </c>
      <c r="F521" s="9" t="s">
        <v>1608</v>
      </c>
      <c r="G521" s="9"/>
      <c r="H521" s="16" t="s">
        <v>570</v>
      </c>
      <c r="I521" s="9" t="b">
        <f t="shared" si="12"/>
        <v>0</v>
      </c>
      <c r="J521" s="1" t="s">
        <v>402</v>
      </c>
      <c r="K521" s="1" t="s">
        <v>1714</v>
      </c>
      <c r="L521" s="1" t="s">
        <v>1719</v>
      </c>
      <c r="M521" s="9">
        <v>2</v>
      </c>
      <c r="N521" s="35" t="s">
        <v>1707</v>
      </c>
      <c r="O521" s="24">
        <v>2</v>
      </c>
      <c r="P521" s="2" cm="1">
        <f t="array" ref="P521">_xlfn.XLOOKUP(TRIM(B521),TRIM('[1]wc-product-export-16-3-2026-177'!$A:$A),'[1]wc-product-export-16-3-2026-177'!$D:$D,0,0)</f>
        <v>0</v>
      </c>
      <c r="Q521" s="66" cm="1">
        <f t="array" ref="Q521">_xlfn.LET(_xlpm.items,TRIM(_xlfn.TEXTSPLIT($N521,",")),_xlpm.codes,TRIM($B$3:$B$650),_xlpm.qty,$O$3:$O$650,_xlpm.setMask,ISNUMBER(MATCH(_xlpm.codes,_xlpm.items,0)),_xlpm.knifeType,IF(ISNUMBER(SEARCH("fine",$H521)),"15",IF(ISNUMBER(SEARCH("serr",$H521)),"20","")),_xlpm.knifeStock,IFERROR(MIN(IF(_xlpm.setMask*(RIGHT(_xlpm.codes,2)=_xlpm.knifeType),_xlpm.qty)),0),_xlpm.otherStock,IFERROR(MIN(IF(_xlpm.setMask*(RIGHT(_xlpm.codes,2)&lt;&gt;_xlpm.knifeType),_xlpm.qty)),0),IF(_xlpm.knifeStock&gt;=8,MIN(ROUNDDOWN(_xlpm.knifeStock/8,0),_xlpm.otherStock),0)+P521)</f>
        <v>2</v>
      </c>
      <c r="T521" t="str" cm="1">
        <f t="array" ref="T521">IFERROR(IF(D521="SET",_xlfn.TEXTJOIN(", ",TRUE,_xlfn._xlws.FILTER(TRANSPOSE(TRIM(_xlfn.TEXTSPLIT(N521,","))),COUNTIFS(B$3:B$650,TRANSPOSE(TRIM(_xlfn.TEXTSPLIT(N521,","))),O$3:O$650,"&lt;="&amp;$T$1))),""),"")</f>
        <v/>
      </c>
    </row>
    <row r="522" spans="1:20" ht="15.6" customHeight="1" x14ac:dyDescent="0.3">
      <c r="A522" s="1">
        <v>59989</v>
      </c>
      <c r="B522" s="55" t="s">
        <v>1041</v>
      </c>
      <c r="C522" s="1" t="s">
        <v>1261</v>
      </c>
      <c r="D522" s="1" t="s">
        <v>628</v>
      </c>
      <c r="E522" s="1" t="s">
        <v>686</v>
      </c>
      <c r="F522" s="9"/>
      <c r="G522" s="9"/>
      <c r="H522" s="16" t="s">
        <v>242</v>
      </c>
      <c r="I522" s="9" t="b">
        <f t="shared" si="12"/>
        <v>0</v>
      </c>
      <c r="J522" s="1" t="s">
        <v>402</v>
      </c>
      <c r="K522" s="1" t="s">
        <v>1715</v>
      </c>
      <c r="L522" s="1" t="s">
        <v>1715</v>
      </c>
      <c r="M522" s="9"/>
      <c r="N522" s="35" t="s">
        <v>1321</v>
      </c>
      <c r="O522" s="24">
        <v>13</v>
      </c>
      <c r="P522" s="2" cm="1">
        <f t="array" ref="P522">_xlfn.XLOOKUP(TRIM(B522),TRIM('[1]wc-product-export-16-3-2026-177'!$A:$A),'[1]wc-product-export-16-3-2026-177'!$D:$D,0,0)</f>
        <v>0</v>
      </c>
      <c r="Q522" s="2" cm="1">
        <f t="array" ref="Q522">IF(TRIM($D522)="SET",IF($K522="Steak Set1",ROUNDDOWN(IFERROR(MIN(_xlfn._xlws.FILTER(O$3:O$650,ISNUMBER(MATCH(TRIM($B$3:$B$650),TRIM(_xlfn.TEXTSPLIT($N522,",")),0)))),0)/4,0)+P522,IF(IFERROR(MIN(_xlfn._xlws.FILTER(O$3:O$650,ISNUMBER(MATCH(TRIM($B$3:$B$650),TRIM(_xlfn.TEXTSPLIT($N522,",")),0)))),0)&gt;=$E$1,IFERROR(MIN(_xlfn._xlws.FILTER(O$3:O$650,ISNUMBER(MATCH(TRIM($B$3:$B$650),TRIM(_xlfn.TEXTSPLIT($N522,",")),0)))),0)+P522,P522)),IF(TRIM($D522)="EA",IF(TRIM($E522)="M",ROUNDUP(O522*0.85,0),IF(TRIM($E522)="P",O522,P522)),P522))</f>
        <v>13</v>
      </c>
      <c r="T522" t="str" cm="1">
        <f t="array" ref="T522">IFERROR(IF(D522="SET",_xlfn.TEXTJOIN(", ",TRUE,_xlfn._xlws.FILTER(TRANSPOSE(TRIM(_xlfn.TEXTSPLIT(N522,","))),COUNTIFS(B$3:B$650,TRANSPOSE(TRIM(_xlfn.TEXTSPLIT(N522,","))),O$3:O$650,"&lt;="&amp;$T$1))),""),"")</f>
        <v/>
      </c>
    </row>
    <row r="523" spans="1:20" ht="15.6" customHeight="1" x14ac:dyDescent="0.3">
      <c r="A523" s="1">
        <v>59990</v>
      </c>
      <c r="B523" s="55" t="s">
        <v>1042</v>
      </c>
      <c r="C523" s="1" t="s">
        <v>1261</v>
      </c>
      <c r="D523" s="1" t="s">
        <v>628</v>
      </c>
      <c r="E523" s="1" t="s">
        <v>686</v>
      </c>
      <c r="F523" s="9" t="s">
        <v>1608</v>
      </c>
      <c r="G523" s="9"/>
      <c r="H523" s="16" t="s">
        <v>243</v>
      </c>
      <c r="I523" s="9" t="b">
        <f t="shared" si="12"/>
        <v>0</v>
      </c>
      <c r="J523" s="1" t="s">
        <v>402</v>
      </c>
      <c r="K523" s="1" t="s">
        <v>1716</v>
      </c>
      <c r="L523" s="1" t="s">
        <v>1716</v>
      </c>
      <c r="M523" s="9"/>
      <c r="N523" s="35" t="s">
        <v>1322</v>
      </c>
      <c r="O523" s="24">
        <v>13</v>
      </c>
      <c r="P523" s="2" cm="1">
        <f t="array" ref="P523">_xlfn.XLOOKUP(TRIM(B523),TRIM('[1]wc-product-export-16-3-2026-177'!$A:$A),'[1]wc-product-export-16-3-2026-177'!$D:$D,0,0)</f>
        <v>0</v>
      </c>
      <c r="Q523" s="2" cm="1">
        <f t="array" ref="Q523">IF(TRIM($D523)="SET",IF($K523="Steak Set1",ROUNDDOWN(IFERROR(MIN(_xlfn._xlws.FILTER(O$3:O$650,ISNUMBER(MATCH(TRIM($B$3:$B$650),TRIM(_xlfn.TEXTSPLIT($N523,",")),0)))),0)/4,0)+P523,IF(IFERROR(MIN(_xlfn._xlws.FILTER(O$3:O$650,ISNUMBER(MATCH(TRIM($B$3:$B$650),TRIM(_xlfn.TEXTSPLIT($N523,",")),0)))),0)&gt;=$E$1,IFERROR(MIN(_xlfn._xlws.FILTER(O$3:O$650,ISNUMBER(MATCH(TRIM($B$3:$B$650),TRIM(_xlfn.TEXTSPLIT($N523,",")),0)))),0)+P523,P523)),IF(TRIM($D523)="EA",IF(TRIM($E523)="M",ROUNDUP(O523*0.85,0),IF(TRIM($E523)="P",O523,P523)),P523))</f>
        <v>13</v>
      </c>
      <c r="T523" t="str" cm="1">
        <f t="array" ref="T523">IFERROR(IF(D523="SET",_xlfn.TEXTJOIN(", ",TRUE,_xlfn._xlws.FILTER(TRANSPOSE(TRIM(_xlfn.TEXTSPLIT(N523,","))),COUNTIFS(B$3:B$650,TRANSPOSE(TRIM(_xlfn.TEXTSPLIT(N523,","))),O$3:O$650,"&lt;="&amp;$T$1))),""),"")</f>
        <v/>
      </c>
    </row>
    <row r="524" spans="1:20" ht="15.6" customHeight="1" x14ac:dyDescent="0.3">
      <c r="A524" s="1">
        <v>59992</v>
      </c>
      <c r="B524" s="55" t="s">
        <v>1043</v>
      </c>
      <c r="C524" s="1" t="s">
        <v>1261</v>
      </c>
      <c r="D524" s="1" t="s">
        <v>628</v>
      </c>
      <c r="E524" s="1" t="s">
        <v>686</v>
      </c>
      <c r="F524" s="9"/>
      <c r="G524" s="9"/>
      <c r="H524" s="16" t="s">
        <v>73</v>
      </c>
      <c r="I524" s="9" t="b">
        <f t="shared" si="12"/>
        <v>0</v>
      </c>
      <c r="J524" s="1" t="s">
        <v>402</v>
      </c>
      <c r="K524" s="1" t="s">
        <v>1712</v>
      </c>
      <c r="L524" s="1" t="s">
        <v>1737</v>
      </c>
      <c r="M524" s="9"/>
      <c r="N524" s="35">
        <v>59915</v>
      </c>
      <c r="O524" s="24">
        <v>18</v>
      </c>
      <c r="P524" s="2" cm="1">
        <f t="array" ref="P524">_xlfn.XLOOKUP(TRIM(B524),TRIM('[1]wc-product-export-16-3-2026-177'!$A:$A),'[1]wc-product-export-16-3-2026-177'!$D:$D,0,0)</f>
        <v>13</v>
      </c>
      <c r="Q524" s="2" cm="1">
        <f t="array" ref="Q524">IF(TRIM($D524)="SET",IF($K524="Steak Set1",ROUNDDOWN(IFERROR(MIN(_xlfn._xlws.FILTER(O$3:O$650,ISNUMBER(MATCH(TRIM($B$3:$B$650),TRIM(_xlfn.TEXTSPLIT($N524,",")),0)))),0)/4,0)+P524,IF(IFERROR(MIN(_xlfn._xlws.FILTER(O$3:O$650,ISNUMBER(MATCH(TRIM($B$3:$B$650),TRIM(_xlfn.TEXTSPLIT($N524,",")),0)))),0)&gt;=$E$1,IFERROR(MIN(_xlfn._xlws.FILTER(O$3:O$650,ISNUMBER(MATCH(TRIM($B$3:$B$650),TRIM(_xlfn.TEXTSPLIT($N524,",")),0)))),0)+P524,P524)),IF(TRIM($D524)="EA",IF(TRIM($E524)="M",ROUNDUP(O524*0.85,0),IF(TRIM($E524)="P",O524,P524)),P524))</f>
        <v>18</v>
      </c>
      <c r="T524" t="str" cm="1">
        <f t="array" ref="T524">IFERROR(IF(D524="SET",_xlfn.TEXTJOIN(", ",TRUE,_xlfn._xlws.FILTER(TRANSPOSE(TRIM(_xlfn.TEXTSPLIT(N524,","))),COUNTIFS(B$3:B$650,TRANSPOSE(TRIM(_xlfn.TEXTSPLIT(N524,","))),O$3:O$650,"&lt;="&amp;$T$1))),""),"")</f>
        <v/>
      </c>
    </row>
    <row r="525" spans="1:20" ht="15.6" customHeight="1" x14ac:dyDescent="0.3">
      <c r="A525" s="1">
        <v>59995</v>
      </c>
      <c r="B525" s="55" t="s">
        <v>1044</v>
      </c>
      <c r="C525" s="1" t="s">
        <v>1261</v>
      </c>
      <c r="D525" s="1" t="s">
        <v>628</v>
      </c>
      <c r="E525" s="1" t="s">
        <v>686</v>
      </c>
      <c r="F525" s="9"/>
      <c r="G525" s="9"/>
      <c r="H525" s="16" t="s">
        <v>589</v>
      </c>
      <c r="I525" s="9" t="b">
        <f t="shared" si="12"/>
        <v>0</v>
      </c>
      <c r="J525" s="1" t="s">
        <v>402</v>
      </c>
      <c r="K525" s="1" t="s">
        <v>1714</v>
      </c>
      <c r="L525" s="1" t="s">
        <v>1720</v>
      </c>
      <c r="M525" s="9">
        <v>2</v>
      </c>
      <c r="N525" s="35" t="s">
        <v>1324</v>
      </c>
      <c r="O525" s="24">
        <v>0</v>
      </c>
      <c r="P525" s="2" cm="1">
        <f t="array" ref="P525">_xlfn.XLOOKUP(TRIM(B525),TRIM('[1]wc-product-export-16-3-2026-177'!$A:$A),'[1]wc-product-export-16-3-2026-177'!$D:$D,0,0)</f>
        <v>0</v>
      </c>
      <c r="Q525" s="66" cm="1">
        <f t="array" ref="Q525">_xlfn.LET(_xlpm.items,TRIM(_xlfn.TEXTSPLIT($N525,",")),_xlpm.codes,TRIM($B$3:$B$650),_xlpm.qty,$O$3:$O$650,_xlpm.setMask,ISNUMBER(MATCH(_xlpm.codes,_xlpm.items,0)),_xlpm.knifeType,IF(ISNUMBER(SEARCH("fine",$H525)),"15",IF(ISNUMBER(SEARCH("serr",$H525)),"20","")),_xlpm.knifeStock,IFERROR(MIN(IF(_xlpm.setMask*(RIGHT(_xlpm.codes,2)=_xlpm.knifeType),_xlpm.qty)),0),_xlpm.otherStock,IFERROR(MIN(IF(_xlpm.setMask*(RIGHT(_xlpm.codes,2)&lt;&gt;_xlpm.knifeType),_xlpm.qty)),0),IF(_xlpm.knifeStock&gt;=8,MIN(ROUNDDOWN(_xlpm.knifeStock/8,0),_xlpm.otherStock),0)+P525)</f>
        <v>0</v>
      </c>
      <c r="T525" t="str" cm="1">
        <f t="array" ref="T525">IFERROR(IF(D525="SET",_xlfn.TEXTJOIN(", ",TRUE,_xlfn._xlws.FILTER(TRANSPOSE(TRIM(_xlfn.TEXTSPLIT(N525,","))),COUNTIFS(B$3:B$650,TRANSPOSE(TRIM(_xlfn.TEXTSPLIT(N525,","))),O$3:O$650,"&lt;="&amp;$T$1))),""),"")</f>
        <v>59920</v>
      </c>
    </row>
    <row r="526" spans="1:20" ht="15.6" customHeight="1" x14ac:dyDescent="0.3">
      <c r="A526" s="1">
        <v>59996</v>
      </c>
      <c r="B526" s="55" t="s">
        <v>1045</v>
      </c>
      <c r="C526" s="1" t="s">
        <v>1261</v>
      </c>
      <c r="D526" s="1" t="s">
        <v>628</v>
      </c>
      <c r="E526" s="1" t="s">
        <v>686</v>
      </c>
      <c r="F526" s="9"/>
      <c r="G526" s="9"/>
      <c r="H526" s="16" t="s">
        <v>244</v>
      </c>
      <c r="I526" s="9" t="b">
        <f t="shared" si="12"/>
        <v>0</v>
      </c>
      <c r="J526" s="1" t="s">
        <v>402</v>
      </c>
      <c r="K526" s="1" t="s">
        <v>1714</v>
      </c>
      <c r="L526" s="1" t="s">
        <v>1720</v>
      </c>
      <c r="M526" s="9">
        <v>2</v>
      </c>
      <c r="N526" s="35" t="s">
        <v>1325</v>
      </c>
      <c r="O526" s="24">
        <v>4</v>
      </c>
      <c r="P526" s="2" cm="1">
        <f t="array" ref="P526">_xlfn.XLOOKUP(TRIM(B526),TRIM('[1]wc-product-export-16-3-2026-177'!$A:$A),'[1]wc-product-export-16-3-2026-177'!$D:$D,0,0)</f>
        <v>2</v>
      </c>
      <c r="Q526" s="66" cm="1">
        <f t="array" ref="Q526">_xlfn.LET(_xlpm.items,TRIM(_xlfn.TEXTSPLIT($N526,",")),_xlpm.codes,TRIM($B$3:$B$650),_xlpm.qty,$O$3:$O$650,_xlpm.setMask,ISNUMBER(MATCH(_xlpm.codes,_xlpm.items,0)),_xlpm.knifeType,IF(ISNUMBER(SEARCH("fine",$H526)),"15",IF(ISNUMBER(SEARCH("serr",$H526)),"20","")),_xlpm.knifeStock,IFERROR(MIN(IF(_xlpm.setMask*(RIGHT(_xlpm.codes,2)=_xlpm.knifeType),_xlpm.qty)),0),_xlpm.otherStock,IFERROR(MIN(IF(_xlpm.setMask*(RIGHT(_xlpm.codes,2)&lt;&gt;_xlpm.knifeType),_xlpm.qty)),0),IF(_xlpm.knifeStock&gt;=8,MIN(ROUNDDOWN(_xlpm.knifeStock/8,0),_xlpm.otherStock),0)+P526)</f>
        <v>4</v>
      </c>
      <c r="T526" t="str" cm="1">
        <f t="array" ref="T526">IFERROR(IF(D526="SET",_xlfn.TEXTJOIN(", ",TRUE,_xlfn._xlws.FILTER(TRANSPOSE(TRIM(_xlfn.TEXTSPLIT(N526,","))),COUNTIFS(B$3:B$650,TRANSPOSE(TRIM(_xlfn.TEXTSPLIT(N526,","))),O$3:O$650,"&lt;="&amp;$T$1))),""),"")</f>
        <v/>
      </c>
    </row>
    <row r="527" spans="1:20" ht="15.6" customHeight="1" x14ac:dyDescent="0.3">
      <c r="A527" s="1">
        <v>59997</v>
      </c>
      <c r="B527" s="55" t="s">
        <v>1046</v>
      </c>
      <c r="C527" s="1" t="s">
        <v>1261</v>
      </c>
      <c r="D527" s="1" t="s">
        <v>628</v>
      </c>
      <c r="E527" s="1" t="s">
        <v>686</v>
      </c>
      <c r="F527" s="9"/>
      <c r="G527" s="9"/>
      <c r="H527" s="16" t="s">
        <v>590</v>
      </c>
      <c r="I527" s="9" t="b">
        <f t="shared" si="12"/>
        <v>0</v>
      </c>
      <c r="J527" s="1" t="s">
        <v>402</v>
      </c>
      <c r="K527" s="1" t="s">
        <v>1714</v>
      </c>
      <c r="L527" s="1" t="s">
        <v>1719</v>
      </c>
      <c r="M527" s="9">
        <v>2</v>
      </c>
      <c r="N527" s="35" t="s">
        <v>1318</v>
      </c>
      <c r="O527" s="24">
        <v>0</v>
      </c>
      <c r="P527" s="2" cm="1">
        <f t="array" ref="P527">_xlfn.XLOOKUP(TRIM(B527),TRIM('[1]wc-product-export-16-3-2026-177'!$A:$A),'[1]wc-product-export-16-3-2026-177'!$D:$D,0,0)</f>
        <v>0</v>
      </c>
      <c r="Q527" s="66" cm="1">
        <f t="array" ref="Q527">_xlfn.LET(_xlpm.items,TRIM(_xlfn.TEXTSPLIT($N527,",")),_xlpm.codes,TRIM($B$3:$B$650),_xlpm.qty,$O$3:$O$650,_xlpm.setMask,ISNUMBER(MATCH(_xlpm.codes,_xlpm.items,0)),_xlpm.knifeType,IF(ISNUMBER(SEARCH("fine",$H527)),"15",IF(ISNUMBER(SEARCH("serr",$H527)),"20","")),_xlpm.knifeStock,IFERROR(MIN(IF(_xlpm.setMask*(RIGHT(_xlpm.codes,2)=_xlpm.knifeType),_xlpm.qty)),0),_xlpm.otherStock,IFERROR(MIN(IF(_xlpm.setMask*(RIGHT(_xlpm.codes,2)&lt;&gt;_xlpm.knifeType),_xlpm.qty)),0),IF(_xlpm.knifeStock&gt;=8,MIN(ROUNDDOWN(_xlpm.knifeStock/8,0),_xlpm.otherStock),0)+P527)</f>
        <v>0</v>
      </c>
      <c r="T527" t="str" cm="1">
        <f t="array" ref="T527">IFERROR(IF(D527="SET",_xlfn.TEXTJOIN(", ",TRUE,_xlfn._xlws.FILTER(TRANSPOSE(TRIM(_xlfn.TEXTSPLIT(N527,","))),COUNTIFS(B$3:B$650,TRANSPOSE(TRIM(_xlfn.TEXTSPLIT(N527,","))),O$3:O$650,"&lt;="&amp;$T$1))),""),"")</f>
        <v>59920</v>
      </c>
    </row>
    <row r="528" spans="1:20" ht="15.6" customHeight="1" x14ac:dyDescent="0.3">
      <c r="A528" s="1">
        <v>59998</v>
      </c>
      <c r="B528" s="55" t="s">
        <v>1047</v>
      </c>
      <c r="C528" s="1" t="s">
        <v>1261</v>
      </c>
      <c r="D528" s="1" t="s">
        <v>628</v>
      </c>
      <c r="E528" s="1" t="s">
        <v>686</v>
      </c>
      <c r="F528" s="9"/>
      <c r="G528" s="9"/>
      <c r="H528" s="16" t="s">
        <v>245</v>
      </c>
      <c r="I528" s="9" t="b">
        <f t="shared" si="12"/>
        <v>0</v>
      </c>
      <c r="J528" s="1" t="s">
        <v>402</v>
      </c>
      <c r="K528" s="1" t="s">
        <v>1714</v>
      </c>
      <c r="L528" s="1" t="s">
        <v>1719</v>
      </c>
      <c r="M528" s="9">
        <v>2</v>
      </c>
      <c r="N528" s="35" t="s">
        <v>1707</v>
      </c>
      <c r="O528" s="24">
        <v>3</v>
      </c>
      <c r="P528" s="2" cm="1">
        <f t="array" ref="P528">_xlfn.XLOOKUP(TRIM(B528),TRIM('[1]wc-product-export-16-3-2026-177'!$A:$A),'[1]wc-product-export-16-3-2026-177'!$D:$D,0,0)</f>
        <v>1</v>
      </c>
      <c r="Q528" s="66" cm="1">
        <f t="array" ref="Q528">_xlfn.LET(_xlpm.items,TRIM(_xlfn.TEXTSPLIT($N528,",")),_xlpm.codes,TRIM($B$3:$B$650),_xlpm.qty,$O$3:$O$650,_xlpm.setMask,ISNUMBER(MATCH(_xlpm.codes,_xlpm.items,0)),_xlpm.knifeType,IF(ISNUMBER(SEARCH("fine",$H528)),"15",IF(ISNUMBER(SEARCH("serr",$H528)),"20","")),_xlpm.knifeStock,IFERROR(MIN(IF(_xlpm.setMask*(RIGHT(_xlpm.codes,2)=_xlpm.knifeType),_xlpm.qty)),0),_xlpm.otherStock,IFERROR(MIN(IF(_xlpm.setMask*(RIGHT(_xlpm.codes,2)&lt;&gt;_xlpm.knifeType),_xlpm.qty)),0),IF(_xlpm.knifeStock&gt;=8,MIN(ROUNDDOWN(_xlpm.knifeStock/8,0),_xlpm.otherStock),0)+P528)</f>
        <v>3</v>
      </c>
      <c r="T528" t="str" cm="1">
        <f t="array" ref="T528">IFERROR(IF(D528="SET",_xlfn.TEXTJOIN(", ",TRUE,_xlfn._xlws.FILTER(TRANSPOSE(TRIM(_xlfn.TEXTSPLIT(N528,","))),COUNTIFS(B$3:B$650,TRANSPOSE(TRIM(_xlfn.TEXTSPLIT(N528,","))),O$3:O$650,"&lt;="&amp;$T$1))),""),"")</f>
        <v/>
      </c>
    </row>
    <row r="529" spans="1:20" ht="15.6" customHeight="1" x14ac:dyDescent="0.3">
      <c r="A529" s="1">
        <v>69900</v>
      </c>
      <c r="B529" s="56" t="s">
        <v>1048</v>
      </c>
      <c r="C529" s="1" t="s">
        <v>1261</v>
      </c>
      <c r="D529" s="1" t="s">
        <v>624</v>
      </c>
      <c r="E529" s="1" t="s">
        <v>686</v>
      </c>
      <c r="F529" s="9"/>
      <c r="G529" s="9"/>
      <c r="H529" s="16" t="s">
        <v>319</v>
      </c>
      <c r="I529" s="9" t="b">
        <f t="shared" si="12"/>
        <v>0</v>
      </c>
      <c r="J529" s="1" t="s">
        <v>403</v>
      </c>
      <c r="K529" s="1" t="s">
        <v>265</v>
      </c>
      <c r="L529" s="1" t="s">
        <v>265</v>
      </c>
      <c r="M529" s="9"/>
      <c r="N529" s="35"/>
      <c r="O529" s="24">
        <v>7</v>
      </c>
      <c r="P529" s="2" cm="1">
        <f t="array" ref="P529">_xlfn.XLOOKUP(TRIM(B529),TRIM('[1]wc-product-export-16-3-2026-177'!$A:$A),'[1]wc-product-export-16-3-2026-177'!$D:$D,0,0)</f>
        <v>0</v>
      </c>
      <c r="Q529" s="2" cm="1">
        <f t="array" ref="Q529">IF(TRIM($D529)="SET",IF($K529="Steak Set1",ROUNDDOWN(IFERROR(MIN(_xlfn._xlws.FILTER(O$3:O$650,ISNUMBER(MATCH(TRIM($B$3:$B$650),TRIM(_xlfn.TEXTSPLIT($N529,",")),0)))),0)/4,0)+P529,IF(IFERROR(MIN(_xlfn._xlws.FILTER(O$3:O$650,ISNUMBER(MATCH(TRIM($B$3:$B$650),TRIM(_xlfn.TEXTSPLIT($N529,",")),0)))),0)&gt;=$E$1,IFERROR(MIN(_xlfn._xlws.FILTER(O$3:O$650,ISNUMBER(MATCH(TRIM($B$3:$B$650),TRIM(_xlfn.TEXTSPLIT($N529,",")),0)))),0)+P529,P529)),IF(TRIM($D529)="EA",IF(TRIM($E529)="M",ROUNDUP(O529*0.85,0),IF(TRIM($E529)="P",O529,P529)),P529))</f>
        <v>6</v>
      </c>
      <c r="T529" t="str" cm="1">
        <f t="array" ref="T529">IFERROR(IF(D529="SET",_xlfn.TEXTJOIN(", ",TRUE,_xlfn._xlws.FILTER(TRANSPOSE(TRIM(_xlfn.TEXTSPLIT(N529,","))),COUNTIFS(B$3:B$650,TRANSPOSE(TRIM(_xlfn.TEXTSPLIT(N529,","))),O$3:O$650,"&lt;="&amp;$T$1))),""),"")</f>
        <v/>
      </c>
    </row>
    <row r="530" spans="1:20" ht="15.6" customHeight="1" x14ac:dyDescent="0.3">
      <c r="A530" s="1">
        <v>69901</v>
      </c>
      <c r="B530" s="55" t="s">
        <v>1049</v>
      </c>
      <c r="C530" s="1" t="s">
        <v>1261</v>
      </c>
      <c r="D530" s="1" t="s">
        <v>628</v>
      </c>
      <c r="E530" s="1" t="s">
        <v>686</v>
      </c>
      <c r="F530" s="9" t="s">
        <v>1608</v>
      </c>
      <c r="G530" s="9"/>
      <c r="H530" s="16" t="s">
        <v>538</v>
      </c>
      <c r="I530" s="9" t="b">
        <f t="shared" si="12"/>
        <v>0</v>
      </c>
      <c r="J530" s="1" t="s">
        <v>403</v>
      </c>
      <c r="K530" s="1" t="s">
        <v>1715</v>
      </c>
      <c r="L530" s="1" t="s">
        <v>1715</v>
      </c>
      <c r="M530" s="9"/>
      <c r="N530" s="35" t="s">
        <v>1569</v>
      </c>
      <c r="O530" s="24">
        <v>0</v>
      </c>
      <c r="P530" s="2" cm="1">
        <f t="array" ref="P530">_xlfn.XLOOKUP(TRIM(B530),TRIM('[1]wc-product-export-16-3-2026-177'!$A:$A),'[1]wc-product-export-16-3-2026-177'!$D:$D,0,0)</f>
        <v>0</v>
      </c>
      <c r="Q530" s="2" cm="1">
        <f t="array" ref="Q530">IF(TRIM($D530)="SET",IF($K530="Steak Set1",ROUNDDOWN(IFERROR(MIN(_xlfn._xlws.FILTER(O$3:O$650,ISNUMBER(MATCH(TRIM($B$3:$B$650),TRIM(_xlfn.TEXTSPLIT($N530,",")),0)))),0)/4,0)+P530,IF(IFERROR(MIN(_xlfn._xlws.FILTER(O$3:O$650,ISNUMBER(MATCH(TRIM($B$3:$B$650),TRIM(_xlfn.TEXTSPLIT($N530,",")),0)))),0)&gt;=$E$1,IFERROR(MIN(_xlfn._xlws.FILTER(O$3:O$650,ISNUMBER(MATCH(TRIM($B$3:$B$650),TRIM(_xlfn.TEXTSPLIT($N530,",")),0)))),0)+P530,P530)),IF(TRIM($D530)="EA",IF(TRIM($E530)="M",ROUNDUP(O530*0.85,0),IF(TRIM($E530)="P",O530,P530)),P530))</f>
        <v>0</v>
      </c>
      <c r="T530" t="str" cm="1">
        <f t="array" ref="T530">IFERROR(IF(D530="SET",_xlfn.TEXTJOIN(", ",TRUE,_xlfn._xlws.FILTER(TRANSPOSE(TRIM(_xlfn.TEXTSPLIT(N530,","))),COUNTIFS(B$3:B$650,TRANSPOSE(TRIM(_xlfn.TEXTSPLIT(N530,","))),O$3:O$650,"&lt;="&amp;$T$1))),""),"")</f>
        <v>69910, 69935, 69955</v>
      </c>
    </row>
    <row r="531" spans="1:20" ht="15.6" customHeight="1" x14ac:dyDescent="0.3">
      <c r="A531" s="1">
        <v>69902</v>
      </c>
      <c r="B531" s="55" t="s">
        <v>1050</v>
      </c>
      <c r="C531" s="1" t="s">
        <v>1261</v>
      </c>
      <c r="D531" s="1" t="s">
        <v>628</v>
      </c>
      <c r="E531" s="1" t="s">
        <v>686</v>
      </c>
      <c r="F531" s="9"/>
      <c r="G531" s="9"/>
      <c r="H531" s="16" t="s">
        <v>539</v>
      </c>
      <c r="I531" s="9" t="b">
        <f t="shared" si="12"/>
        <v>0</v>
      </c>
      <c r="J531" s="1" t="s">
        <v>403</v>
      </c>
      <c r="K531" s="1" t="s">
        <v>280</v>
      </c>
      <c r="L531" s="1" t="s">
        <v>1716</v>
      </c>
      <c r="M531" s="9"/>
      <c r="N531" s="35" t="s">
        <v>1549</v>
      </c>
      <c r="O531" s="24">
        <v>0</v>
      </c>
      <c r="P531" s="2" cm="1">
        <f t="array" ref="P531">_xlfn.XLOOKUP(TRIM(B531),TRIM('[1]wc-product-export-16-3-2026-177'!$A:$A),'[1]wc-product-export-16-3-2026-177'!$D:$D,0,0)</f>
        <v>0</v>
      </c>
      <c r="Q531" s="2" cm="1">
        <f t="array" ref="Q531">IF(TRIM($D531)="SET",IF($K531="Steak Set1",ROUNDDOWN(IFERROR(MIN(_xlfn._xlws.FILTER(O$3:O$650,ISNUMBER(MATCH(TRIM($B$3:$B$650),TRIM(_xlfn.TEXTSPLIT($N531,",")),0)))),0)/4,0)+P531,IF(IFERROR(MIN(_xlfn._xlws.FILTER(O$3:O$650,ISNUMBER(MATCH(TRIM($B$3:$B$650),TRIM(_xlfn.TEXTSPLIT($N531,",")),0)))),0)&gt;=$E$1,IFERROR(MIN(_xlfn._xlws.FILTER(O$3:O$650,ISNUMBER(MATCH(TRIM($B$3:$B$650),TRIM(_xlfn.TEXTSPLIT($N531,",")),0)))),0)+P531,P531)),IF(TRIM($D531)="EA",IF(TRIM($E531)="M",ROUNDUP(O531*0.85,0),IF(TRIM($E531)="P",O531,P531)),P531))</f>
        <v>0</v>
      </c>
      <c r="T531" t="str" cm="1">
        <f t="array" ref="T531">IFERROR(IF(D531="SET",_xlfn.TEXTJOIN(", ",TRUE,_xlfn._xlws.FILTER(TRANSPOSE(TRIM(_xlfn.TEXTSPLIT(N531,","))),COUNTIFS(B$3:B$650,TRANSPOSE(TRIM(_xlfn.TEXTSPLIT(N531,","))),O$3:O$650,"&lt;="&amp;$T$1))),""),"")</f>
        <v>69910, 69935, 69955</v>
      </c>
    </row>
    <row r="532" spans="1:20" ht="15.6" customHeight="1" x14ac:dyDescent="0.3">
      <c r="A532" s="1">
        <v>69903</v>
      </c>
      <c r="B532" s="1" t="s">
        <v>1051</v>
      </c>
      <c r="C532" s="1" t="s">
        <v>1261</v>
      </c>
      <c r="D532" s="1" t="s">
        <v>628</v>
      </c>
      <c r="E532" s="1" t="s">
        <v>686</v>
      </c>
      <c r="F532" s="9" t="s">
        <v>1608</v>
      </c>
      <c r="G532" s="9" t="s">
        <v>1534</v>
      </c>
      <c r="H532" s="53" t="s">
        <v>540</v>
      </c>
      <c r="I532" s="9" t="b">
        <f t="shared" si="12"/>
        <v>0</v>
      </c>
      <c r="J532" s="1" t="s">
        <v>403</v>
      </c>
      <c r="K532" s="1" t="s">
        <v>1714</v>
      </c>
      <c r="L532" s="1" t="s">
        <v>1720</v>
      </c>
      <c r="M532" s="9">
        <v>2</v>
      </c>
      <c r="N532" s="35" t="s">
        <v>1550</v>
      </c>
      <c r="O532" s="2" t="s">
        <v>458</v>
      </c>
      <c r="P532" s="2" cm="1">
        <f t="array" ref="P532">_xlfn.XLOOKUP(TRIM(B532),TRIM('[1]wc-product-export-16-3-2026-177'!$A:$A),'[1]wc-product-export-16-3-2026-177'!$D:$D,0,0)</f>
        <v>0</v>
      </c>
      <c r="Q532" s="66" cm="1">
        <f t="array" ref="Q532">_xlfn.LET(_xlpm.items,TRIM(_xlfn.TEXTSPLIT($N532,",")),_xlpm.codes,TRIM($B$3:$B$650),_xlpm.qty,$O$3:$O$650,_xlpm.setMask,ISNUMBER(MATCH(_xlpm.codes,_xlpm.items,0)),_xlpm.knifeType,IF(ISNUMBER(SEARCH("fine",$H532)),"15",IF(ISNUMBER(SEARCH("serr",$H532)),"20","")),_xlpm.knifeStock,IFERROR(MIN(IF(_xlpm.setMask*(RIGHT(_xlpm.codes,2)=_xlpm.knifeType),_xlpm.qty)),0),_xlpm.otherStock,IFERROR(MIN(IF(_xlpm.setMask*(RIGHT(_xlpm.codes,2)&lt;&gt;_xlpm.knifeType),_xlpm.qty)),0),IF(_xlpm.knifeStock&gt;=8,MIN(ROUNDDOWN(_xlpm.knifeStock/8,0),_xlpm.otherStock),0)+P532)</f>
        <v>0</v>
      </c>
      <c r="T532" t="str" cm="1">
        <f t="array" ref="T532">IFERROR(IF(D532="SET",_xlfn.TEXTJOIN(", ",TRUE,_xlfn._xlws.FILTER(TRANSPOSE(TRIM(_xlfn.TEXTSPLIT(N532,","))),COUNTIFS(B$3:B$650,TRANSPOSE(TRIM(_xlfn.TEXTSPLIT(N532,","))),O$3:O$650,"&lt;="&amp;$T$1))),""),"")</f>
        <v>69955, 69960, 69910, 69920, 69935</v>
      </c>
    </row>
    <row r="533" spans="1:20" ht="15.6" customHeight="1" x14ac:dyDescent="0.3">
      <c r="A533" s="1">
        <v>69904</v>
      </c>
      <c r="B533" s="1" t="s">
        <v>1052</v>
      </c>
      <c r="C533" s="1" t="s">
        <v>1261</v>
      </c>
      <c r="D533" s="1" t="s">
        <v>628</v>
      </c>
      <c r="E533" s="1" t="s">
        <v>686</v>
      </c>
      <c r="F533" s="9" t="s">
        <v>1608</v>
      </c>
      <c r="G533" s="9" t="s">
        <v>1534</v>
      </c>
      <c r="H533" s="16" t="s">
        <v>541</v>
      </c>
      <c r="I533" s="9" t="b">
        <f t="shared" si="12"/>
        <v>0</v>
      </c>
      <c r="J533" s="1" t="s">
        <v>403</v>
      </c>
      <c r="K533" s="1" t="s">
        <v>1714</v>
      </c>
      <c r="L533" s="1" t="s">
        <v>1720</v>
      </c>
      <c r="M533" s="9">
        <v>2</v>
      </c>
      <c r="N533" s="35" t="s">
        <v>1570</v>
      </c>
      <c r="O533" s="2" t="s">
        <v>458</v>
      </c>
      <c r="P533" s="2" cm="1">
        <f t="array" ref="P533">_xlfn.XLOOKUP(TRIM(B533),TRIM('[1]wc-product-export-16-3-2026-177'!$A:$A),'[1]wc-product-export-16-3-2026-177'!$D:$D,0,0)</f>
        <v>0</v>
      </c>
      <c r="Q533" s="66" cm="1">
        <f t="array" ref="Q533">_xlfn.LET(_xlpm.items,TRIM(_xlfn.TEXTSPLIT($N533,",")),_xlpm.codes,TRIM($B$3:$B$650),_xlpm.qty,$O$3:$O$650,_xlpm.setMask,ISNUMBER(MATCH(_xlpm.codes,_xlpm.items,0)),_xlpm.knifeType,IF(ISNUMBER(SEARCH("fine",$H533)),"15",IF(ISNUMBER(SEARCH("serr",$H533)),"20","")),_xlpm.knifeStock,IFERROR(MIN(IF(_xlpm.setMask*(RIGHT(_xlpm.codes,2)=_xlpm.knifeType),_xlpm.qty)),0),_xlpm.otherStock,IFERROR(MIN(IF(_xlpm.setMask*(RIGHT(_xlpm.codes,2)&lt;&gt;_xlpm.knifeType),_xlpm.qty)),0),IF(_xlpm.knifeStock&gt;=8,MIN(ROUNDDOWN(_xlpm.knifeStock/8,0),_xlpm.otherStock),0)+P533)</f>
        <v>0</v>
      </c>
      <c r="T533" t="str" cm="1">
        <f t="array" ref="T533">IFERROR(IF(D533="SET",_xlfn.TEXTJOIN(", ",TRUE,_xlfn._xlws.FILTER(TRANSPOSE(TRIM(_xlfn.TEXTSPLIT(N533,","))),COUNTIFS(B$3:B$650,TRANSPOSE(TRIM(_xlfn.TEXTSPLIT(N533,","))),O$3:O$650,"&lt;="&amp;$T$1))),""),"")</f>
        <v>69955, 69960, 69910, 69915, 69935</v>
      </c>
    </row>
    <row r="534" spans="1:20" ht="15.6" customHeight="1" x14ac:dyDescent="0.3">
      <c r="A534" s="1">
        <v>69905</v>
      </c>
      <c r="B534" s="1" t="s">
        <v>1053</v>
      </c>
      <c r="C534" s="1" t="s">
        <v>1261</v>
      </c>
      <c r="D534" s="1" t="s">
        <v>628</v>
      </c>
      <c r="E534" s="1" t="s">
        <v>686</v>
      </c>
      <c r="F534" s="9" t="s">
        <v>1608</v>
      </c>
      <c r="G534" s="9" t="s">
        <v>1534</v>
      </c>
      <c r="H534" s="16" t="s">
        <v>542</v>
      </c>
      <c r="I534" s="9" t="b">
        <f t="shared" si="12"/>
        <v>0</v>
      </c>
      <c r="J534" s="1" t="s">
        <v>403</v>
      </c>
      <c r="K534" s="1" t="s">
        <v>1714</v>
      </c>
      <c r="L534" s="1" t="s">
        <v>1719</v>
      </c>
      <c r="M534" s="9">
        <v>2</v>
      </c>
      <c r="N534" s="35" t="s">
        <v>1551</v>
      </c>
      <c r="O534" s="2" t="s">
        <v>458</v>
      </c>
      <c r="P534" s="2" cm="1">
        <f t="array" ref="P534">_xlfn.XLOOKUP(TRIM(B534),TRIM('[1]wc-product-export-16-3-2026-177'!$A:$A),'[1]wc-product-export-16-3-2026-177'!$D:$D,0,0)</f>
        <v>0</v>
      </c>
      <c r="Q534" s="66" cm="1">
        <f t="array" ref="Q534">_xlfn.LET(_xlpm.items,TRIM(_xlfn.TEXTSPLIT($N534,",")),_xlpm.codes,TRIM($B$3:$B$650),_xlpm.qty,$O$3:$O$650,_xlpm.setMask,ISNUMBER(MATCH(_xlpm.codes,_xlpm.items,0)),_xlpm.knifeType,IF(ISNUMBER(SEARCH("fine",$H534)),"15",IF(ISNUMBER(SEARCH("serr",$H534)),"20","")),_xlpm.knifeStock,IFERROR(MIN(IF(_xlpm.setMask*(RIGHT(_xlpm.codes,2)=_xlpm.knifeType),_xlpm.qty)),0),_xlpm.otherStock,IFERROR(MIN(IF(_xlpm.setMask*(RIGHT(_xlpm.codes,2)&lt;&gt;_xlpm.knifeType),_xlpm.qty)),0),IF(_xlpm.knifeStock&gt;=8,MIN(ROUNDDOWN(_xlpm.knifeStock/8,0),_xlpm.otherStock),0)+P534)</f>
        <v>0</v>
      </c>
      <c r="T534" t="str" cm="1">
        <f t="array" ref="T534">IFERROR(IF(D534="SET",_xlfn.TEXTJOIN(", ",TRUE,_xlfn._xlws.FILTER(TRANSPOSE(TRIM(_xlfn.TEXTSPLIT(N534,","))),COUNTIFS(B$3:B$650,TRANSPOSE(TRIM(_xlfn.TEXTSPLIT(N534,","))),O$3:O$650,"&lt;="&amp;$T$1))),""),"")</f>
        <v>69955, 69943, 69960, 69910, 69920, 69935</v>
      </c>
    </row>
    <row r="535" spans="1:20" ht="15.6" customHeight="1" x14ac:dyDescent="0.3">
      <c r="A535" s="1">
        <v>69906</v>
      </c>
      <c r="B535" s="1" t="s">
        <v>1054</v>
      </c>
      <c r="C535" s="1" t="s">
        <v>1261</v>
      </c>
      <c r="D535" s="1" t="s">
        <v>628</v>
      </c>
      <c r="E535" s="1" t="s">
        <v>686</v>
      </c>
      <c r="F535" s="9" t="s">
        <v>1608</v>
      </c>
      <c r="G535" s="9" t="s">
        <v>1534</v>
      </c>
      <c r="H535" s="16" t="s">
        <v>543</v>
      </c>
      <c r="I535" s="9" t="b">
        <f t="shared" si="12"/>
        <v>0</v>
      </c>
      <c r="J535" s="1" t="s">
        <v>403</v>
      </c>
      <c r="K535" s="1" t="s">
        <v>1714</v>
      </c>
      <c r="L535" s="1" t="s">
        <v>1719</v>
      </c>
      <c r="M535" s="9">
        <v>2</v>
      </c>
      <c r="N535" s="35" t="s">
        <v>1552</v>
      </c>
      <c r="O535" s="2" t="s">
        <v>458</v>
      </c>
      <c r="P535" s="2" cm="1">
        <f t="array" ref="P535">_xlfn.XLOOKUP(TRIM(B535),TRIM('[1]wc-product-export-16-3-2026-177'!$A:$A),'[1]wc-product-export-16-3-2026-177'!$D:$D,0,0)</f>
        <v>0</v>
      </c>
      <c r="Q535" s="66" cm="1">
        <f t="array" ref="Q535">_xlfn.LET(_xlpm.items,TRIM(_xlfn.TEXTSPLIT($N535,",")),_xlpm.codes,TRIM($B$3:$B$650),_xlpm.qty,$O$3:$O$650,_xlpm.setMask,ISNUMBER(MATCH(_xlpm.codes,_xlpm.items,0)),_xlpm.knifeType,IF(ISNUMBER(SEARCH("fine",$H535)),"15",IF(ISNUMBER(SEARCH("serr",$H535)),"20","")),_xlpm.knifeStock,IFERROR(MIN(IF(_xlpm.setMask*(RIGHT(_xlpm.codes,2)=_xlpm.knifeType),_xlpm.qty)),0),_xlpm.otherStock,IFERROR(MIN(IF(_xlpm.setMask*(RIGHT(_xlpm.codes,2)&lt;&gt;_xlpm.knifeType),_xlpm.qty)),0),IF(_xlpm.knifeStock&gt;=8,MIN(ROUNDDOWN(_xlpm.knifeStock/8,0),_xlpm.otherStock),0)+P535)</f>
        <v>0</v>
      </c>
      <c r="T535" t="str" cm="1">
        <f t="array" ref="T535">IFERROR(IF(D535="SET",_xlfn.TEXTJOIN(", ",TRUE,_xlfn._xlws.FILTER(TRANSPOSE(TRIM(_xlfn.TEXTSPLIT(N535,","))),COUNTIFS(B$3:B$650,TRANSPOSE(TRIM(_xlfn.TEXTSPLIT(N535,","))),O$3:O$650,"&lt;="&amp;$T$1))),""),"")</f>
        <v>69955, 69943, 69960, 69910, 69915, 69935</v>
      </c>
    </row>
    <row r="536" spans="1:20" ht="15.6" customHeight="1" x14ac:dyDescent="0.3">
      <c r="A536" s="1">
        <v>69907</v>
      </c>
      <c r="B536" s="55" t="s">
        <v>1055</v>
      </c>
      <c r="C536" s="1" t="s">
        <v>1261</v>
      </c>
      <c r="D536" s="1" t="s">
        <v>624</v>
      </c>
      <c r="E536" s="1" t="s">
        <v>686</v>
      </c>
      <c r="F536" s="9"/>
      <c r="G536" s="9"/>
      <c r="H536" s="16" t="s">
        <v>313</v>
      </c>
      <c r="I536" s="9" t="b">
        <f t="shared" si="12"/>
        <v>0</v>
      </c>
      <c r="J536" s="1" t="s">
        <v>403</v>
      </c>
      <c r="K536" s="1" t="s">
        <v>266</v>
      </c>
      <c r="L536" s="1" t="s">
        <v>266</v>
      </c>
      <c r="M536" s="9"/>
      <c r="N536" s="35"/>
      <c r="O536" s="24">
        <v>0</v>
      </c>
      <c r="P536" s="2" cm="1">
        <f t="array" ref="P536">_xlfn.XLOOKUP(TRIM(B536),TRIM('[1]wc-product-export-16-3-2026-177'!$A:$A),'[1]wc-product-export-16-3-2026-177'!$D:$D,0,0)</f>
        <v>0</v>
      </c>
      <c r="Q536" s="2" cm="1">
        <f t="array" ref="Q536">IF(TRIM($D536)="SET",IF($K536="Steak Set1",ROUNDDOWN(IFERROR(MIN(_xlfn._xlws.FILTER(O$3:O$650,ISNUMBER(MATCH(TRIM($B$3:$B$650),TRIM(_xlfn.TEXTSPLIT($N536,",")),0)))),0)/4,0)+P536,IF(IFERROR(MIN(_xlfn._xlws.FILTER(O$3:O$650,ISNUMBER(MATCH(TRIM($B$3:$B$650),TRIM(_xlfn.TEXTSPLIT($N536,",")),0)))),0)&gt;=$E$1,IFERROR(MIN(_xlfn._xlws.FILTER(O$3:O$650,ISNUMBER(MATCH(TRIM($B$3:$B$650),TRIM(_xlfn.TEXTSPLIT($N536,",")),0)))),0)+P536,P536)),IF(TRIM($D536)="EA",IF(TRIM($E536)="M",ROUNDUP(O536*0.85,0),IF(TRIM($E536)="P",O536,P536)),P536))</f>
        <v>0</v>
      </c>
      <c r="T536" t="str" cm="1">
        <f t="array" ref="T536">IFERROR(IF(D536="SET",_xlfn.TEXTJOIN(", ",TRUE,_xlfn._xlws.FILTER(TRANSPOSE(TRIM(_xlfn.TEXTSPLIT(N536,","))),COUNTIFS(B$3:B$650,TRANSPOSE(TRIM(_xlfn.TEXTSPLIT(N536,","))),O$3:O$650,"&lt;="&amp;$T$1))),""),"")</f>
        <v/>
      </c>
    </row>
    <row r="537" spans="1:20" ht="15.6" customHeight="1" x14ac:dyDescent="0.3">
      <c r="A537" s="1">
        <v>69910</v>
      </c>
      <c r="B537" s="56" t="s">
        <v>1056</v>
      </c>
      <c r="C537" s="1" t="s">
        <v>1261</v>
      </c>
      <c r="D537" s="1" t="s">
        <v>624</v>
      </c>
      <c r="E537" s="1" t="s">
        <v>686</v>
      </c>
      <c r="F537" s="9"/>
      <c r="G537" s="9"/>
      <c r="H537" s="16" t="s">
        <v>315</v>
      </c>
      <c r="I537" s="9" t="b">
        <f t="shared" si="12"/>
        <v>0</v>
      </c>
      <c r="J537" s="1" t="s">
        <v>403</v>
      </c>
      <c r="K537" s="1" t="s">
        <v>266</v>
      </c>
      <c r="L537" s="1" t="s">
        <v>266</v>
      </c>
      <c r="M537" s="9"/>
      <c r="N537" s="35"/>
      <c r="O537" s="24">
        <v>3</v>
      </c>
      <c r="P537" s="2" cm="1">
        <f t="array" ref="P537">_xlfn.XLOOKUP(TRIM(B537),TRIM('[1]wc-product-export-16-3-2026-177'!$A:$A),'[1]wc-product-export-16-3-2026-177'!$D:$D,0,0)</f>
        <v>0</v>
      </c>
      <c r="Q537" s="2" cm="1">
        <f t="array" ref="Q537">IF(TRIM($D537)="SET",IF($K537="Steak Set1",ROUNDDOWN(IFERROR(MIN(_xlfn._xlws.FILTER(O$3:O$650,ISNUMBER(MATCH(TRIM($B$3:$B$650),TRIM(_xlfn.TEXTSPLIT($N537,",")),0)))),0)/4,0)+P537,IF(IFERROR(MIN(_xlfn._xlws.FILTER(O$3:O$650,ISNUMBER(MATCH(TRIM($B$3:$B$650),TRIM(_xlfn.TEXTSPLIT($N537,",")),0)))),0)&gt;=$E$1,IFERROR(MIN(_xlfn._xlws.FILTER(O$3:O$650,ISNUMBER(MATCH(TRIM($B$3:$B$650),TRIM(_xlfn.TEXTSPLIT($N537,",")),0)))),0)+P537,P537)),IF(TRIM($D537)="EA",IF(TRIM($E537)="M",ROUNDUP(O537*0.85,0),IF(TRIM($E537)="P",O537,P537)),P537))</f>
        <v>3</v>
      </c>
      <c r="T537" t="str" cm="1">
        <f t="array" ref="T537">IFERROR(IF(D537="SET",_xlfn.TEXTJOIN(", ",TRUE,_xlfn._xlws.FILTER(TRANSPOSE(TRIM(_xlfn.TEXTSPLIT(N537,","))),COUNTIFS(B$3:B$650,TRANSPOSE(TRIM(_xlfn.TEXTSPLIT(N537,","))),O$3:O$650,"&lt;="&amp;$T$1))),""),"")</f>
        <v/>
      </c>
    </row>
    <row r="538" spans="1:20" ht="15.6" customHeight="1" x14ac:dyDescent="0.3">
      <c r="A538" s="1">
        <v>69911</v>
      </c>
      <c r="B538" s="55" t="s">
        <v>1057</v>
      </c>
      <c r="C538" s="1" t="s">
        <v>1261</v>
      </c>
      <c r="D538" s="1" t="s">
        <v>624</v>
      </c>
      <c r="E538" s="1" t="s">
        <v>686</v>
      </c>
      <c r="F538" s="9"/>
      <c r="G538" s="9"/>
      <c r="H538" s="16" t="s">
        <v>314</v>
      </c>
      <c r="I538" s="9" t="b">
        <f t="shared" si="12"/>
        <v>0</v>
      </c>
      <c r="J538" s="1" t="s">
        <v>403</v>
      </c>
      <c r="K538" s="1" t="s">
        <v>266</v>
      </c>
      <c r="L538" s="1" t="s">
        <v>266</v>
      </c>
      <c r="M538" s="9"/>
      <c r="N538" s="35"/>
      <c r="O538" s="24">
        <v>23</v>
      </c>
      <c r="P538" s="2" cm="1">
        <f t="array" ref="P538">_xlfn.XLOOKUP(TRIM(B538),TRIM('[1]wc-product-export-16-3-2026-177'!$A:$A),'[1]wc-product-export-16-3-2026-177'!$D:$D,0,0)</f>
        <v>0</v>
      </c>
      <c r="Q538" s="2" cm="1">
        <f t="array" ref="Q538">IF(TRIM($D538)="SET",IF($K538="Steak Set1",ROUNDDOWN(IFERROR(MIN(_xlfn._xlws.FILTER(O$3:O$650,ISNUMBER(MATCH(TRIM($B$3:$B$650),TRIM(_xlfn.TEXTSPLIT($N538,",")),0)))),0)/4,0)+P538,IF(IFERROR(MIN(_xlfn._xlws.FILTER(O$3:O$650,ISNUMBER(MATCH(TRIM($B$3:$B$650),TRIM(_xlfn.TEXTSPLIT($N538,",")),0)))),0)&gt;=$E$1,IFERROR(MIN(_xlfn._xlws.FILTER(O$3:O$650,ISNUMBER(MATCH(TRIM($B$3:$B$650),TRIM(_xlfn.TEXTSPLIT($N538,",")),0)))),0)+P538,P538)),IF(TRIM($D538)="EA",IF(TRIM($E538)="M",ROUNDUP(O538*0.85,0),IF(TRIM($E538)="P",O538,P538)),P538))</f>
        <v>20</v>
      </c>
      <c r="T538" t="str" cm="1">
        <f t="array" ref="T538">IFERROR(IF(D538="SET",_xlfn.TEXTJOIN(", ",TRUE,_xlfn._xlws.FILTER(TRANSPOSE(TRIM(_xlfn.TEXTSPLIT(N538,","))),COUNTIFS(B$3:B$650,TRANSPOSE(TRIM(_xlfn.TEXTSPLIT(N538,","))),O$3:O$650,"&lt;="&amp;$T$1))),""),"")</f>
        <v/>
      </c>
    </row>
    <row r="539" spans="1:20" ht="15.6" customHeight="1" x14ac:dyDescent="0.3">
      <c r="A539" s="1">
        <v>69915</v>
      </c>
      <c r="B539" s="55" t="s">
        <v>1058</v>
      </c>
      <c r="C539" s="1" t="s">
        <v>1261</v>
      </c>
      <c r="D539" s="1" t="s">
        <v>624</v>
      </c>
      <c r="E539" s="1" t="s">
        <v>686</v>
      </c>
      <c r="F539" s="9"/>
      <c r="G539" s="9"/>
      <c r="H539" s="16" t="s">
        <v>321</v>
      </c>
      <c r="I539" s="9" t="b">
        <f t="shared" si="12"/>
        <v>0</v>
      </c>
      <c r="J539" s="1" t="s">
        <v>403</v>
      </c>
      <c r="K539" s="1" t="s">
        <v>1293</v>
      </c>
      <c r="L539" s="1" t="s">
        <v>1727</v>
      </c>
      <c r="M539" s="9"/>
      <c r="N539" s="35"/>
      <c r="O539" s="24">
        <v>0</v>
      </c>
      <c r="P539" s="2" cm="1">
        <f t="array" ref="P539">_xlfn.XLOOKUP(TRIM(B539),TRIM('[1]wc-product-export-16-3-2026-177'!$A:$A),'[1]wc-product-export-16-3-2026-177'!$D:$D,0,0)</f>
        <v>0</v>
      </c>
      <c r="Q539" s="2" cm="1">
        <f t="array" ref="Q539">IF(TRIM($D539)="SET",IF($K539="Steak Set1",ROUNDDOWN(IFERROR(MIN(_xlfn._xlws.FILTER(O$3:O$650,ISNUMBER(MATCH(TRIM($B$3:$B$650),TRIM(_xlfn.TEXTSPLIT($N539,",")),0)))),0)/4,0)+P539,IF(IFERROR(MIN(_xlfn._xlws.FILTER(O$3:O$650,ISNUMBER(MATCH(TRIM($B$3:$B$650),TRIM(_xlfn.TEXTSPLIT($N539,",")),0)))),0)&gt;=$E$1,IFERROR(MIN(_xlfn._xlws.FILTER(O$3:O$650,ISNUMBER(MATCH(TRIM($B$3:$B$650),TRIM(_xlfn.TEXTSPLIT($N539,",")),0)))),0)+P539,P539)),IF(TRIM($D539)="EA",IF(TRIM($E539)="M",ROUNDUP(O539*0.85,0),IF(TRIM($E539)="P",O539,P539)),P539))</f>
        <v>0</v>
      </c>
      <c r="T539" t="str" cm="1">
        <f t="array" ref="T539">IFERROR(IF(D539="SET",_xlfn.TEXTJOIN(", ",TRUE,_xlfn._xlws.FILTER(TRANSPOSE(TRIM(_xlfn.TEXTSPLIT(N539,","))),COUNTIFS(B$3:B$650,TRANSPOSE(TRIM(_xlfn.TEXTSPLIT(N539,","))),O$3:O$650,"&lt;="&amp;$T$1))),""),"")</f>
        <v/>
      </c>
    </row>
    <row r="540" spans="1:20" ht="15.6" customHeight="1" x14ac:dyDescent="0.3">
      <c r="A540" s="1">
        <v>69917</v>
      </c>
      <c r="B540" s="55" t="s">
        <v>1059</v>
      </c>
      <c r="C540" s="1" t="s">
        <v>1261</v>
      </c>
      <c r="D540" s="1" t="s">
        <v>624</v>
      </c>
      <c r="E540" s="1" t="s">
        <v>686</v>
      </c>
      <c r="F540" s="9"/>
      <c r="G540" s="9"/>
      <c r="H540" s="16" t="s">
        <v>322</v>
      </c>
      <c r="I540" s="9" t="b">
        <f t="shared" si="12"/>
        <v>0</v>
      </c>
      <c r="J540" s="1" t="s">
        <v>403</v>
      </c>
      <c r="K540" s="1" t="s">
        <v>268</v>
      </c>
      <c r="L540" s="1" t="s">
        <v>268</v>
      </c>
      <c r="M540" s="9"/>
      <c r="N540" s="35"/>
      <c r="O540" s="24">
        <v>40</v>
      </c>
      <c r="P540" s="2" cm="1">
        <f t="array" ref="P540">_xlfn.XLOOKUP(TRIM(B540),TRIM('[1]wc-product-export-16-3-2026-177'!$A:$A),'[1]wc-product-export-16-3-2026-177'!$D:$D,0,0)</f>
        <v>0</v>
      </c>
      <c r="Q540" s="2" cm="1">
        <f t="array" ref="Q540">IF(TRIM($D540)="SET",IF($K540="Steak Set1",ROUNDDOWN(IFERROR(MIN(_xlfn._xlws.FILTER(O$3:O$650,ISNUMBER(MATCH(TRIM($B$3:$B$650),TRIM(_xlfn.TEXTSPLIT($N540,",")),0)))),0)/4,0)+P540,IF(IFERROR(MIN(_xlfn._xlws.FILTER(O$3:O$650,ISNUMBER(MATCH(TRIM($B$3:$B$650),TRIM(_xlfn.TEXTSPLIT($N540,",")),0)))),0)&gt;=$E$1,IFERROR(MIN(_xlfn._xlws.FILTER(O$3:O$650,ISNUMBER(MATCH(TRIM($B$3:$B$650),TRIM(_xlfn.TEXTSPLIT($N540,",")),0)))),0)+P540,P540)),IF(TRIM($D540)="EA",IF(TRIM($E540)="M",ROUNDUP(O540*0.85,0),IF(TRIM($E540)="P",O540,P540)),P540))</f>
        <v>34</v>
      </c>
      <c r="T540" t="str" cm="1">
        <f t="array" ref="T540">IFERROR(IF(D540="SET",_xlfn.TEXTJOIN(", ",TRUE,_xlfn._xlws.FILTER(TRANSPOSE(TRIM(_xlfn.TEXTSPLIT(N540,","))),COUNTIFS(B$3:B$650,TRANSPOSE(TRIM(_xlfn.TEXTSPLIT(N540,","))),O$3:O$650,"&lt;="&amp;$T$1))),""),"")</f>
        <v/>
      </c>
    </row>
    <row r="541" spans="1:20" ht="15.6" customHeight="1" x14ac:dyDescent="0.3">
      <c r="A541" s="1">
        <v>69920</v>
      </c>
      <c r="B541" s="55" t="s">
        <v>1060</v>
      </c>
      <c r="C541" s="1" t="s">
        <v>1261</v>
      </c>
      <c r="D541" s="1" t="s">
        <v>624</v>
      </c>
      <c r="E541" s="1" t="s">
        <v>686</v>
      </c>
      <c r="F541" s="9"/>
      <c r="G541" s="9"/>
      <c r="H541" s="16" t="s">
        <v>320</v>
      </c>
      <c r="I541" s="9" t="b">
        <f t="shared" si="12"/>
        <v>0</v>
      </c>
      <c r="J541" s="1" t="s">
        <v>403</v>
      </c>
      <c r="K541" s="1" t="s">
        <v>1293</v>
      </c>
      <c r="L541" s="1" t="s">
        <v>1728</v>
      </c>
      <c r="M541" s="9"/>
      <c r="N541" s="35"/>
      <c r="O541" s="24">
        <v>0</v>
      </c>
      <c r="P541" s="2" cm="1">
        <f t="array" ref="P541">_xlfn.XLOOKUP(TRIM(B541),TRIM('[1]wc-product-export-16-3-2026-177'!$A:$A),'[1]wc-product-export-16-3-2026-177'!$D:$D,0,0)</f>
        <v>0</v>
      </c>
      <c r="Q541" s="2" cm="1">
        <f t="array" ref="Q541">IF(TRIM($D541)="SET",IF($K541="Steak Set1",ROUNDDOWN(IFERROR(MIN(_xlfn._xlws.FILTER(O$3:O$650,ISNUMBER(MATCH(TRIM($B$3:$B$650),TRIM(_xlfn.TEXTSPLIT($N541,",")),0)))),0)/4,0)+P541,IF(IFERROR(MIN(_xlfn._xlws.FILTER(O$3:O$650,ISNUMBER(MATCH(TRIM($B$3:$B$650),TRIM(_xlfn.TEXTSPLIT($N541,",")),0)))),0)&gt;=$E$1,IFERROR(MIN(_xlfn._xlws.FILTER(O$3:O$650,ISNUMBER(MATCH(TRIM($B$3:$B$650),TRIM(_xlfn.TEXTSPLIT($N541,",")),0)))),0)+P541,P541)),IF(TRIM($D541)="EA",IF(TRIM($E541)="M",ROUNDUP(O541*0.85,0),IF(TRIM($E541)="P",O541,P541)),P541))</f>
        <v>0</v>
      </c>
      <c r="T541" t="str" cm="1">
        <f t="array" ref="T541">IFERROR(IF(D541="SET",_xlfn.TEXTJOIN(", ",TRUE,_xlfn._xlws.FILTER(TRANSPOSE(TRIM(_xlfn.TEXTSPLIT(N541,","))),COUNTIFS(B$3:B$650,TRANSPOSE(TRIM(_xlfn.TEXTSPLIT(N541,","))),O$3:O$650,"&lt;="&amp;$T$1))),""),"")</f>
        <v/>
      </c>
    </row>
    <row r="542" spans="1:20" ht="15.6" customHeight="1" x14ac:dyDescent="0.3">
      <c r="A542" s="1">
        <v>69923</v>
      </c>
      <c r="B542" s="55" t="s">
        <v>1061</v>
      </c>
      <c r="C542" s="1" t="s">
        <v>1261</v>
      </c>
      <c r="D542" s="1" t="s">
        <v>624</v>
      </c>
      <c r="E542" s="1" t="s">
        <v>686</v>
      </c>
      <c r="F542" s="9"/>
      <c r="G542" s="9"/>
      <c r="H542" s="16" t="s">
        <v>316</v>
      </c>
      <c r="I542" s="9" t="b">
        <f t="shared" si="12"/>
        <v>0</v>
      </c>
      <c r="J542" s="1" t="s">
        <v>403</v>
      </c>
      <c r="K542" s="1" t="s">
        <v>269</v>
      </c>
      <c r="L542" s="1" t="s">
        <v>1729</v>
      </c>
      <c r="M542" s="9"/>
      <c r="N542" s="35"/>
      <c r="O542" s="24">
        <v>3</v>
      </c>
      <c r="P542" s="2" cm="1">
        <f t="array" ref="P542">_xlfn.XLOOKUP(TRIM(B542),TRIM('[1]wc-product-export-16-3-2026-177'!$A:$A),'[1]wc-product-export-16-3-2026-177'!$D:$D,0,0)</f>
        <v>0</v>
      </c>
      <c r="Q542" s="2" cm="1">
        <f t="array" ref="Q542">IF(TRIM($D542)="SET",IF($K542="Steak Set1",ROUNDDOWN(IFERROR(MIN(_xlfn._xlws.FILTER(O$3:O$650,ISNUMBER(MATCH(TRIM($B$3:$B$650),TRIM(_xlfn.TEXTSPLIT($N542,",")),0)))),0)/4,0)+P542,IF(IFERROR(MIN(_xlfn._xlws.FILTER(O$3:O$650,ISNUMBER(MATCH(TRIM($B$3:$B$650),TRIM(_xlfn.TEXTSPLIT($N542,",")),0)))),0)&gt;=$E$1,IFERROR(MIN(_xlfn._xlws.FILTER(O$3:O$650,ISNUMBER(MATCH(TRIM($B$3:$B$650),TRIM(_xlfn.TEXTSPLIT($N542,",")),0)))),0)+P542,P542)),IF(TRIM($D542)="EA",IF(TRIM($E542)="M",ROUNDUP(O542*0.85,0),IF(TRIM($E542)="P",O542,P542)),P542))</f>
        <v>3</v>
      </c>
      <c r="T542" t="str" cm="1">
        <f t="array" ref="T542">IFERROR(IF(D542="SET",_xlfn.TEXTJOIN(", ",TRUE,_xlfn._xlws.FILTER(TRANSPOSE(TRIM(_xlfn.TEXTSPLIT(N542,","))),COUNTIFS(B$3:B$650,TRANSPOSE(TRIM(_xlfn.TEXTSPLIT(N542,","))),O$3:O$650,"&lt;="&amp;$T$1))),""),"")</f>
        <v/>
      </c>
    </row>
    <row r="543" spans="1:20" ht="15.6" customHeight="1" x14ac:dyDescent="0.3">
      <c r="A543" s="1">
        <v>69925</v>
      </c>
      <c r="B543" s="55" t="s">
        <v>1062</v>
      </c>
      <c r="C543" s="1" t="s">
        <v>1261</v>
      </c>
      <c r="D543" s="1" t="s">
        <v>624</v>
      </c>
      <c r="E543" s="1" t="s">
        <v>686</v>
      </c>
      <c r="F543" s="9"/>
      <c r="G543" s="9"/>
      <c r="H543" s="16" t="s">
        <v>300</v>
      </c>
      <c r="I543" s="9" t="b">
        <f t="shared" si="12"/>
        <v>0</v>
      </c>
      <c r="J543" s="1" t="s">
        <v>403</v>
      </c>
      <c r="K543" s="1" t="s">
        <v>270</v>
      </c>
      <c r="L543" s="1" t="s">
        <v>270</v>
      </c>
      <c r="M543" s="9"/>
      <c r="N543" s="35"/>
      <c r="O543" s="24">
        <v>29</v>
      </c>
      <c r="P543" s="2" cm="1">
        <f t="array" ref="P543">_xlfn.XLOOKUP(TRIM(B543),TRIM('[1]wc-product-export-16-3-2026-177'!$A:$A),'[1]wc-product-export-16-3-2026-177'!$D:$D,0,0)</f>
        <v>0</v>
      </c>
      <c r="Q543" s="2" cm="1">
        <f t="array" ref="Q543">IF(TRIM($D543)="SET",IF($K543="Steak Set1",ROUNDDOWN(IFERROR(MIN(_xlfn._xlws.FILTER(O$3:O$650,ISNUMBER(MATCH(TRIM($B$3:$B$650),TRIM(_xlfn.TEXTSPLIT($N543,",")),0)))),0)/4,0)+P543,IF(IFERROR(MIN(_xlfn._xlws.FILTER(O$3:O$650,ISNUMBER(MATCH(TRIM($B$3:$B$650),TRIM(_xlfn.TEXTSPLIT($N543,",")),0)))),0)&gt;=$E$1,IFERROR(MIN(_xlfn._xlws.FILTER(O$3:O$650,ISNUMBER(MATCH(TRIM($B$3:$B$650),TRIM(_xlfn.TEXTSPLIT($N543,",")),0)))),0)+P543,P543)),IF(TRIM($D543)="EA",IF(TRIM($E543)="M",ROUNDUP(O543*0.85,0),IF(TRIM($E543)="P",O543,P543)),P543))</f>
        <v>25</v>
      </c>
      <c r="T543" t="str" cm="1">
        <f t="array" ref="T543">IFERROR(IF(D543="SET",_xlfn.TEXTJOIN(", ",TRUE,_xlfn._xlws.FILTER(TRANSPOSE(TRIM(_xlfn.TEXTSPLIT(N543,","))),COUNTIFS(B$3:B$650,TRANSPOSE(TRIM(_xlfn.TEXTSPLIT(N543,","))),O$3:O$650,"&lt;="&amp;$T$1))),""),"")</f>
        <v/>
      </c>
    </row>
    <row r="544" spans="1:20" ht="15.6" customHeight="1" x14ac:dyDescent="0.3">
      <c r="A544" s="1">
        <v>69926</v>
      </c>
      <c r="B544" s="1" t="s">
        <v>1063</v>
      </c>
      <c r="C544" s="1" t="s">
        <v>1261</v>
      </c>
      <c r="D544" s="1" t="s">
        <v>628</v>
      </c>
      <c r="E544" s="1" t="s">
        <v>686</v>
      </c>
      <c r="F544" s="9"/>
      <c r="G544" s="9"/>
      <c r="H544" s="53" t="s">
        <v>372</v>
      </c>
      <c r="I544" s="9" t="b">
        <f t="shared" si="12"/>
        <v>0</v>
      </c>
      <c r="J544" s="1" t="s">
        <v>403</v>
      </c>
      <c r="K544" s="1" t="s">
        <v>280</v>
      </c>
      <c r="L544" s="1" t="s">
        <v>1721</v>
      </c>
      <c r="M544" s="9"/>
      <c r="N544" s="35" t="s">
        <v>1553</v>
      </c>
      <c r="O544" s="2" t="s">
        <v>458</v>
      </c>
      <c r="P544" s="2" cm="1">
        <f t="array" ref="P544">_xlfn.XLOOKUP(TRIM(B544),TRIM('[1]wc-product-export-16-3-2026-177'!$A:$A),'[1]wc-product-export-16-3-2026-177'!$D:$D,0,0)</f>
        <v>0</v>
      </c>
      <c r="Q544" s="2" cm="1">
        <f t="array" ref="Q544">IF(TRIM($D544)="SET",IF($K544="Steak Set1",ROUNDDOWN(IFERROR(MIN(_xlfn._xlws.FILTER(O$3:O$650,ISNUMBER(MATCH(TRIM($B$3:$B$650),TRIM(_xlfn.TEXTSPLIT($N544,",")),0)))),0)/4,0)+P544,IF(IFERROR(MIN(_xlfn._xlws.FILTER(O$3:O$650,ISNUMBER(MATCH(TRIM($B$3:$B$650),TRIM(_xlfn.TEXTSPLIT($N544,",")),0)))),0)&gt;=$E$1,IFERROR(MIN(_xlfn._xlws.FILTER(O$3:O$650,ISNUMBER(MATCH(TRIM($B$3:$B$650),TRIM(_xlfn.TEXTSPLIT($N544,",")),0)))),0)+P544,P544)),IF(TRIM($D544)="EA",IF(TRIM($E544)="M",ROUNDUP(O544*0.85,0),IF(TRIM($E544)="P",O544,P544)),P544))</f>
        <v>0</v>
      </c>
      <c r="T544" t="str" cm="1">
        <f t="array" ref="T544">IFERROR(IF(D544="SET",_xlfn.TEXTJOIN(", ",TRUE,_xlfn._xlws.FILTER(TRANSPOSE(TRIM(_xlfn.TEXTSPLIT(N544,","))),COUNTIFS(B$3:B$650,TRANSPOSE(TRIM(_xlfn.TEXTSPLIT(N544,","))),O$3:O$650,"&lt;="&amp;$T$1))),""),"")</f>
        <v>69910, 69935, 69955</v>
      </c>
    </row>
    <row r="545" spans="1:20" ht="15.6" customHeight="1" x14ac:dyDescent="0.3">
      <c r="A545" s="1">
        <v>69927</v>
      </c>
      <c r="B545" s="1" t="s">
        <v>1064</v>
      </c>
      <c r="C545" s="1" t="s">
        <v>1261</v>
      </c>
      <c r="D545" s="1" t="s">
        <v>628</v>
      </c>
      <c r="E545" s="1" t="s">
        <v>686</v>
      </c>
      <c r="F545" s="9"/>
      <c r="G545" s="9"/>
      <c r="H545" s="16" t="s">
        <v>373</v>
      </c>
      <c r="I545" s="9" t="b">
        <f t="shared" si="12"/>
        <v>0</v>
      </c>
      <c r="J545" s="1" t="s">
        <v>403</v>
      </c>
      <c r="K545" s="1" t="s">
        <v>280</v>
      </c>
      <c r="L545" s="1" t="s">
        <v>1721</v>
      </c>
      <c r="M545" s="9"/>
      <c r="N545" s="35" t="s">
        <v>1554</v>
      </c>
      <c r="O545" s="2" t="s">
        <v>458</v>
      </c>
      <c r="P545" s="2" cm="1">
        <f t="array" ref="P545">_xlfn.XLOOKUP(TRIM(B545),TRIM('[1]wc-product-export-16-3-2026-177'!$A:$A),'[1]wc-product-export-16-3-2026-177'!$D:$D,0,0)</f>
        <v>0</v>
      </c>
      <c r="Q545" s="2" cm="1">
        <f t="array" ref="Q545">IF(TRIM($D545)="SET",IF($K545="Steak Set1",ROUNDDOWN(IFERROR(MIN(_xlfn._xlws.FILTER(O$3:O$650,ISNUMBER(MATCH(TRIM($B$3:$B$650),TRIM(_xlfn.TEXTSPLIT($N545,",")),0)))),0)/4,0)+P545,IF(IFERROR(MIN(_xlfn._xlws.FILTER(O$3:O$650,ISNUMBER(MATCH(TRIM($B$3:$B$650),TRIM(_xlfn.TEXTSPLIT($N545,",")),0)))),0)&gt;=$E$1,IFERROR(MIN(_xlfn._xlws.FILTER(O$3:O$650,ISNUMBER(MATCH(TRIM($B$3:$B$650),TRIM(_xlfn.TEXTSPLIT($N545,",")),0)))),0)+P545,P545)),IF(TRIM($D545)="EA",IF(TRIM($E545)="M",ROUNDUP(O545*0.85,0),IF(TRIM($E545)="P",O545,P545)),P545))</f>
        <v>0</v>
      </c>
      <c r="T545" t="str" cm="1">
        <f t="array" ref="T545">IFERROR(IF(D545="SET",_xlfn.TEXTJOIN(", ",TRUE,_xlfn._xlws.FILTER(TRANSPOSE(TRIM(_xlfn.TEXTSPLIT(N545,","))),COUNTIFS(B$3:B$650,TRANSPOSE(TRIM(_xlfn.TEXTSPLIT(N545,","))),O$3:O$650,"&lt;="&amp;$T$1))),""),"")</f>
        <v>69910, 69935, 69955</v>
      </c>
    </row>
    <row r="546" spans="1:20" ht="15.6" customHeight="1" x14ac:dyDescent="0.3">
      <c r="A546" s="1">
        <v>69928</v>
      </c>
      <c r="B546" s="1" t="s">
        <v>1065</v>
      </c>
      <c r="C546" s="1" t="s">
        <v>1261</v>
      </c>
      <c r="D546" s="1" t="s">
        <v>628</v>
      </c>
      <c r="E546" s="1" t="s">
        <v>686</v>
      </c>
      <c r="F546" s="9"/>
      <c r="G546" s="9"/>
      <c r="H546" s="16" t="s">
        <v>374</v>
      </c>
      <c r="I546" s="9" t="b">
        <f t="shared" si="12"/>
        <v>0</v>
      </c>
      <c r="J546" s="1" t="s">
        <v>403</v>
      </c>
      <c r="K546" s="1" t="s">
        <v>280</v>
      </c>
      <c r="L546" s="1" t="s">
        <v>1721</v>
      </c>
      <c r="M546" s="9"/>
      <c r="N546" s="35" t="s">
        <v>1555</v>
      </c>
      <c r="O546" s="2" t="s">
        <v>458</v>
      </c>
      <c r="P546" s="2" cm="1">
        <f t="array" ref="P546">_xlfn.XLOOKUP(TRIM(B546),TRIM('[1]wc-product-export-16-3-2026-177'!$A:$A),'[1]wc-product-export-16-3-2026-177'!$D:$D,0,0)</f>
        <v>0</v>
      </c>
      <c r="Q546" s="2" cm="1">
        <f t="array" ref="Q546">IF(TRIM($D546)="SET",IF($K546="Steak Set1",ROUNDDOWN(IFERROR(MIN(_xlfn._xlws.FILTER(O$3:O$650,ISNUMBER(MATCH(TRIM($B$3:$B$650),TRIM(_xlfn.TEXTSPLIT($N546,",")),0)))),0)/4,0)+P546,IF(IFERROR(MIN(_xlfn._xlws.FILTER(O$3:O$650,ISNUMBER(MATCH(TRIM($B$3:$B$650),TRIM(_xlfn.TEXTSPLIT($N546,",")),0)))),0)&gt;=$E$1,IFERROR(MIN(_xlfn._xlws.FILTER(O$3:O$650,ISNUMBER(MATCH(TRIM($B$3:$B$650),TRIM(_xlfn.TEXTSPLIT($N546,",")),0)))),0)+P546,P546)),IF(TRIM($D546)="EA",IF(TRIM($E546)="M",ROUNDUP(O546*0.85,0),IF(TRIM($E546)="P",O546,P546)),P546))</f>
        <v>0</v>
      </c>
      <c r="T546" t="str" cm="1">
        <f t="array" ref="T546">IFERROR(IF(D546="SET",_xlfn.TEXTJOIN(", ",TRUE,_xlfn._xlws.FILTER(TRANSPOSE(TRIM(_xlfn.TEXTSPLIT(N546,","))),COUNTIFS(B$3:B$650,TRANSPOSE(TRIM(_xlfn.TEXTSPLIT(N546,","))),O$3:O$650,"&lt;="&amp;$T$1))),""),"")</f>
        <v>69910, 69935, 69955, 69915</v>
      </c>
    </row>
    <row r="547" spans="1:20" ht="15.6" customHeight="1" x14ac:dyDescent="0.3">
      <c r="A547" s="1">
        <v>69929</v>
      </c>
      <c r="B547" s="1" t="s">
        <v>1066</v>
      </c>
      <c r="C547" s="1" t="s">
        <v>1261</v>
      </c>
      <c r="D547" s="1" t="s">
        <v>628</v>
      </c>
      <c r="E547" s="1" t="s">
        <v>686</v>
      </c>
      <c r="F547" s="9" t="s">
        <v>1608</v>
      </c>
      <c r="G547" s="9"/>
      <c r="H547" s="16" t="s">
        <v>375</v>
      </c>
      <c r="I547" s="9" t="b">
        <f t="shared" si="12"/>
        <v>0</v>
      </c>
      <c r="J547" s="1" t="s">
        <v>403</v>
      </c>
      <c r="K547" s="1" t="s">
        <v>280</v>
      </c>
      <c r="L547" s="1" t="s">
        <v>1721</v>
      </c>
      <c r="M547" s="9"/>
      <c r="N547" s="35" t="s">
        <v>1556</v>
      </c>
      <c r="O547" s="2" t="s">
        <v>458</v>
      </c>
      <c r="P547" s="2" cm="1">
        <f t="array" ref="P547">_xlfn.XLOOKUP(TRIM(B547),TRIM('[1]wc-product-export-16-3-2026-177'!$A:$A),'[1]wc-product-export-16-3-2026-177'!$D:$D,0,0)</f>
        <v>0</v>
      </c>
      <c r="Q547" s="2" cm="1">
        <f t="array" ref="Q547">IF(TRIM($D547)="SET",IF($K547="Steak Set1",ROUNDDOWN(IFERROR(MIN(_xlfn._xlws.FILTER(O$3:O$650,ISNUMBER(MATCH(TRIM($B$3:$B$650),TRIM(_xlfn.TEXTSPLIT($N547,",")),0)))),0)/4,0)+P547,IF(IFERROR(MIN(_xlfn._xlws.FILTER(O$3:O$650,ISNUMBER(MATCH(TRIM($B$3:$B$650),TRIM(_xlfn.TEXTSPLIT($N547,",")),0)))),0)&gt;=$E$1,IFERROR(MIN(_xlfn._xlws.FILTER(O$3:O$650,ISNUMBER(MATCH(TRIM($B$3:$B$650),TRIM(_xlfn.TEXTSPLIT($N547,",")),0)))),0)+P547,P547)),IF(TRIM($D547)="EA",IF(TRIM($E547)="M",ROUNDUP(O547*0.85,0),IF(TRIM($E547)="P",O547,P547)),P547))</f>
        <v>0</v>
      </c>
      <c r="T547" t="str" cm="1">
        <f t="array" ref="T547">IFERROR(IF(D547="SET",_xlfn.TEXTJOIN(", ",TRUE,_xlfn._xlws.FILTER(TRANSPOSE(TRIM(_xlfn.TEXTSPLIT(N547,","))),COUNTIFS(B$3:B$650,TRANSPOSE(TRIM(_xlfn.TEXTSPLIT(N547,","))),O$3:O$650,"&lt;="&amp;$T$1))),""),"")</f>
        <v>69910, 69935, 69955, 69920</v>
      </c>
    </row>
    <row r="548" spans="1:20" ht="15.6" customHeight="1" x14ac:dyDescent="0.3">
      <c r="A548" s="1">
        <v>69935</v>
      </c>
      <c r="B548" s="56" t="s">
        <v>1067</v>
      </c>
      <c r="C548" s="1" t="s">
        <v>1261</v>
      </c>
      <c r="D548" s="1" t="s">
        <v>624</v>
      </c>
      <c r="E548" s="1" t="s">
        <v>686</v>
      </c>
      <c r="F548" s="9"/>
      <c r="G548" s="9"/>
      <c r="H548" s="16" t="s">
        <v>323</v>
      </c>
      <c r="I548" s="9" t="b">
        <f t="shared" si="12"/>
        <v>0</v>
      </c>
      <c r="J548" s="1" t="s">
        <v>403</v>
      </c>
      <c r="K548" s="1" t="s">
        <v>271</v>
      </c>
      <c r="L548" s="1" t="s">
        <v>271</v>
      </c>
      <c r="M548" s="9"/>
      <c r="N548" s="35"/>
      <c r="O548" s="24">
        <v>0</v>
      </c>
      <c r="P548" s="2" cm="1">
        <f t="array" ref="P548">_xlfn.XLOOKUP(TRIM(B548),TRIM('[1]wc-product-export-16-3-2026-177'!$A:$A),'[1]wc-product-export-16-3-2026-177'!$D:$D,0,0)</f>
        <v>0</v>
      </c>
      <c r="Q548" s="2" cm="1">
        <f t="array" ref="Q548">IF(TRIM($D548)="SET",IF($K548="Steak Set1",ROUNDDOWN(IFERROR(MIN(_xlfn._xlws.FILTER(O$3:O$650,ISNUMBER(MATCH(TRIM($B$3:$B$650),TRIM(_xlfn.TEXTSPLIT($N548,",")),0)))),0)/4,0)+P548,IF(IFERROR(MIN(_xlfn._xlws.FILTER(O$3:O$650,ISNUMBER(MATCH(TRIM($B$3:$B$650),TRIM(_xlfn.TEXTSPLIT($N548,",")),0)))),0)&gt;=$E$1,IFERROR(MIN(_xlfn._xlws.FILTER(O$3:O$650,ISNUMBER(MATCH(TRIM($B$3:$B$650),TRIM(_xlfn.TEXTSPLIT($N548,",")),0)))),0)+P548,P548)),IF(TRIM($D548)="EA",IF(TRIM($E548)="M",ROUNDUP(O548*0.85,0),IF(TRIM($E548)="P",O548,P548)),P548))</f>
        <v>0</v>
      </c>
      <c r="T548" t="str" cm="1">
        <f t="array" ref="T548">IFERROR(IF(D548="SET",_xlfn.TEXTJOIN(", ",TRUE,_xlfn._xlws.FILTER(TRANSPOSE(TRIM(_xlfn.TEXTSPLIT(N548,","))),COUNTIFS(B$3:B$650,TRANSPOSE(TRIM(_xlfn.TEXTSPLIT(N548,","))),O$3:O$650,"&lt;="&amp;$T$1))),""),"")</f>
        <v/>
      </c>
    </row>
    <row r="549" spans="1:20" ht="15.6" customHeight="1" x14ac:dyDescent="0.3">
      <c r="A549" s="1">
        <v>69938</v>
      </c>
      <c r="B549" s="55" t="s">
        <v>1068</v>
      </c>
      <c r="C549" s="1" t="s">
        <v>1261</v>
      </c>
      <c r="D549" s="1" t="s">
        <v>624</v>
      </c>
      <c r="E549" s="1" t="s">
        <v>686</v>
      </c>
      <c r="F549" s="9"/>
      <c r="G549" s="9"/>
      <c r="H549" s="16" t="s">
        <v>302</v>
      </c>
      <c r="I549" s="9" t="b">
        <f t="shared" si="12"/>
        <v>0</v>
      </c>
      <c r="J549" s="1" t="s">
        <v>403</v>
      </c>
      <c r="K549" s="1" t="s">
        <v>272</v>
      </c>
      <c r="L549" s="1" t="s">
        <v>272</v>
      </c>
      <c r="M549" s="9"/>
      <c r="N549" s="35"/>
      <c r="O549" s="24">
        <v>0</v>
      </c>
      <c r="P549" s="2" cm="1">
        <f t="array" ref="P549">_xlfn.XLOOKUP(TRIM(B549),TRIM('[1]wc-product-export-16-3-2026-177'!$A:$A),'[1]wc-product-export-16-3-2026-177'!$D:$D,0,0)</f>
        <v>0</v>
      </c>
      <c r="Q549" s="2" cm="1">
        <f t="array" ref="Q549">IF(TRIM($D549)="SET",IF($K549="Steak Set1",ROUNDDOWN(IFERROR(MIN(_xlfn._xlws.FILTER(O$3:O$650,ISNUMBER(MATCH(TRIM($B$3:$B$650),TRIM(_xlfn.TEXTSPLIT($N549,",")),0)))),0)/4,0)+P549,IF(IFERROR(MIN(_xlfn._xlws.FILTER(O$3:O$650,ISNUMBER(MATCH(TRIM($B$3:$B$650),TRIM(_xlfn.TEXTSPLIT($N549,",")),0)))),0)&gt;=$E$1,IFERROR(MIN(_xlfn._xlws.FILTER(O$3:O$650,ISNUMBER(MATCH(TRIM($B$3:$B$650),TRIM(_xlfn.TEXTSPLIT($N549,",")),0)))),0)+P549,P549)),IF(TRIM($D549)="EA",IF(TRIM($E549)="M",ROUNDUP(O549*0.85,0),IF(TRIM($E549)="P",O549,P549)),P549))</f>
        <v>0</v>
      </c>
      <c r="T549" t="str" cm="1">
        <f t="array" ref="T549">IFERROR(IF(D549="SET",_xlfn.TEXTJOIN(", ",TRUE,_xlfn._xlws.FILTER(TRANSPOSE(TRIM(_xlfn.TEXTSPLIT(N549,","))),COUNTIFS(B$3:B$650,TRANSPOSE(TRIM(_xlfn.TEXTSPLIT(N549,","))),O$3:O$650,"&lt;="&amp;$T$1))),""),"")</f>
        <v/>
      </c>
    </row>
    <row r="550" spans="1:20" ht="15.6" customHeight="1" x14ac:dyDescent="0.3">
      <c r="A550" s="1">
        <v>69940</v>
      </c>
      <c r="B550" s="56" t="s">
        <v>1069</v>
      </c>
      <c r="C550" s="1" t="s">
        <v>1261</v>
      </c>
      <c r="D550" s="1" t="s">
        <v>624</v>
      </c>
      <c r="E550" s="1" t="s">
        <v>686</v>
      </c>
      <c r="F550" s="9"/>
      <c r="G550" s="9"/>
      <c r="H550" s="16" t="s">
        <v>306</v>
      </c>
      <c r="I550" s="9" t="b">
        <f t="shared" si="12"/>
        <v>0</v>
      </c>
      <c r="J550" s="1" t="s">
        <v>403</v>
      </c>
      <c r="K550" s="1" t="s">
        <v>273</v>
      </c>
      <c r="L550" s="1" t="s">
        <v>273</v>
      </c>
      <c r="M550" s="9"/>
      <c r="N550" s="35"/>
      <c r="O550" s="24">
        <v>28</v>
      </c>
      <c r="P550" s="2" cm="1">
        <f t="array" ref="P550">_xlfn.XLOOKUP(TRIM(B550),TRIM('[1]wc-product-export-16-3-2026-177'!$A:$A),'[1]wc-product-export-16-3-2026-177'!$D:$D,0,0)</f>
        <v>0</v>
      </c>
      <c r="Q550" s="2" cm="1">
        <f t="array" ref="Q550">IF(TRIM($D550)="SET",IF($K550="Steak Set1",ROUNDDOWN(IFERROR(MIN(_xlfn._xlws.FILTER(O$3:O$650,ISNUMBER(MATCH(TRIM($B$3:$B$650),TRIM(_xlfn.TEXTSPLIT($N550,",")),0)))),0)/4,0)+P550,IF(IFERROR(MIN(_xlfn._xlws.FILTER(O$3:O$650,ISNUMBER(MATCH(TRIM($B$3:$B$650),TRIM(_xlfn.TEXTSPLIT($N550,",")),0)))),0)&gt;=$E$1,IFERROR(MIN(_xlfn._xlws.FILTER(O$3:O$650,ISNUMBER(MATCH(TRIM($B$3:$B$650),TRIM(_xlfn.TEXTSPLIT($N550,",")),0)))),0)+P550,P550)),IF(TRIM($D550)="EA",IF(TRIM($E550)="M",ROUNDUP(O550*0.85,0),IF(TRIM($E550)="P",O550,P550)),P550))</f>
        <v>24</v>
      </c>
      <c r="T550" t="str" cm="1">
        <f t="array" ref="T550">IFERROR(IF(D550="SET",_xlfn.TEXTJOIN(", ",TRUE,_xlfn._xlws.FILTER(TRANSPOSE(TRIM(_xlfn.TEXTSPLIT(N550,","))),COUNTIFS(B$3:B$650,TRANSPOSE(TRIM(_xlfn.TEXTSPLIT(N550,","))),O$3:O$650,"&lt;="&amp;$T$1))),""),"")</f>
        <v/>
      </c>
    </row>
    <row r="551" spans="1:20" ht="15.6" customHeight="1" x14ac:dyDescent="0.3">
      <c r="A551" s="1">
        <v>69943</v>
      </c>
      <c r="B551" s="55" t="s">
        <v>1070</v>
      </c>
      <c r="C551" s="1" t="s">
        <v>1261</v>
      </c>
      <c r="D551" s="1" t="s">
        <v>624</v>
      </c>
      <c r="E551" s="1" t="s">
        <v>686</v>
      </c>
      <c r="F551" s="9"/>
      <c r="G551" s="9"/>
      <c r="H551" s="16" t="s">
        <v>312</v>
      </c>
      <c r="I551" s="9" t="b">
        <f t="shared" si="12"/>
        <v>0</v>
      </c>
      <c r="J551" s="1" t="s">
        <v>403</v>
      </c>
      <c r="K551" s="1" t="s">
        <v>274</v>
      </c>
      <c r="L551" s="1" t="s">
        <v>274</v>
      </c>
      <c r="M551" s="9"/>
      <c r="N551" s="35"/>
      <c r="O551" s="24">
        <v>0</v>
      </c>
      <c r="P551" s="2" cm="1">
        <f t="array" ref="P551">_xlfn.XLOOKUP(TRIM(B551),TRIM('[1]wc-product-export-16-3-2026-177'!$A:$A),'[1]wc-product-export-16-3-2026-177'!$D:$D,0,0)</f>
        <v>0</v>
      </c>
      <c r="Q551" s="2" cm="1">
        <f t="array" ref="Q551">IF(TRIM($D551)="SET",IF($K551="Steak Set1",ROUNDDOWN(IFERROR(MIN(_xlfn._xlws.FILTER(O$3:O$650,ISNUMBER(MATCH(TRIM($B$3:$B$650),TRIM(_xlfn.TEXTSPLIT($N551,",")),0)))),0)/4,0)+P551,IF(IFERROR(MIN(_xlfn._xlws.FILTER(O$3:O$650,ISNUMBER(MATCH(TRIM($B$3:$B$650),TRIM(_xlfn.TEXTSPLIT($N551,",")),0)))),0)&gt;=$E$1,IFERROR(MIN(_xlfn._xlws.FILTER(O$3:O$650,ISNUMBER(MATCH(TRIM($B$3:$B$650),TRIM(_xlfn.TEXTSPLIT($N551,",")),0)))),0)+P551,P551)),IF(TRIM($D551)="EA",IF(TRIM($E551)="M",ROUNDUP(O551*0.85,0),IF(TRIM($E551)="P",O551,P551)),P551))</f>
        <v>0</v>
      </c>
      <c r="T551" t="str" cm="1">
        <f t="array" ref="T551">IFERROR(IF(D551="SET",_xlfn.TEXTJOIN(", ",TRUE,_xlfn._xlws.FILTER(TRANSPOSE(TRIM(_xlfn.TEXTSPLIT(N551,","))),COUNTIFS(B$3:B$650,TRANSPOSE(TRIM(_xlfn.TEXTSPLIT(N551,","))),O$3:O$650,"&lt;="&amp;$T$1))),""),"")</f>
        <v/>
      </c>
    </row>
    <row r="552" spans="1:20" ht="15.6" customHeight="1" x14ac:dyDescent="0.3">
      <c r="A552" s="1">
        <v>69945</v>
      </c>
      <c r="B552" s="56" t="s">
        <v>1071</v>
      </c>
      <c r="C552" s="1" t="s">
        <v>1261</v>
      </c>
      <c r="D552" s="1" t="s">
        <v>624</v>
      </c>
      <c r="E552" s="1" t="s">
        <v>686</v>
      </c>
      <c r="F552" s="9"/>
      <c r="G552" s="9"/>
      <c r="H552" s="16" t="s">
        <v>305</v>
      </c>
      <c r="I552" s="9" t="b">
        <f t="shared" ref="I552:I583" si="13">ISNUMBER(SEARCH($I$2,H552))</f>
        <v>0</v>
      </c>
      <c r="J552" s="1" t="s">
        <v>403</v>
      </c>
      <c r="K552" s="1" t="s">
        <v>273</v>
      </c>
      <c r="L552" s="1" t="s">
        <v>1294</v>
      </c>
      <c r="M552" s="9"/>
      <c r="N552" s="35"/>
      <c r="O552" s="24">
        <v>6</v>
      </c>
      <c r="P552" s="2" cm="1">
        <f t="array" ref="P552">_xlfn.XLOOKUP(TRIM(B552),TRIM('[1]wc-product-export-16-3-2026-177'!$A:$A),'[1]wc-product-export-16-3-2026-177'!$D:$D,0,0)</f>
        <v>0</v>
      </c>
      <c r="Q552" s="2" cm="1">
        <f t="array" ref="Q552">IF(TRIM($D552)="SET",IF($K552="Steak Set1",ROUNDDOWN(IFERROR(MIN(_xlfn._xlws.FILTER(O$3:O$650,ISNUMBER(MATCH(TRIM($B$3:$B$650),TRIM(_xlfn.TEXTSPLIT($N552,",")),0)))),0)/4,0)+P552,IF(IFERROR(MIN(_xlfn._xlws.FILTER(O$3:O$650,ISNUMBER(MATCH(TRIM($B$3:$B$650),TRIM(_xlfn.TEXTSPLIT($N552,",")),0)))),0)&gt;=$E$1,IFERROR(MIN(_xlfn._xlws.FILTER(O$3:O$650,ISNUMBER(MATCH(TRIM($B$3:$B$650),TRIM(_xlfn.TEXTSPLIT($N552,",")),0)))),0)+P552,P552)),IF(TRIM($D552)="EA",IF(TRIM($E552)="M",ROUNDUP(O552*0.85,0),IF(TRIM($E552)="P",O552,P552)),P552))</f>
        <v>6</v>
      </c>
      <c r="T552" t="str" cm="1">
        <f t="array" ref="T552">IFERROR(IF(D552="SET",_xlfn.TEXTJOIN(", ",TRUE,_xlfn._xlws.FILTER(TRANSPOSE(TRIM(_xlfn.TEXTSPLIT(N552,","))),COUNTIFS(B$3:B$650,TRANSPOSE(TRIM(_xlfn.TEXTSPLIT(N552,","))),O$3:O$650,"&lt;="&amp;$T$1))),""),"")</f>
        <v/>
      </c>
    </row>
    <row r="553" spans="1:20" ht="15.6" customHeight="1" x14ac:dyDescent="0.3">
      <c r="A553" s="1">
        <v>69948</v>
      </c>
      <c r="B553" s="56" t="s">
        <v>1072</v>
      </c>
      <c r="C553" s="1" t="s">
        <v>1261</v>
      </c>
      <c r="D553" s="1" t="s">
        <v>624</v>
      </c>
      <c r="E553" s="1" t="s">
        <v>686</v>
      </c>
      <c r="F553" s="9"/>
      <c r="G553" s="9"/>
      <c r="H553" s="16" t="s">
        <v>308</v>
      </c>
      <c r="I553" s="9" t="b">
        <f t="shared" si="13"/>
        <v>0</v>
      </c>
      <c r="J553" s="1" t="s">
        <v>403</v>
      </c>
      <c r="K553" s="1" t="s">
        <v>275</v>
      </c>
      <c r="L553" s="1" t="s">
        <v>1730</v>
      </c>
      <c r="M553" s="9"/>
      <c r="N553" s="35"/>
      <c r="O553" s="24">
        <v>0</v>
      </c>
      <c r="P553" s="2" cm="1">
        <f t="array" ref="P553">_xlfn.XLOOKUP(TRIM(B553),TRIM('[1]wc-product-export-16-3-2026-177'!$A:$A),'[1]wc-product-export-16-3-2026-177'!$D:$D,0,0)</f>
        <v>0</v>
      </c>
      <c r="Q553" s="2" cm="1">
        <f t="array" ref="Q553">IF(TRIM($D553)="SET",IF($K553="Steak Set1",ROUNDDOWN(IFERROR(MIN(_xlfn._xlws.FILTER(O$3:O$650,ISNUMBER(MATCH(TRIM($B$3:$B$650),TRIM(_xlfn.TEXTSPLIT($N553,",")),0)))),0)/4,0)+P553,IF(IFERROR(MIN(_xlfn._xlws.FILTER(O$3:O$650,ISNUMBER(MATCH(TRIM($B$3:$B$650),TRIM(_xlfn.TEXTSPLIT($N553,",")),0)))),0)&gt;=$E$1,IFERROR(MIN(_xlfn._xlws.FILTER(O$3:O$650,ISNUMBER(MATCH(TRIM($B$3:$B$650),TRIM(_xlfn.TEXTSPLIT($N553,",")),0)))),0)+P553,P553)),IF(TRIM($D553)="EA",IF(TRIM($E553)="M",ROUNDUP(O553*0.85,0),IF(TRIM($E553)="P",O553,P553)),P553))</f>
        <v>0</v>
      </c>
      <c r="T553" t="str" cm="1">
        <f t="array" ref="T553">IFERROR(IF(D553="SET",_xlfn.TEXTJOIN(", ",TRUE,_xlfn._xlws.FILTER(TRANSPOSE(TRIM(_xlfn.TEXTSPLIT(N553,","))),COUNTIFS(B$3:B$650,TRANSPOSE(TRIM(_xlfn.TEXTSPLIT(N553,","))),O$3:O$650,"&lt;="&amp;$T$1))),""),"")</f>
        <v/>
      </c>
    </row>
    <row r="554" spans="1:20" ht="15.6" customHeight="1" x14ac:dyDescent="0.3">
      <c r="A554" s="1">
        <v>69949</v>
      </c>
      <c r="B554" s="55" t="s">
        <v>1073</v>
      </c>
      <c r="C554" s="1" t="s">
        <v>1261</v>
      </c>
      <c r="D554" s="1" t="s">
        <v>624</v>
      </c>
      <c r="E554" s="1" t="s">
        <v>686</v>
      </c>
      <c r="F554" s="9"/>
      <c r="G554" s="9"/>
      <c r="H554" s="16" t="s">
        <v>309</v>
      </c>
      <c r="I554" s="9" t="b">
        <f t="shared" si="13"/>
        <v>0</v>
      </c>
      <c r="J554" s="1" t="s">
        <v>403</v>
      </c>
      <c r="K554" s="1" t="s">
        <v>275</v>
      </c>
      <c r="L554" s="1" t="s">
        <v>1731</v>
      </c>
      <c r="M554" s="9"/>
      <c r="N554" s="35"/>
      <c r="O554" s="24">
        <v>7</v>
      </c>
      <c r="P554" s="2" cm="1">
        <f t="array" ref="P554">_xlfn.XLOOKUP(TRIM(B554),TRIM('[1]wc-product-export-16-3-2026-177'!$A:$A),'[1]wc-product-export-16-3-2026-177'!$D:$D,0,0)</f>
        <v>0</v>
      </c>
      <c r="Q554" s="2" cm="1">
        <f t="array" ref="Q554">IF(TRIM($D554)="SET",IF($K554="Steak Set1",ROUNDDOWN(IFERROR(MIN(_xlfn._xlws.FILTER(O$3:O$650,ISNUMBER(MATCH(TRIM($B$3:$B$650),TRIM(_xlfn.TEXTSPLIT($N554,",")),0)))),0)/4,0)+P554,IF(IFERROR(MIN(_xlfn._xlws.FILTER(O$3:O$650,ISNUMBER(MATCH(TRIM($B$3:$B$650),TRIM(_xlfn.TEXTSPLIT($N554,",")),0)))),0)&gt;=$E$1,IFERROR(MIN(_xlfn._xlws.FILTER(O$3:O$650,ISNUMBER(MATCH(TRIM($B$3:$B$650),TRIM(_xlfn.TEXTSPLIT($N554,",")),0)))),0)+P554,P554)),IF(TRIM($D554)="EA",IF(TRIM($E554)="M",ROUNDUP(O554*0.85,0),IF(TRIM($E554)="P",O554,P554)),P554))</f>
        <v>6</v>
      </c>
      <c r="T554" t="str" cm="1">
        <f t="array" ref="T554">IFERROR(IF(D554="SET",_xlfn.TEXTJOIN(", ",TRUE,_xlfn._xlws.FILTER(TRANSPOSE(TRIM(_xlfn.TEXTSPLIT(N554,","))),COUNTIFS(B$3:B$650,TRANSPOSE(TRIM(_xlfn.TEXTSPLIT(N554,","))),O$3:O$650,"&lt;="&amp;$T$1))),""),"")</f>
        <v/>
      </c>
    </row>
    <row r="555" spans="1:20" ht="15.6" customHeight="1" x14ac:dyDescent="0.3">
      <c r="A555" s="1">
        <v>69950</v>
      </c>
      <c r="B555" s="55" t="s">
        <v>1074</v>
      </c>
      <c r="C555" s="1" t="s">
        <v>1261</v>
      </c>
      <c r="D555" s="1" t="s">
        <v>624</v>
      </c>
      <c r="E555" s="1" t="s">
        <v>686</v>
      </c>
      <c r="F555" s="9"/>
      <c r="G555" s="9"/>
      <c r="H555" s="16" t="s">
        <v>310</v>
      </c>
      <c r="I555" s="9" t="b">
        <f t="shared" si="13"/>
        <v>0</v>
      </c>
      <c r="J555" s="1" t="s">
        <v>403</v>
      </c>
      <c r="K555" s="1" t="s">
        <v>275</v>
      </c>
      <c r="L555" s="1" t="s">
        <v>1732</v>
      </c>
      <c r="M555" s="9"/>
      <c r="N555" s="35"/>
      <c r="O555" s="24">
        <v>13</v>
      </c>
      <c r="P555" s="2" cm="1">
        <f t="array" ref="P555">_xlfn.XLOOKUP(TRIM(B555),TRIM('[1]wc-product-export-16-3-2026-177'!$A:$A),'[1]wc-product-export-16-3-2026-177'!$D:$D,0,0)</f>
        <v>0</v>
      </c>
      <c r="Q555" s="2" cm="1">
        <f t="array" ref="Q555">IF(TRIM($D555)="SET",IF($K555="Steak Set1",ROUNDDOWN(IFERROR(MIN(_xlfn._xlws.FILTER(O$3:O$650,ISNUMBER(MATCH(TRIM($B$3:$B$650),TRIM(_xlfn.TEXTSPLIT($N555,",")),0)))),0)/4,0)+P555,IF(IFERROR(MIN(_xlfn._xlws.FILTER(O$3:O$650,ISNUMBER(MATCH(TRIM($B$3:$B$650),TRIM(_xlfn.TEXTSPLIT($N555,",")),0)))),0)&gt;=$E$1,IFERROR(MIN(_xlfn._xlws.FILTER(O$3:O$650,ISNUMBER(MATCH(TRIM($B$3:$B$650),TRIM(_xlfn.TEXTSPLIT($N555,",")),0)))),0)+P555,P555)),IF(TRIM($D555)="EA",IF(TRIM($E555)="M",ROUNDUP(O555*0.85,0),IF(TRIM($E555)="P",O555,P555)),P555))</f>
        <v>12</v>
      </c>
      <c r="T555" t="str" cm="1">
        <f t="array" ref="T555">IFERROR(IF(D555="SET",_xlfn.TEXTJOIN(", ",TRUE,_xlfn._xlws.FILTER(TRANSPOSE(TRIM(_xlfn.TEXTSPLIT(N555,","))),COUNTIFS(B$3:B$650,TRANSPOSE(TRIM(_xlfn.TEXTSPLIT(N555,","))),O$3:O$650,"&lt;="&amp;$T$1))),""),"")</f>
        <v/>
      </c>
    </row>
    <row r="556" spans="1:20" ht="15.6" customHeight="1" x14ac:dyDescent="0.3">
      <c r="A556" s="1">
        <v>69952</v>
      </c>
      <c r="B556" s="55" t="s">
        <v>1075</v>
      </c>
      <c r="C556" s="1" t="s">
        <v>1261</v>
      </c>
      <c r="D556" s="1" t="s">
        <v>624</v>
      </c>
      <c r="E556" s="1" t="s">
        <v>686</v>
      </c>
      <c r="F556" s="9"/>
      <c r="G556" s="9"/>
      <c r="H556" s="16" t="s">
        <v>307</v>
      </c>
      <c r="I556" s="9" t="b">
        <f t="shared" si="13"/>
        <v>0</v>
      </c>
      <c r="J556" s="1" t="s">
        <v>403</v>
      </c>
      <c r="K556" s="1" t="s">
        <v>275</v>
      </c>
      <c r="L556" s="1" t="s">
        <v>1733</v>
      </c>
      <c r="M556" s="9"/>
      <c r="N556" s="35"/>
      <c r="O556" s="24">
        <v>0</v>
      </c>
      <c r="P556" s="2" cm="1">
        <f t="array" ref="P556">_xlfn.XLOOKUP(TRIM(B556),TRIM('[1]wc-product-export-16-3-2026-177'!$A:$A),'[1]wc-product-export-16-3-2026-177'!$D:$D,0,0)</f>
        <v>0</v>
      </c>
      <c r="Q556" s="2" cm="1">
        <f t="array" ref="Q556">IF(TRIM($D556)="SET",IF($K556="Steak Set1",ROUNDDOWN(IFERROR(MIN(_xlfn._xlws.FILTER(O$3:O$650,ISNUMBER(MATCH(TRIM($B$3:$B$650),TRIM(_xlfn.TEXTSPLIT($N556,",")),0)))),0)/4,0)+P556,IF(IFERROR(MIN(_xlfn._xlws.FILTER(O$3:O$650,ISNUMBER(MATCH(TRIM($B$3:$B$650),TRIM(_xlfn.TEXTSPLIT($N556,",")),0)))),0)&gt;=$E$1,IFERROR(MIN(_xlfn._xlws.FILTER(O$3:O$650,ISNUMBER(MATCH(TRIM($B$3:$B$650),TRIM(_xlfn.TEXTSPLIT($N556,",")),0)))),0)+P556,P556)),IF(TRIM($D556)="EA",IF(TRIM($E556)="M",ROUNDUP(O556*0.85,0),IF(TRIM($E556)="P",O556,P556)),P556))</f>
        <v>0</v>
      </c>
      <c r="T556" t="str" cm="1">
        <f t="array" ref="T556">IFERROR(IF(D556="SET",_xlfn.TEXTJOIN(", ",TRUE,_xlfn._xlws.FILTER(TRANSPOSE(TRIM(_xlfn.TEXTSPLIT(N556,","))),COUNTIFS(B$3:B$650,TRANSPOSE(TRIM(_xlfn.TEXTSPLIT(N556,","))),O$3:O$650,"&lt;="&amp;$T$1))),""),"")</f>
        <v/>
      </c>
    </row>
    <row r="557" spans="1:20" ht="15.6" customHeight="1" x14ac:dyDescent="0.3">
      <c r="A557" s="1">
        <v>69953</v>
      </c>
      <c r="B557" s="56" t="s">
        <v>1076</v>
      </c>
      <c r="C557" s="1" t="s">
        <v>1261</v>
      </c>
      <c r="D557" s="1" t="s">
        <v>624</v>
      </c>
      <c r="E557" s="1" t="s">
        <v>686</v>
      </c>
      <c r="F557" s="9"/>
      <c r="G557" s="9"/>
      <c r="H557" s="16" t="s">
        <v>317</v>
      </c>
      <c r="I557" s="9" t="b">
        <f t="shared" si="13"/>
        <v>0</v>
      </c>
      <c r="J557" s="1" t="s">
        <v>403</v>
      </c>
      <c r="K557" s="1" t="s">
        <v>269</v>
      </c>
      <c r="L557" s="1" t="s">
        <v>1729</v>
      </c>
      <c r="M557" s="9"/>
      <c r="N557" s="35"/>
      <c r="O557" s="24">
        <v>12</v>
      </c>
      <c r="P557" s="2" cm="1">
        <f t="array" ref="P557">_xlfn.XLOOKUP(TRIM(B557),TRIM('[1]wc-product-export-16-3-2026-177'!$A:$A),'[1]wc-product-export-16-3-2026-177'!$D:$D,0,0)</f>
        <v>0</v>
      </c>
      <c r="Q557" s="2" cm="1">
        <f t="array" ref="Q557">IF(TRIM($D557)="SET",IF($K557="Steak Set1",ROUNDDOWN(IFERROR(MIN(_xlfn._xlws.FILTER(O$3:O$650,ISNUMBER(MATCH(TRIM($B$3:$B$650),TRIM(_xlfn.TEXTSPLIT($N557,",")),0)))),0)/4,0)+P557,IF(IFERROR(MIN(_xlfn._xlws.FILTER(O$3:O$650,ISNUMBER(MATCH(TRIM($B$3:$B$650),TRIM(_xlfn.TEXTSPLIT($N557,",")),0)))),0)&gt;=$E$1,IFERROR(MIN(_xlfn._xlws.FILTER(O$3:O$650,ISNUMBER(MATCH(TRIM($B$3:$B$650),TRIM(_xlfn.TEXTSPLIT($N557,",")),0)))),0)+P557,P557)),IF(TRIM($D557)="EA",IF(TRIM($E557)="M",ROUNDUP(O557*0.85,0),IF(TRIM($E557)="P",O557,P557)),P557))</f>
        <v>11</v>
      </c>
      <c r="T557" t="str" cm="1">
        <f t="array" ref="T557">IFERROR(IF(D557="SET",_xlfn.TEXTJOIN(", ",TRUE,_xlfn._xlws.FILTER(TRANSPOSE(TRIM(_xlfn.TEXTSPLIT(N557,","))),COUNTIFS(B$3:B$650,TRANSPOSE(TRIM(_xlfn.TEXTSPLIT(N557,","))),O$3:O$650,"&lt;="&amp;$T$1))),""),"")</f>
        <v/>
      </c>
    </row>
    <row r="558" spans="1:20" ht="15.6" customHeight="1" x14ac:dyDescent="0.3">
      <c r="A558" s="1">
        <v>69955</v>
      </c>
      <c r="B558" s="55" t="s">
        <v>1077</v>
      </c>
      <c r="C558" s="1" t="s">
        <v>1261</v>
      </c>
      <c r="D558" s="1" t="s">
        <v>624</v>
      </c>
      <c r="E558" s="1" t="s">
        <v>686</v>
      </c>
      <c r="F558" s="9"/>
      <c r="G558" s="9"/>
      <c r="H558" s="16" t="s">
        <v>303</v>
      </c>
      <c r="I558" s="9" t="b">
        <f t="shared" si="13"/>
        <v>0</v>
      </c>
      <c r="J558" s="1" t="s">
        <v>403</v>
      </c>
      <c r="K558" s="1" t="s">
        <v>272</v>
      </c>
      <c r="L558" s="1" t="s">
        <v>272</v>
      </c>
      <c r="M558" s="9"/>
      <c r="N558" s="35"/>
      <c r="O558" s="24">
        <v>0</v>
      </c>
      <c r="P558" s="2" cm="1">
        <f t="array" ref="P558">_xlfn.XLOOKUP(TRIM(B558),TRIM('[1]wc-product-export-16-3-2026-177'!$A:$A),'[1]wc-product-export-16-3-2026-177'!$D:$D,0,0)</f>
        <v>0</v>
      </c>
      <c r="Q558" s="2" cm="1">
        <f t="array" ref="Q558">IF(TRIM($D558)="SET",IF($K558="Steak Set1",ROUNDDOWN(IFERROR(MIN(_xlfn._xlws.FILTER(O$3:O$650,ISNUMBER(MATCH(TRIM($B$3:$B$650),TRIM(_xlfn.TEXTSPLIT($N558,",")),0)))),0)/4,0)+P558,IF(IFERROR(MIN(_xlfn._xlws.FILTER(O$3:O$650,ISNUMBER(MATCH(TRIM($B$3:$B$650),TRIM(_xlfn.TEXTSPLIT($N558,",")),0)))),0)&gt;=$E$1,IFERROR(MIN(_xlfn._xlws.FILTER(O$3:O$650,ISNUMBER(MATCH(TRIM($B$3:$B$650),TRIM(_xlfn.TEXTSPLIT($N558,",")),0)))),0)+P558,P558)),IF(TRIM($D558)="EA",IF(TRIM($E558)="M",ROUNDUP(O558*0.85,0),IF(TRIM($E558)="P",O558,P558)),P558))</f>
        <v>0</v>
      </c>
      <c r="T558" t="str" cm="1">
        <f t="array" ref="T558">IFERROR(IF(D558="SET",_xlfn.TEXTJOIN(", ",TRUE,_xlfn._xlws.FILTER(TRANSPOSE(TRIM(_xlfn.TEXTSPLIT(N558,","))),COUNTIFS(B$3:B$650,TRANSPOSE(TRIM(_xlfn.TEXTSPLIT(N558,","))),O$3:O$650,"&lt;="&amp;$T$1))),""),"")</f>
        <v/>
      </c>
    </row>
    <row r="559" spans="1:20" ht="15.6" customHeight="1" x14ac:dyDescent="0.3">
      <c r="A559" s="1">
        <v>69957</v>
      </c>
      <c r="B559" s="56" t="s">
        <v>1078</v>
      </c>
      <c r="C559" s="1" t="s">
        <v>1261</v>
      </c>
      <c r="D559" s="1" t="s">
        <v>624</v>
      </c>
      <c r="E559" s="1" t="s">
        <v>686</v>
      </c>
      <c r="F559" s="9"/>
      <c r="G559" s="9"/>
      <c r="H559" s="16" t="s">
        <v>301</v>
      </c>
      <c r="I559" s="9" t="b">
        <f t="shared" si="13"/>
        <v>0</v>
      </c>
      <c r="J559" s="1" t="s">
        <v>403</v>
      </c>
      <c r="K559" s="1" t="s">
        <v>272</v>
      </c>
      <c r="L559" s="1" t="s">
        <v>272</v>
      </c>
      <c r="M559" s="9"/>
      <c r="N559" s="35"/>
      <c r="O559" s="24">
        <v>7</v>
      </c>
      <c r="P559" s="2" cm="1">
        <f t="array" ref="P559">_xlfn.XLOOKUP(TRIM(B559),TRIM('[1]wc-product-export-16-3-2026-177'!$A:$A),'[1]wc-product-export-16-3-2026-177'!$D:$D,0,0)</f>
        <v>0</v>
      </c>
      <c r="Q559" s="2" cm="1">
        <f t="array" ref="Q559">IF(TRIM($D559)="SET",IF($K559="Steak Set1",ROUNDDOWN(IFERROR(MIN(_xlfn._xlws.FILTER(O$3:O$650,ISNUMBER(MATCH(TRIM($B$3:$B$650),TRIM(_xlfn.TEXTSPLIT($N559,",")),0)))),0)/4,0)+P559,IF(IFERROR(MIN(_xlfn._xlws.FILTER(O$3:O$650,ISNUMBER(MATCH(TRIM($B$3:$B$650),TRIM(_xlfn.TEXTSPLIT($N559,",")),0)))),0)&gt;=$E$1,IFERROR(MIN(_xlfn._xlws.FILTER(O$3:O$650,ISNUMBER(MATCH(TRIM($B$3:$B$650),TRIM(_xlfn.TEXTSPLIT($N559,",")),0)))),0)+P559,P559)),IF(TRIM($D559)="EA",IF(TRIM($E559)="M",ROUNDUP(O559*0.85,0),IF(TRIM($E559)="P",O559,P559)),P559))</f>
        <v>6</v>
      </c>
      <c r="T559" t="str" cm="1">
        <f t="array" ref="T559">IFERROR(IF(D559="SET",_xlfn.TEXTJOIN(", ",TRUE,_xlfn._xlws.FILTER(TRANSPOSE(TRIM(_xlfn.TEXTSPLIT(N559,","))),COUNTIFS(B$3:B$650,TRANSPOSE(TRIM(_xlfn.TEXTSPLIT(N559,","))),O$3:O$650,"&lt;="&amp;$T$1))),""),"")</f>
        <v/>
      </c>
    </row>
    <row r="560" spans="1:20" ht="15.6" customHeight="1" x14ac:dyDescent="0.3">
      <c r="A560" s="1">
        <v>69958</v>
      </c>
      <c r="B560" s="56" t="s">
        <v>1079</v>
      </c>
      <c r="C560" s="1" t="s">
        <v>1261</v>
      </c>
      <c r="D560" s="1" t="s">
        <v>624</v>
      </c>
      <c r="E560" s="1" t="s">
        <v>686</v>
      </c>
      <c r="F560" s="9"/>
      <c r="G560" s="9"/>
      <c r="H560" s="16" t="s">
        <v>318</v>
      </c>
      <c r="I560" s="9" t="b">
        <f t="shared" si="13"/>
        <v>0</v>
      </c>
      <c r="J560" s="1" t="s">
        <v>403</v>
      </c>
      <c r="K560" s="1" t="s">
        <v>269</v>
      </c>
      <c r="L560" s="1" t="s">
        <v>1724</v>
      </c>
      <c r="M560" s="9"/>
      <c r="N560" s="35"/>
      <c r="O560" s="24">
        <v>22</v>
      </c>
      <c r="P560" s="2" cm="1">
        <f t="array" ref="P560">_xlfn.XLOOKUP(TRIM(B560),TRIM('[1]wc-product-export-16-3-2026-177'!$A:$A),'[1]wc-product-export-16-3-2026-177'!$D:$D,0,0)</f>
        <v>0</v>
      </c>
      <c r="Q560" s="2" cm="1">
        <f t="array" ref="Q560">IF(TRIM($D560)="SET",IF($K560="Steak Set1",ROUNDDOWN(IFERROR(MIN(_xlfn._xlws.FILTER(O$3:O$650,ISNUMBER(MATCH(TRIM($B$3:$B$650),TRIM(_xlfn.TEXTSPLIT($N560,",")),0)))),0)/4,0)+P560,IF(IFERROR(MIN(_xlfn._xlws.FILTER(O$3:O$650,ISNUMBER(MATCH(TRIM($B$3:$B$650),TRIM(_xlfn.TEXTSPLIT($N560,",")),0)))),0)&gt;=$E$1,IFERROR(MIN(_xlfn._xlws.FILTER(O$3:O$650,ISNUMBER(MATCH(TRIM($B$3:$B$650),TRIM(_xlfn.TEXTSPLIT($N560,",")),0)))),0)+P560,P560)),IF(TRIM($D560)="EA",IF(TRIM($E560)="M",ROUNDUP(O560*0.85,0),IF(TRIM($E560)="P",O560,P560)),P560))</f>
        <v>19</v>
      </c>
      <c r="T560" t="str" cm="1">
        <f t="array" ref="T560">IFERROR(IF(D560="SET",_xlfn.TEXTJOIN(", ",TRUE,_xlfn._xlws.FILTER(TRANSPOSE(TRIM(_xlfn.TEXTSPLIT(N560,","))),COUNTIFS(B$3:B$650,TRANSPOSE(TRIM(_xlfn.TEXTSPLIT(N560,","))),O$3:O$650,"&lt;="&amp;$T$1))),""),"")</f>
        <v/>
      </c>
    </row>
    <row r="561" spans="1:20" ht="15.6" customHeight="1" x14ac:dyDescent="0.3">
      <c r="A561" s="1">
        <v>69959</v>
      </c>
      <c r="B561" s="55" t="s">
        <v>1080</v>
      </c>
      <c r="C561" s="1" t="s">
        <v>1261</v>
      </c>
      <c r="D561" s="1" t="s">
        <v>624</v>
      </c>
      <c r="E561" s="1" t="s">
        <v>686</v>
      </c>
      <c r="F561" s="9"/>
      <c r="G561" s="9"/>
      <c r="H561" s="16" t="s">
        <v>304</v>
      </c>
      <c r="I561" s="9" t="b">
        <f t="shared" si="13"/>
        <v>0</v>
      </c>
      <c r="J561" s="1" t="s">
        <v>403</v>
      </c>
      <c r="K561" s="1" t="s">
        <v>273</v>
      </c>
      <c r="L561" s="1" t="s">
        <v>1734</v>
      </c>
      <c r="M561" s="9"/>
      <c r="N561" s="35"/>
      <c r="O561" s="24">
        <v>4</v>
      </c>
      <c r="P561" s="2" cm="1">
        <f t="array" ref="P561">_xlfn.XLOOKUP(TRIM(B561),TRIM('[1]wc-product-export-16-3-2026-177'!$A:$A),'[1]wc-product-export-16-3-2026-177'!$D:$D,0,0)</f>
        <v>0</v>
      </c>
      <c r="Q561" s="2" cm="1">
        <f t="array" ref="Q561">IF(TRIM($D561)="SET",IF($K561="Steak Set1",ROUNDDOWN(IFERROR(MIN(_xlfn._xlws.FILTER(O$3:O$650,ISNUMBER(MATCH(TRIM($B$3:$B$650),TRIM(_xlfn.TEXTSPLIT($N561,",")),0)))),0)/4,0)+P561,IF(IFERROR(MIN(_xlfn._xlws.FILTER(O$3:O$650,ISNUMBER(MATCH(TRIM($B$3:$B$650),TRIM(_xlfn.TEXTSPLIT($N561,",")),0)))),0)&gt;=$E$1,IFERROR(MIN(_xlfn._xlws.FILTER(O$3:O$650,ISNUMBER(MATCH(TRIM($B$3:$B$650),TRIM(_xlfn.TEXTSPLIT($N561,",")),0)))),0)+P561,P561)),IF(TRIM($D561)="EA",IF(TRIM($E561)="M",ROUNDUP(O561*0.85,0),IF(TRIM($E561)="P",O561,P561)),P561))</f>
        <v>4</v>
      </c>
      <c r="T561" t="str" cm="1">
        <f t="array" ref="T561">IFERROR(IF(D561="SET",_xlfn.TEXTJOIN(", ",TRUE,_xlfn._xlws.FILTER(TRANSPOSE(TRIM(_xlfn.TEXTSPLIT(N561,","))),COUNTIFS(B$3:B$650,TRANSPOSE(TRIM(_xlfn.TEXTSPLIT(N561,","))),O$3:O$650,"&lt;="&amp;$T$1))),""),"")</f>
        <v/>
      </c>
    </row>
    <row r="562" spans="1:20" ht="15.6" customHeight="1" x14ac:dyDescent="0.3">
      <c r="A562" s="1">
        <v>69960</v>
      </c>
      <c r="B562" s="55" t="s">
        <v>1081</v>
      </c>
      <c r="C562" s="1" t="s">
        <v>1261</v>
      </c>
      <c r="D562" s="1" t="s">
        <v>624</v>
      </c>
      <c r="E562" s="1" t="s">
        <v>686</v>
      </c>
      <c r="F562" s="9"/>
      <c r="G562" s="9"/>
      <c r="H562" s="16" t="s">
        <v>311</v>
      </c>
      <c r="I562" s="9" t="b">
        <f t="shared" si="13"/>
        <v>0</v>
      </c>
      <c r="J562" s="1" t="s">
        <v>403</v>
      </c>
      <c r="K562" s="1" t="s">
        <v>276</v>
      </c>
      <c r="L562" s="1" t="s">
        <v>276</v>
      </c>
      <c r="M562" s="9"/>
      <c r="N562" s="35"/>
      <c r="O562" s="24">
        <v>0</v>
      </c>
      <c r="P562" s="2" cm="1">
        <f t="array" ref="P562">_xlfn.XLOOKUP(TRIM(B562),TRIM('[1]wc-product-export-16-3-2026-177'!$A:$A),'[1]wc-product-export-16-3-2026-177'!$D:$D,0,0)</f>
        <v>0</v>
      </c>
      <c r="Q562" s="2" cm="1">
        <f t="array" ref="Q562">IF(TRIM($D562)="SET",IF($K562="Steak Set1",ROUNDDOWN(IFERROR(MIN(_xlfn._xlws.FILTER(O$3:O$650,ISNUMBER(MATCH(TRIM($B$3:$B$650),TRIM(_xlfn.TEXTSPLIT($N562,",")),0)))),0)/4,0)+P562,IF(IFERROR(MIN(_xlfn._xlws.FILTER(O$3:O$650,ISNUMBER(MATCH(TRIM($B$3:$B$650),TRIM(_xlfn.TEXTSPLIT($N562,",")),0)))),0)&gt;=$E$1,IFERROR(MIN(_xlfn._xlws.FILTER(O$3:O$650,ISNUMBER(MATCH(TRIM($B$3:$B$650),TRIM(_xlfn.TEXTSPLIT($N562,",")),0)))),0)+P562,P562)),IF(TRIM($D562)="EA",IF(TRIM($E562)="M",ROUNDUP(O562*0.85,0),IF(TRIM($E562)="P",O562,P562)),P562))</f>
        <v>0</v>
      </c>
      <c r="T562" t="str" cm="1">
        <f t="array" ref="T562">IFERROR(IF(D562="SET",_xlfn.TEXTJOIN(", ",TRUE,_xlfn._xlws.FILTER(TRANSPOSE(TRIM(_xlfn.TEXTSPLIT(N562,","))),COUNTIFS(B$3:B$650,TRANSPOSE(TRIM(_xlfn.TEXTSPLIT(N562,","))),O$3:O$650,"&lt;="&amp;$T$1))),""),"")</f>
        <v/>
      </c>
    </row>
    <row r="563" spans="1:20" ht="15.6" customHeight="1" x14ac:dyDescent="0.3">
      <c r="A563" s="1">
        <v>69963</v>
      </c>
      <c r="B563" s="55" t="s">
        <v>1082</v>
      </c>
      <c r="C563" s="1" t="s">
        <v>1261</v>
      </c>
      <c r="D563" s="1" t="s">
        <v>628</v>
      </c>
      <c r="E563" s="1" t="s">
        <v>686</v>
      </c>
      <c r="F563" s="9"/>
      <c r="G563" s="9"/>
      <c r="H563" s="16" t="s">
        <v>344</v>
      </c>
      <c r="I563" s="9" t="b">
        <f t="shared" si="13"/>
        <v>0</v>
      </c>
      <c r="J563" s="1" t="s">
        <v>403</v>
      </c>
      <c r="K563" s="1" t="s">
        <v>278</v>
      </c>
      <c r="L563" s="1" t="s">
        <v>1735</v>
      </c>
      <c r="M563" s="9"/>
      <c r="N563" s="35" t="s">
        <v>1571</v>
      </c>
      <c r="O563" s="24">
        <v>0</v>
      </c>
      <c r="P563" s="2" cm="1">
        <f t="array" ref="P563">_xlfn.XLOOKUP(TRIM(B563),TRIM('[1]wc-product-export-16-3-2026-177'!$A:$A),'[1]wc-product-export-16-3-2026-177'!$D:$D,0,0)</f>
        <v>0</v>
      </c>
      <c r="Q563" s="2" cm="1">
        <f t="array" ref="Q563">IF(TRIM($D563)="SET",IF($K563="Steak Set1",ROUNDDOWN(IFERROR(MIN(_xlfn._xlws.FILTER(O$3:O$650,ISNUMBER(MATCH(TRIM($B$3:$B$650),TRIM(_xlfn.TEXTSPLIT($N563,",")),0)))),0)/4,0)+P563,IF(IFERROR(MIN(_xlfn._xlws.FILTER(O$3:O$650,ISNUMBER(MATCH(TRIM($B$3:$B$650),TRIM(_xlfn.TEXTSPLIT($N563,",")),0)))),0)&gt;=$E$1,IFERROR(MIN(_xlfn._xlws.FILTER(O$3:O$650,ISNUMBER(MATCH(TRIM($B$3:$B$650),TRIM(_xlfn.TEXTSPLIT($N563,",")),0)))),0)+P563,P563)),IF(TRIM($D563)="EA",IF(TRIM($E563)="M",ROUNDUP(O563*0.85,0),IF(TRIM($E563)="P",O563,P563)),P563))</f>
        <v>0</v>
      </c>
      <c r="T563" t="str" cm="1">
        <f t="array" ref="T563">IFERROR(IF(D563="SET",_xlfn.TEXTJOIN(", ",TRUE,_xlfn._xlws.FILTER(TRANSPOSE(TRIM(_xlfn.TEXTSPLIT(N563,","))),COUNTIFS(B$3:B$650,TRANSPOSE(TRIM(_xlfn.TEXTSPLIT(N563,","))),O$3:O$650,"&lt;="&amp;$T$1))),""),"")</f>
        <v>69910, 69935</v>
      </c>
    </row>
    <row r="564" spans="1:20" ht="15.6" customHeight="1" x14ac:dyDescent="0.3">
      <c r="A564" s="1">
        <v>69964</v>
      </c>
      <c r="B564" s="55" t="s">
        <v>1083</v>
      </c>
      <c r="C564" s="1" t="s">
        <v>1261</v>
      </c>
      <c r="D564" s="1" t="s">
        <v>628</v>
      </c>
      <c r="E564" s="1" t="s">
        <v>686</v>
      </c>
      <c r="F564" s="9"/>
      <c r="G564" s="9"/>
      <c r="H564" s="16" t="s">
        <v>346</v>
      </c>
      <c r="I564" s="9" t="b">
        <f t="shared" si="13"/>
        <v>0</v>
      </c>
      <c r="J564" s="1" t="s">
        <v>403</v>
      </c>
      <c r="K564" s="1" t="s">
        <v>278</v>
      </c>
      <c r="L564" s="1" t="s">
        <v>1736</v>
      </c>
      <c r="M564" s="9"/>
      <c r="N564" s="35" t="s">
        <v>1587</v>
      </c>
      <c r="O564" s="24">
        <v>9</v>
      </c>
      <c r="P564" s="2" cm="1">
        <f t="array" ref="P564">_xlfn.XLOOKUP(TRIM(B564),TRIM('[1]wc-product-export-16-3-2026-177'!$A:$A),'[1]wc-product-export-16-3-2026-177'!$D:$D,0,0)</f>
        <v>0</v>
      </c>
      <c r="Q564" s="2" cm="1">
        <f t="array" ref="Q564">IF(TRIM($D564)="SET",IF($K564="Steak Set1",ROUNDDOWN(IFERROR(MIN(_xlfn._xlws.FILTER(O$3:O$650,ISNUMBER(MATCH(TRIM($B$3:$B$650),TRIM(_xlfn.TEXTSPLIT($N564,",")),0)))),0)/4,0)+P564,IF(IFERROR(MIN(_xlfn._xlws.FILTER(O$3:O$650,ISNUMBER(MATCH(TRIM($B$3:$B$650),TRIM(_xlfn.TEXTSPLIT($N564,",")),0)))),0)&gt;=$E$1,IFERROR(MIN(_xlfn._xlws.FILTER(O$3:O$650,ISNUMBER(MATCH(TRIM($B$3:$B$650),TRIM(_xlfn.TEXTSPLIT($N564,",")),0)))),0)+P564,P564)),IF(TRIM($D564)="EA",IF(TRIM($E564)="M",ROUNDUP(O564*0.85,0),IF(TRIM($E564)="P",O564,P564)),P564))</f>
        <v>3</v>
      </c>
      <c r="T564" t="str" cm="1">
        <f t="array" ref="T564">IFERROR(IF(D564="SET",_xlfn.TEXTJOIN(", ",TRUE,_xlfn._xlws.FILTER(TRANSPOSE(TRIM(_xlfn.TEXTSPLIT(N564,","))),COUNTIFS(B$3:B$650,TRANSPOSE(TRIM(_xlfn.TEXTSPLIT(N564,","))),O$3:O$650,"&lt;="&amp;$T$1))),""),"")</f>
        <v>69910</v>
      </c>
    </row>
    <row r="565" spans="1:20" ht="15.6" customHeight="1" x14ac:dyDescent="0.3">
      <c r="A565" s="1">
        <v>69968</v>
      </c>
      <c r="B565" s="55" t="s">
        <v>1084</v>
      </c>
      <c r="C565" s="1" t="s">
        <v>1261</v>
      </c>
      <c r="D565" s="1" t="s">
        <v>628</v>
      </c>
      <c r="E565" s="1" t="s">
        <v>686</v>
      </c>
      <c r="F565" s="9"/>
      <c r="G565" s="9"/>
      <c r="H565" s="16" t="s">
        <v>348</v>
      </c>
      <c r="I565" s="9" t="b">
        <f t="shared" si="13"/>
        <v>0</v>
      </c>
      <c r="J565" s="1" t="s">
        <v>403</v>
      </c>
      <c r="K565" s="1" t="s">
        <v>1712</v>
      </c>
      <c r="L565" s="1" t="s">
        <v>1737</v>
      </c>
      <c r="M565" s="9"/>
      <c r="N565" s="35" t="s">
        <v>1060</v>
      </c>
      <c r="O565" s="24">
        <v>0</v>
      </c>
      <c r="P565" s="2" cm="1">
        <f t="array" ref="P565">_xlfn.XLOOKUP(TRIM(B565),TRIM('[1]wc-product-export-16-3-2026-177'!$A:$A),'[1]wc-product-export-16-3-2026-177'!$D:$D,0,0)</f>
        <v>0</v>
      </c>
      <c r="Q565" s="2" cm="1">
        <f t="array" ref="Q565">IF(TRIM($D565)="SET",IF($K565="Steak Set1",ROUNDDOWN(IFERROR(MIN(_xlfn._xlws.FILTER(O$3:O$650,ISNUMBER(MATCH(TRIM($B$3:$B$650),TRIM(_xlfn.TEXTSPLIT($N565,",")),0)))),0)/4,0)+P565,IF(IFERROR(MIN(_xlfn._xlws.FILTER(O$3:O$650,ISNUMBER(MATCH(TRIM($B$3:$B$650),TRIM(_xlfn.TEXTSPLIT($N565,",")),0)))),0)&gt;=$E$1,IFERROR(MIN(_xlfn._xlws.FILTER(O$3:O$650,ISNUMBER(MATCH(TRIM($B$3:$B$650),TRIM(_xlfn.TEXTSPLIT($N565,",")),0)))),0)+P565,P565)),IF(TRIM($D565)="EA",IF(TRIM($E565)="M",ROUNDUP(O565*0.85,0),IF(TRIM($E565)="P",O565,P565)),P565))</f>
        <v>0</v>
      </c>
      <c r="T565" t="str" cm="1">
        <f t="array" ref="T565">IFERROR(IF(D565="SET",_xlfn.TEXTJOIN(", ",TRUE,_xlfn._xlws.FILTER(TRANSPOSE(TRIM(_xlfn.TEXTSPLIT(N565,","))),COUNTIFS(B$3:B$650,TRANSPOSE(TRIM(_xlfn.TEXTSPLIT(N565,","))),O$3:O$650,"&lt;="&amp;$T$1))),""),"")</f>
        <v>69920</v>
      </c>
    </row>
    <row r="566" spans="1:20" ht="15.6" customHeight="1" x14ac:dyDescent="0.3">
      <c r="A566" s="1">
        <v>69969</v>
      </c>
      <c r="B566" s="55" t="s">
        <v>1085</v>
      </c>
      <c r="C566" s="1" t="s">
        <v>1261</v>
      </c>
      <c r="D566" s="1" t="s">
        <v>628</v>
      </c>
      <c r="E566" s="1" t="s">
        <v>686</v>
      </c>
      <c r="F566" s="9"/>
      <c r="G566" s="9"/>
      <c r="H566" s="16" t="s">
        <v>342</v>
      </c>
      <c r="I566" s="9" t="b">
        <f t="shared" si="13"/>
        <v>0</v>
      </c>
      <c r="J566" s="1" t="s">
        <v>403</v>
      </c>
      <c r="K566" s="1" t="s">
        <v>277</v>
      </c>
      <c r="L566" s="1" t="s">
        <v>1738</v>
      </c>
      <c r="M566" s="9"/>
      <c r="N566" s="35" t="s">
        <v>1595</v>
      </c>
      <c r="O566" s="24">
        <v>0</v>
      </c>
      <c r="P566" s="2" cm="1">
        <f t="array" ref="P566">_xlfn.XLOOKUP(TRIM(B566),TRIM('[1]wc-product-export-16-3-2026-177'!$A:$A),'[1]wc-product-export-16-3-2026-177'!$D:$D,0,0)</f>
        <v>0</v>
      </c>
      <c r="Q566" s="2" cm="1">
        <f t="array" ref="Q566">IF(TRIM($D566)="SET",IF($K566="Steak Set1",ROUNDDOWN(IFERROR(MIN(_xlfn._xlws.FILTER(O$3:O$650,ISNUMBER(MATCH(TRIM($B$3:$B$650),TRIM(_xlfn.TEXTSPLIT($N566,",")),0)))),0)/4,0)+P566,IF(IFERROR(MIN(_xlfn._xlws.FILTER(O$3:O$650,ISNUMBER(MATCH(TRIM($B$3:$B$650),TRIM(_xlfn.TEXTSPLIT($N566,",")),0)))),0)&gt;=$E$1,IFERROR(MIN(_xlfn._xlws.FILTER(O$3:O$650,ISNUMBER(MATCH(TRIM($B$3:$B$650),TRIM(_xlfn.TEXTSPLIT($N566,",")),0)))),0)+P566,P566)),IF(TRIM($D566)="EA",IF(TRIM($E566)="M",ROUNDUP(O566*0.85,0),IF(TRIM($E566)="P",O566,P566)),P566))</f>
        <v>0</v>
      </c>
      <c r="T566" t="str" cm="1">
        <f t="array" ref="T566">IFERROR(IF(D566="SET",_xlfn.TEXTJOIN(", ",TRUE,_xlfn._xlws.FILTER(TRANSPOSE(TRIM(_xlfn.TEXTSPLIT(N566,","))),COUNTIFS(B$3:B$650,TRANSPOSE(TRIM(_xlfn.TEXTSPLIT(N566,","))),O$3:O$650,"&lt;="&amp;$T$1))),""),"")</f>
        <v>69960</v>
      </c>
    </row>
    <row r="567" spans="1:20" ht="15.6" customHeight="1" x14ac:dyDescent="0.3">
      <c r="A567" s="1">
        <v>69973</v>
      </c>
      <c r="B567" s="55" t="s">
        <v>1086</v>
      </c>
      <c r="C567" s="1" t="s">
        <v>1261</v>
      </c>
      <c r="D567" s="1" t="s">
        <v>628</v>
      </c>
      <c r="E567" s="1" t="s">
        <v>686</v>
      </c>
      <c r="F567" s="9"/>
      <c r="G567" s="9"/>
      <c r="H567" s="16" t="s">
        <v>345</v>
      </c>
      <c r="I567" s="9" t="b">
        <f t="shared" si="13"/>
        <v>0</v>
      </c>
      <c r="J567" s="1" t="s">
        <v>403</v>
      </c>
      <c r="K567" s="1" t="s">
        <v>278</v>
      </c>
      <c r="L567" s="1" t="s">
        <v>1735</v>
      </c>
      <c r="M567" s="9"/>
      <c r="N567" s="35" t="s">
        <v>1588</v>
      </c>
      <c r="O567" s="24">
        <v>5</v>
      </c>
      <c r="P567" s="2" cm="1">
        <f t="array" ref="P567">_xlfn.XLOOKUP(TRIM(B567),TRIM('[1]wc-product-export-16-3-2026-177'!$A:$A),'[1]wc-product-export-16-3-2026-177'!$D:$D,0,0)</f>
        <v>0</v>
      </c>
      <c r="Q567" s="2" cm="1">
        <f t="array" ref="Q567">IF(TRIM($D567)="SET",IF($K567="Steak Set1",ROUNDDOWN(IFERROR(MIN(_xlfn._xlws.FILTER(O$3:O$650,ISNUMBER(MATCH(TRIM($B$3:$B$650),TRIM(_xlfn.TEXTSPLIT($N567,",")),0)))),0)/4,0)+P567,IF(IFERROR(MIN(_xlfn._xlws.FILTER(O$3:O$650,ISNUMBER(MATCH(TRIM($B$3:$B$650),TRIM(_xlfn.TEXTSPLIT($N567,",")),0)))),0)&gt;=$E$1,IFERROR(MIN(_xlfn._xlws.FILTER(O$3:O$650,ISNUMBER(MATCH(TRIM($B$3:$B$650),TRIM(_xlfn.TEXTSPLIT($N567,",")),0)))),0)+P567,P567)),IF(TRIM($D567)="EA",IF(TRIM($E567)="M",ROUNDUP(O567*0.85,0),IF(TRIM($E567)="P",O567,P567)),P567))</f>
        <v>3</v>
      </c>
      <c r="T567" t="str" cm="1">
        <f t="array" ref="T567">IFERROR(IF(D567="SET",_xlfn.TEXTJOIN(", ",TRUE,_xlfn._xlws.FILTER(TRANSPOSE(TRIM(_xlfn.TEXTSPLIT(N567,","))),COUNTIFS(B$3:B$650,TRANSPOSE(TRIM(_xlfn.TEXTSPLIT(N567,","))),O$3:O$650,"&lt;="&amp;$T$1))),""),"")</f>
        <v>69910, 69923</v>
      </c>
    </row>
    <row r="568" spans="1:20" ht="15.6" customHeight="1" x14ac:dyDescent="0.3">
      <c r="A568" s="1">
        <v>69974</v>
      </c>
      <c r="B568" s="55" t="s">
        <v>1087</v>
      </c>
      <c r="C568" s="1" t="s">
        <v>1261</v>
      </c>
      <c r="D568" s="1" t="s">
        <v>628</v>
      </c>
      <c r="E568" s="1" t="s">
        <v>686</v>
      </c>
      <c r="F568" s="9"/>
      <c r="G568" s="9"/>
      <c r="H568" s="16" t="s">
        <v>343</v>
      </c>
      <c r="I568" s="9" t="b">
        <f t="shared" si="13"/>
        <v>0</v>
      </c>
      <c r="J568" s="1" t="s">
        <v>403</v>
      </c>
      <c r="K568" s="1" t="s">
        <v>277</v>
      </c>
      <c r="L568" s="1" t="s">
        <v>1739</v>
      </c>
      <c r="M568" s="9"/>
      <c r="N568" s="35" t="s">
        <v>1596</v>
      </c>
      <c r="O568" s="24">
        <v>4</v>
      </c>
      <c r="P568" s="2" cm="1">
        <f t="array" ref="P568">_xlfn.XLOOKUP(TRIM(B568),TRIM('[1]wc-product-export-16-3-2026-177'!$A:$A),'[1]wc-product-export-16-3-2026-177'!$D:$D,0,0)</f>
        <v>4</v>
      </c>
      <c r="Q568" s="2" cm="1">
        <f t="array" ref="Q568">IF(TRIM($D568)="SET",IF($K568="Steak Set1",ROUNDDOWN(IFERROR(MIN(_xlfn._xlws.FILTER(O$3:O$650,ISNUMBER(MATCH(TRIM($B$3:$B$650),TRIM(_xlfn.TEXTSPLIT($N568,",")),0)))),0)/4,0)+P568,IF(IFERROR(MIN(_xlfn._xlws.FILTER(O$3:O$650,ISNUMBER(MATCH(TRIM($B$3:$B$650),TRIM(_xlfn.TEXTSPLIT($N568,",")),0)))),0)&gt;=$E$1,IFERROR(MIN(_xlfn._xlws.FILTER(O$3:O$650,ISNUMBER(MATCH(TRIM($B$3:$B$650),TRIM(_xlfn.TEXTSPLIT($N568,",")),0)))),0)+P568,P568)),IF(TRIM($D568)="EA",IF(TRIM($E568)="M",ROUNDUP(O568*0.85,0),IF(TRIM($E568)="P",O568,P568)),P568))</f>
        <v>4</v>
      </c>
      <c r="T568" t="str" cm="1">
        <f t="array" ref="T568">IFERROR(IF(D568="SET",_xlfn.TEXTJOIN(", ",TRUE,_xlfn._xlws.FILTER(TRANSPOSE(TRIM(_xlfn.TEXTSPLIT(N568,","))),COUNTIFS(B$3:B$650,TRANSPOSE(TRIM(_xlfn.TEXTSPLIT(N568,","))),O$3:O$650,"&lt;="&amp;$T$1))),""),"")</f>
        <v>69959, 69960</v>
      </c>
    </row>
    <row r="569" spans="1:20" ht="15.6" customHeight="1" x14ac:dyDescent="0.3">
      <c r="A569" s="1">
        <v>69983</v>
      </c>
      <c r="B569" s="55" t="s">
        <v>1088</v>
      </c>
      <c r="C569" s="1" t="s">
        <v>1261</v>
      </c>
      <c r="D569" s="1" t="s">
        <v>628</v>
      </c>
      <c r="E569" s="1" t="s">
        <v>686</v>
      </c>
      <c r="F569" s="9"/>
      <c r="G569" s="9"/>
      <c r="H569" s="16" t="s">
        <v>571</v>
      </c>
      <c r="I569" s="9" t="b">
        <f t="shared" si="13"/>
        <v>0</v>
      </c>
      <c r="J569" s="1" t="s">
        <v>403</v>
      </c>
      <c r="K569" s="1" t="s">
        <v>1715</v>
      </c>
      <c r="L569" s="1" t="s">
        <v>1715</v>
      </c>
      <c r="M569" s="9"/>
      <c r="N569" s="35" t="s">
        <v>1569</v>
      </c>
      <c r="O569" s="24">
        <v>0</v>
      </c>
      <c r="P569" s="2" cm="1">
        <f t="array" ref="P569">_xlfn.XLOOKUP(TRIM(B569),TRIM('[1]wc-product-export-16-3-2026-177'!$A:$A),'[1]wc-product-export-16-3-2026-177'!$D:$D,0,0)</f>
        <v>0</v>
      </c>
      <c r="Q569" s="2" cm="1">
        <f t="array" ref="Q569">IF(TRIM($D569)="SET",IF($K569="Steak Set1",ROUNDDOWN(IFERROR(MIN(_xlfn._xlws.FILTER(O$3:O$650,ISNUMBER(MATCH(TRIM($B$3:$B$650),TRIM(_xlfn.TEXTSPLIT($N569,",")),0)))),0)/4,0)+P569,IF(IFERROR(MIN(_xlfn._xlws.FILTER(O$3:O$650,ISNUMBER(MATCH(TRIM($B$3:$B$650),TRIM(_xlfn.TEXTSPLIT($N569,",")),0)))),0)&gt;=$E$1,IFERROR(MIN(_xlfn._xlws.FILTER(O$3:O$650,ISNUMBER(MATCH(TRIM($B$3:$B$650),TRIM(_xlfn.TEXTSPLIT($N569,",")),0)))),0)+P569,P569)),IF(TRIM($D569)="EA",IF(TRIM($E569)="M",ROUNDUP(O569*0.85,0),IF(TRIM($E569)="P",O569,P569)),P569))</f>
        <v>0</v>
      </c>
      <c r="T569" t="str" cm="1">
        <f t="array" ref="T569">IFERROR(IF(D569="SET",_xlfn.TEXTJOIN(", ",TRUE,_xlfn._xlws.FILTER(TRANSPOSE(TRIM(_xlfn.TEXTSPLIT(N569,","))),COUNTIFS(B$3:B$650,TRANSPOSE(TRIM(_xlfn.TEXTSPLIT(N569,","))),O$3:O$650,"&lt;="&amp;$T$1))),""),"")</f>
        <v>69910, 69935, 69955</v>
      </c>
    </row>
    <row r="570" spans="1:20" ht="15.6" customHeight="1" x14ac:dyDescent="0.3">
      <c r="A570" s="1">
        <v>69984</v>
      </c>
      <c r="B570" s="55" t="s">
        <v>1089</v>
      </c>
      <c r="C570" s="1" t="s">
        <v>1261</v>
      </c>
      <c r="D570" s="1" t="s">
        <v>628</v>
      </c>
      <c r="E570" s="1" t="s">
        <v>686</v>
      </c>
      <c r="F570" s="9"/>
      <c r="G570" s="9"/>
      <c r="H570" s="16" t="s">
        <v>572</v>
      </c>
      <c r="I570" s="9" t="b">
        <f t="shared" si="13"/>
        <v>0</v>
      </c>
      <c r="J570" s="1" t="s">
        <v>403</v>
      </c>
      <c r="K570" s="1" t="s">
        <v>1716</v>
      </c>
      <c r="L570" s="1" t="s">
        <v>1716</v>
      </c>
      <c r="M570" s="9"/>
      <c r="N570" s="35" t="s">
        <v>1549</v>
      </c>
      <c r="O570" s="24">
        <v>0</v>
      </c>
      <c r="P570" s="2" cm="1">
        <f t="array" ref="P570">_xlfn.XLOOKUP(TRIM(B570),TRIM('[1]wc-product-export-16-3-2026-177'!$A:$A),'[1]wc-product-export-16-3-2026-177'!$D:$D,0,0)</f>
        <v>0</v>
      </c>
      <c r="Q570" s="2" cm="1">
        <f t="array" ref="Q570">IF(TRIM($D570)="SET",IF($K570="Steak Set1",ROUNDDOWN(IFERROR(MIN(_xlfn._xlws.FILTER(O$3:O$650,ISNUMBER(MATCH(TRIM($B$3:$B$650),TRIM(_xlfn.TEXTSPLIT($N570,",")),0)))),0)/4,0)+P570,IF(IFERROR(MIN(_xlfn._xlws.FILTER(O$3:O$650,ISNUMBER(MATCH(TRIM($B$3:$B$650),TRIM(_xlfn.TEXTSPLIT($N570,",")),0)))),0)&gt;=$E$1,IFERROR(MIN(_xlfn._xlws.FILTER(O$3:O$650,ISNUMBER(MATCH(TRIM($B$3:$B$650),TRIM(_xlfn.TEXTSPLIT($N570,",")),0)))),0)+P570,P570)),IF(TRIM($D570)="EA",IF(TRIM($E570)="M",ROUNDUP(O570*0.85,0),IF(TRIM($E570)="P",O570,P570)),P570))</f>
        <v>0</v>
      </c>
      <c r="T570" t="str" cm="1">
        <f t="array" ref="T570">IFERROR(IF(D570="SET",_xlfn.TEXTJOIN(", ",TRUE,_xlfn._xlws.FILTER(TRANSPOSE(TRIM(_xlfn.TEXTSPLIT(N570,","))),COUNTIFS(B$3:B$650,TRANSPOSE(TRIM(_xlfn.TEXTSPLIT(N570,","))),O$3:O$650,"&lt;="&amp;$T$1))),""),"")</f>
        <v>69910, 69935, 69955</v>
      </c>
    </row>
    <row r="571" spans="1:20" ht="15.6" customHeight="1" x14ac:dyDescent="0.3">
      <c r="A571" s="1">
        <v>69985</v>
      </c>
      <c r="B571" s="55" t="s">
        <v>1090</v>
      </c>
      <c r="C571" s="1" t="s">
        <v>1261</v>
      </c>
      <c r="D571" s="1" t="s">
        <v>628</v>
      </c>
      <c r="E571" s="1" t="s">
        <v>686</v>
      </c>
      <c r="F571" s="9" t="s">
        <v>1608</v>
      </c>
      <c r="G571" s="9"/>
      <c r="H571" s="16" t="s">
        <v>591</v>
      </c>
      <c r="I571" s="9" t="b">
        <f t="shared" si="13"/>
        <v>0</v>
      </c>
      <c r="J571" s="1" t="s">
        <v>403</v>
      </c>
      <c r="K571" s="1" t="s">
        <v>1714</v>
      </c>
      <c r="L571" s="1" t="s">
        <v>1720</v>
      </c>
      <c r="M571" s="9">
        <v>2</v>
      </c>
      <c r="N571" s="35" t="s">
        <v>1550</v>
      </c>
      <c r="O571" s="24">
        <v>0</v>
      </c>
      <c r="P571" s="2" cm="1">
        <f t="array" ref="P571">_xlfn.XLOOKUP(TRIM(B571),TRIM('[1]wc-product-export-16-3-2026-177'!$A:$A),'[1]wc-product-export-16-3-2026-177'!$D:$D,0,0)</f>
        <v>0</v>
      </c>
      <c r="Q571" s="66" cm="1">
        <f t="array" ref="Q571">_xlfn.LET(_xlpm.items,TRIM(_xlfn.TEXTSPLIT($N571,",")),_xlpm.codes,TRIM($B$3:$B$650),_xlpm.qty,$O$3:$O$650,_xlpm.setMask,ISNUMBER(MATCH(_xlpm.codes,_xlpm.items,0)),_xlpm.knifeType,IF(ISNUMBER(SEARCH("fine",$H571)),"15",IF(ISNUMBER(SEARCH("serr",$H571)),"20","")),_xlpm.knifeStock,IFERROR(MIN(IF(_xlpm.setMask*(RIGHT(_xlpm.codes,2)=_xlpm.knifeType),_xlpm.qty)),0),_xlpm.otherStock,IFERROR(MIN(IF(_xlpm.setMask*(RIGHT(_xlpm.codes,2)&lt;&gt;_xlpm.knifeType),_xlpm.qty)),0),IF(_xlpm.knifeStock&gt;=8,MIN(ROUNDDOWN(_xlpm.knifeStock/8,0),_xlpm.otherStock),0)+P571)</f>
        <v>0</v>
      </c>
      <c r="T571" t="str" cm="1">
        <f t="array" ref="T571">IFERROR(IF(D571="SET",_xlfn.TEXTJOIN(", ",TRUE,_xlfn._xlws.FILTER(TRANSPOSE(TRIM(_xlfn.TEXTSPLIT(N571,","))),COUNTIFS(B$3:B$650,TRANSPOSE(TRIM(_xlfn.TEXTSPLIT(N571,","))),O$3:O$650,"&lt;="&amp;$T$1))),""),"")</f>
        <v>69955, 69960, 69910, 69920, 69935</v>
      </c>
    </row>
    <row r="572" spans="1:20" ht="15.6" customHeight="1" x14ac:dyDescent="0.3">
      <c r="A572" s="1">
        <v>69986</v>
      </c>
      <c r="B572" s="55" t="s">
        <v>1091</v>
      </c>
      <c r="C572" s="1" t="s">
        <v>1261</v>
      </c>
      <c r="D572" s="1" t="s">
        <v>628</v>
      </c>
      <c r="E572" s="1" t="s">
        <v>686</v>
      </c>
      <c r="F572" s="9"/>
      <c r="G572" s="9"/>
      <c r="H572" s="16" t="s">
        <v>573</v>
      </c>
      <c r="I572" s="9" t="b">
        <f t="shared" si="13"/>
        <v>0</v>
      </c>
      <c r="J572" s="1" t="s">
        <v>403</v>
      </c>
      <c r="K572" s="1" t="s">
        <v>1714</v>
      </c>
      <c r="L572" s="1" t="s">
        <v>1720</v>
      </c>
      <c r="M572" s="9">
        <v>2</v>
      </c>
      <c r="N572" s="35" t="s">
        <v>1570</v>
      </c>
      <c r="O572" s="24">
        <v>0</v>
      </c>
      <c r="P572" s="2" cm="1">
        <f t="array" ref="P572">_xlfn.XLOOKUP(TRIM(B572),TRIM('[1]wc-product-export-16-3-2026-177'!$A:$A),'[1]wc-product-export-16-3-2026-177'!$D:$D,0,0)</f>
        <v>0</v>
      </c>
      <c r="Q572" s="66" cm="1">
        <f t="array" ref="Q572">_xlfn.LET(_xlpm.items,TRIM(_xlfn.TEXTSPLIT($N572,",")),_xlpm.codes,TRIM($B$3:$B$650),_xlpm.qty,$O$3:$O$650,_xlpm.setMask,ISNUMBER(MATCH(_xlpm.codes,_xlpm.items,0)),_xlpm.knifeType,IF(ISNUMBER(SEARCH("fine",$H572)),"15",IF(ISNUMBER(SEARCH("serr",$H572)),"20","")),_xlpm.knifeStock,IFERROR(MIN(IF(_xlpm.setMask*(RIGHT(_xlpm.codes,2)=_xlpm.knifeType),_xlpm.qty)),0),_xlpm.otherStock,IFERROR(MIN(IF(_xlpm.setMask*(RIGHT(_xlpm.codes,2)&lt;&gt;_xlpm.knifeType),_xlpm.qty)),0),IF(_xlpm.knifeStock&gt;=8,MIN(ROUNDDOWN(_xlpm.knifeStock/8,0),_xlpm.otherStock),0)+P572)</f>
        <v>0</v>
      </c>
      <c r="T572" t="str" cm="1">
        <f t="array" ref="T572">IFERROR(IF(D572="SET",_xlfn.TEXTJOIN(", ",TRUE,_xlfn._xlws.FILTER(TRANSPOSE(TRIM(_xlfn.TEXTSPLIT(N572,","))),COUNTIFS(B$3:B$650,TRANSPOSE(TRIM(_xlfn.TEXTSPLIT(N572,","))),O$3:O$650,"&lt;="&amp;$T$1))),""),"")</f>
        <v>69955, 69960, 69910, 69915, 69935</v>
      </c>
    </row>
    <row r="573" spans="1:20" ht="15.6" customHeight="1" x14ac:dyDescent="0.3">
      <c r="A573" s="1">
        <v>69987</v>
      </c>
      <c r="B573" s="55" t="s">
        <v>1092</v>
      </c>
      <c r="C573" s="1" t="s">
        <v>1261</v>
      </c>
      <c r="D573" s="1" t="s">
        <v>628</v>
      </c>
      <c r="E573" s="1" t="s">
        <v>686</v>
      </c>
      <c r="F573" s="9"/>
      <c r="G573" s="9"/>
      <c r="H573" s="16" t="s">
        <v>592</v>
      </c>
      <c r="I573" s="9" t="b">
        <f t="shared" si="13"/>
        <v>0</v>
      </c>
      <c r="J573" s="1" t="s">
        <v>403</v>
      </c>
      <c r="K573" s="1" t="s">
        <v>1714</v>
      </c>
      <c r="L573" s="1" t="s">
        <v>1719</v>
      </c>
      <c r="M573" s="9">
        <v>2</v>
      </c>
      <c r="N573" s="35" t="s">
        <v>1557</v>
      </c>
      <c r="O573" s="24">
        <v>0</v>
      </c>
      <c r="P573" s="2" cm="1">
        <f t="array" ref="P573">_xlfn.XLOOKUP(TRIM(B573),TRIM('[1]wc-product-export-16-3-2026-177'!$A:$A),'[1]wc-product-export-16-3-2026-177'!$D:$D,0,0)</f>
        <v>0</v>
      </c>
      <c r="Q573" s="66" cm="1">
        <f t="array" ref="Q573">_xlfn.LET(_xlpm.items,TRIM(_xlfn.TEXTSPLIT($N573,",")),_xlpm.codes,TRIM($B$3:$B$650),_xlpm.qty,$O$3:$O$650,_xlpm.setMask,ISNUMBER(MATCH(_xlpm.codes,_xlpm.items,0)),_xlpm.knifeType,IF(ISNUMBER(SEARCH("fine",$H573)),"15",IF(ISNUMBER(SEARCH("serr",$H573)),"20","")),_xlpm.knifeStock,IFERROR(MIN(IF(_xlpm.setMask*(RIGHT(_xlpm.codes,2)=_xlpm.knifeType),_xlpm.qty)),0),_xlpm.otherStock,IFERROR(MIN(IF(_xlpm.setMask*(RIGHT(_xlpm.codes,2)&lt;&gt;_xlpm.knifeType),_xlpm.qty)),0),IF(_xlpm.knifeStock&gt;=8,MIN(ROUNDDOWN(_xlpm.knifeStock/8,0),_xlpm.otherStock),0)+P573)</f>
        <v>0</v>
      </c>
      <c r="T573" t="str" cm="1">
        <f t="array" ref="T573">IFERROR(IF(D573="SET",_xlfn.TEXTJOIN(", ",TRUE,_xlfn._xlws.FILTER(TRANSPOSE(TRIM(_xlfn.TEXTSPLIT(N573,","))),COUNTIFS(B$3:B$650,TRANSPOSE(TRIM(_xlfn.TEXTSPLIT(N573,","))),O$3:O$650,"&lt;="&amp;$T$1))),""),"")</f>
        <v>69910, 69935, 69938, 69960, 69943, 69920</v>
      </c>
    </row>
    <row r="574" spans="1:20" ht="15.6" customHeight="1" x14ac:dyDescent="0.3">
      <c r="A574" s="1">
        <v>69988</v>
      </c>
      <c r="B574" s="55" t="s">
        <v>1093</v>
      </c>
      <c r="C574" s="1" t="s">
        <v>1261</v>
      </c>
      <c r="D574" s="1" t="s">
        <v>628</v>
      </c>
      <c r="E574" s="1" t="s">
        <v>686</v>
      </c>
      <c r="F574" s="9" t="s">
        <v>1608</v>
      </c>
      <c r="G574" s="9"/>
      <c r="H574" s="16" t="s">
        <v>574</v>
      </c>
      <c r="I574" s="9" t="b">
        <f t="shared" si="13"/>
        <v>0</v>
      </c>
      <c r="J574" s="1" t="s">
        <v>403</v>
      </c>
      <c r="K574" s="1" t="s">
        <v>1714</v>
      </c>
      <c r="L574" s="1" t="s">
        <v>1719</v>
      </c>
      <c r="M574" s="9">
        <v>2</v>
      </c>
      <c r="N574" s="35" t="s">
        <v>1708</v>
      </c>
      <c r="O574" s="24">
        <v>0</v>
      </c>
      <c r="P574" s="2" cm="1">
        <f t="array" ref="P574">_xlfn.XLOOKUP(TRIM(B574),TRIM('[1]wc-product-export-16-3-2026-177'!$A:$A),'[1]wc-product-export-16-3-2026-177'!$D:$D,0,0)</f>
        <v>0</v>
      </c>
      <c r="Q574" s="66" cm="1">
        <f t="array" ref="Q574">_xlfn.LET(_xlpm.items,TRIM(_xlfn.TEXTSPLIT($N574,",")),_xlpm.codes,TRIM($B$3:$B$650),_xlpm.qty,$O$3:$O$650,_xlpm.setMask,ISNUMBER(MATCH(_xlpm.codes,_xlpm.items,0)),_xlpm.knifeType,IF(ISNUMBER(SEARCH("fine",$H574)),"15",IF(ISNUMBER(SEARCH("serr",$H574)),"20","")),_xlpm.knifeStock,IFERROR(MIN(IF(_xlpm.setMask*(RIGHT(_xlpm.codes,2)=_xlpm.knifeType),_xlpm.qty)),0),_xlpm.otherStock,IFERROR(MIN(IF(_xlpm.setMask*(RIGHT(_xlpm.codes,2)&lt;&gt;_xlpm.knifeType),_xlpm.qty)),0),IF(_xlpm.knifeStock&gt;=8,MIN(ROUNDDOWN(_xlpm.knifeStock/8,0),_xlpm.otherStock),0)+P574)</f>
        <v>0</v>
      </c>
      <c r="T574" t="str" cm="1">
        <f t="array" ref="T574">IFERROR(IF(D574="SET",_xlfn.TEXTJOIN(", ",TRUE,_xlfn._xlws.FILTER(TRANSPOSE(TRIM(_xlfn.TEXTSPLIT(N574,","))),COUNTIFS(B$3:B$650,TRANSPOSE(TRIM(_xlfn.TEXTSPLIT(N574,","))),O$3:O$650,"&lt;="&amp;$T$1))),""),"")</f>
        <v>69935, 69938, 69960, 69943, 69915, 69910</v>
      </c>
    </row>
    <row r="575" spans="1:20" ht="15.6" customHeight="1" x14ac:dyDescent="0.3">
      <c r="A575" s="1">
        <v>69989</v>
      </c>
      <c r="B575" s="55" t="s">
        <v>1094</v>
      </c>
      <c r="C575" s="1" t="s">
        <v>1261</v>
      </c>
      <c r="D575" s="1" t="s">
        <v>628</v>
      </c>
      <c r="E575" s="1" t="s">
        <v>686</v>
      </c>
      <c r="F575" s="9"/>
      <c r="G575" s="9"/>
      <c r="H575" s="16" t="s">
        <v>349</v>
      </c>
      <c r="I575" s="9" t="b">
        <f t="shared" si="13"/>
        <v>0</v>
      </c>
      <c r="J575" s="1" t="s">
        <v>403</v>
      </c>
      <c r="K575" s="1" t="s">
        <v>1715</v>
      </c>
      <c r="L575" s="1" t="s">
        <v>1715</v>
      </c>
      <c r="M575" s="9"/>
      <c r="N575" s="35" t="s">
        <v>1569</v>
      </c>
      <c r="O575" s="24">
        <v>0</v>
      </c>
      <c r="P575" s="2" cm="1">
        <f t="array" ref="P575">_xlfn.XLOOKUP(TRIM(B575),TRIM('[1]wc-product-export-16-3-2026-177'!$A:$A),'[1]wc-product-export-16-3-2026-177'!$D:$D,0,0)</f>
        <v>0</v>
      </c>
      <c r="Q575" s="2" cm="1">
        <f t="array" ref="Q575">IF(TRIM($D575)="SET",IF($K575="Steak Set1",ROUNDDOWN(IFERROR(MIN(_xlfn._xlws.FILTER(O$3:O$650,ISNUMBER(MATCH(TRIM($B$3:$B$650),TRIM(_xlfn.TEXTSPLIT($N575,",")),0)))),0)/4,0)+P575,IF(IFERROR(MIN(_xlfn._xlws.FILTER(O$3:O$650,ISNUMBER(MATCH(TRIM($B$3:$B$650),TRIM(_xlfn.TEXTSPLIT($N575,",")),0)))),0)&gt;=$E$1,IFERROR(MIN(_xlfn._xlws.FILTER(O$3:O$650,ISNUMBER(MATCH(TRIM($B$3:$B$650),TRIM(_xlfn.TEXTSPLIT($N575,",")),0)))),0)+P575,P575)),IF(TRIM($D575)="EA",IF(TRIM($E575)="M",ROUNDUP(O575*0.85,0),IF(TRIM($E575)="P",O575,P575)),P575))</f>
        <v>0</v>
      </c>
      <c r="T575" t="str" cm="1">
        <f t="array" ref="T575">IFERROR(IF(D575="SET",_xlfn.TEXTJOIN(", ",TRUE,_xlfn._xlws.FILTER(TRANSPOSE(TRIM(_xlfn.TEXTSPLIT(N575,","))),COUNTIFS(B$3:B$650,TRANSPOSE(TRIM(_xlfn.TEXTSPLIT(N575,","))),O$3:O$650,"&lt;="&amp;$T$1))),""),"")</f>
        <v>69910, 69935, 69955</v>
      </c>
    </row>
    <row r="576" spans="1:20" ht="15.6" customHeight="1" x14ac:dyDescent="0.3">
      <c r="A576" s="1">
        <v>69990</v>
      </c>
      <c r="B576" s="55" t="s">
        <v>1095</v>
      </c>
      <c r="C576" s="1" t="s">
        <v>1261</v>
      </c>
      <c r="D576" s="1" t="s">
        <v>628</v>
      </c>
      <c r="E576" s="1" t="s">
        <v>686</v>
      </c>
      <c r="F576" s="9"/>
      <c r="G576" s="9"/>
      <c r="H576" s="16" t="s">
        <v>350</v>
      </c>
      <c r="I576" s="9" t="b">
        <f t="shared" si="13"/>
        <v>0</v>
      </c>
      <c r="J576" s="1" t="s">
        <v>403</v>
      </c>
      <c r="K576" s="1" t="s">
        <v>1716</v>
      </c>
      <c r="L576" s="1" t="s">
        <v>1716</v>
      </c>
      <c r="M576" s="9"/>
      <c r="N576" s="35" t="s">
        <v>1549</v>
      </c>
      <c r="O576" s="24">
        <v>1</v>
      </c>
      <c r="P576" s="2" cm="1">
        <f t="array" ref="P576">_xlfn.XLOOKUP(TRIM(B576),TRIM('[1]wc-product-export-16-3-2026-177'!$A:$A),'[1]wc-product-export-16-3-2026-177'!$D:$D,0,0)</f>
        <v>1</v>
      </c>
      <c r="Q576" s="2" cm="1">
        <f t="array" ref="Q576">IF(TRIM($D576)="SET",IF($K576="Steak Set1",ROUNDDOWN(IFERROR(MIN(_xlfn._xlws.FILTER(O$3:O$650,ISNUMBER(MATCH(TRIM($B$3:$B$650),TRIM(_xlfn.TEXTSPLIT($N576,",")),0)))),0)/4,0)+P576,IF(IFERROR(MIN(_xlfn._xlws.FILTER(O$3:O$650,ISNUMBER(MATCH(TRIM($B$3:$B$650),TRIM(_xlfn.TEXTSPLIT($N576,",")),0)))),0)&gt;=$E$1,IFERROR(MIN(_xlfn._xlws.FILTER(O$3:O$650,ISNUMBER(MATCH(TRIM($B$3:$B$650),TRIM(_xlfn.TEXTSPLIT($N576,",")),0)))),0)+P576,P576)),IF(TRIM($D576)="EA",IF(TRIM($E576)="M",ROUNDUP(O576*0.85,0),IF(TRIM($E576)="P",O576,P576)),P576))</f>
        <v>1</v>
      </c>
      <c r="T576" t="str" cm="1">
        <f t="array" ref="T576">IFERROR(IF(D576="SET",_xlfn.TEXTJOIN(", ",TRUE,_xlfn._xlws.FILTER(TRANSPOSE(TRIM(_xlfn.TEXTSPLIT(N576,","))),COUNTIFS(B$3:B$650,TRANSPOSE(TRIM(_xlfn.TEXTSPLIT(N576,","))),O$3:O$650,"&lt;="&amp;$T$1))),""),"")</f>
        <v>69910, 69935, 69955</v>
      </c>
    </row>
    <row r="577" spans="1:20" ht="15.6" customHeight="1" x14ac:dyDescent="0.3">
      <c r="A577" s="1">
        <v>69992</v>
      </c>
      <c r="B577" s="55" t="s">
        <v>1096</v>
      </c>
      <c r="C577" s="1" t="s">
        <v>1261</v>
      </c>
      <c r="D577" s="1" t="s">
        <v>628</v>
      </c>
      <c r="E577" s="1" t="s">
        <v>686</v>
      </c>
      <c r="F577" s="9"/>
      <c r="G577" s="9"/>
      <c r="H577" s="16" t="s">
        <v>347</v>
      </c>
      <c r="I577" s="9" t="b">
        <f t="shared" si="13"/>
        <v>0</v>
      </c>
      <c r="J577" s="1" t="s">
        <v>403</v>
      </c>
      <c r="K577" s="1" t="s">
        <v>1712</v>
      </c>
      <c r="L577" s="1" t="s">
        <v>1737</v>
      </c>
      <c r="M577" s="9"/>
      <c r="N577" s="35" t="s">
        <v>1058</v>
      </c>
      <c r="O577" s="24">
        <v>0</v>
      </c>
      <c r="P577" s="2" cm="1">
        <f t="array" ref="P577">_xlfn.XLOOKUP(TRIM(B577),TRIM('[1]wc-product-export-16-3-2026-177'!$A:$A),'[1]wc-product-export-16-3-2026-177'!$D:$D,0,0)</f>
        <v>0</v>
      </c>
      <c r="Q577" s="2" cm="1">
        <f t="array" ref="Q577">IF(TRIM($D577)="SET",IF($K577="Steak Set1",ROUNDDOWN(IFERROR(MIN(_xlfn._xlws.FILTER(O$3:O$650,ISNUMBER(MATCH(TRIM($B$3:$B$650),TRIM(_xlfn.TEXTSPLIT($N577,",")),0)))),0)/4,0)+P577,IF(IFERROR(MIN(_xlfn._xlws.FILTER(O$3:O$650,ISNUMBER(MATCH(TRIM($B$3:$B$650),TRIM(_xlfn.TEXTSPLIT($N577,",")),0)))),0)&gt;=$E$1,IFERROR(MIN(_xlfn._xlws.FILTER(O$3:O$650,ISNUMBER(MATCH(TRIM($B$3:$B$650),TRIM(_xlfn.TEXTSPLIT($N577,",")),0)))),0)+P577,P577)),IF(TRIM($D577)="EA",IF(TRIM($E577)="M",ROUNDUP(O577*0.85,0),IF(TRIM($E577)="P",O577,P577)),P577))</f>
        <v>0</v>
      </c>
      <c r="T577" t="str" cm="1">
        <f t="array" ref="T577">IFERROR(IF(D577="SET",_xlfn.TEXTJOIN(", ",TRUE,_xlfn._xlws.FILTER(TRANSPOSE(TRIM(_xlfn.TEXTSPLIT(N577,","))),COUNTIFS(B$3:B$650,TRANSPOSE(TRIM(_xlfn.TEXTSPLIT(N577,","))),O$3:O$650,"&lt;="&amp;$T$1))),""),"")</f>
        <v>69915</v>
      </c>
    </row>
    <row r="578" spans="1:20" ht="15.6" customHeight="1" x14ac:dyDescent="0.3">
      <c r="A578" s="1" t="s">
        <v>1097</v>
      </c>
      <c r="B578" s="55" t="s">
        <v>1097</v>
      </c>
      <c r="C578" s="1" t="s">
        <v>1261</v>
      </c>
      <c r="D578" s="1" t="s">
        <v>628</v>
      </c>
      <c r="E578" s="1" t="s">
        <v>686</v>
      </c>
      <c r="F578" s="9" t="s">
        <v>1608</v>
      </c>
      <c r="G578" s="9"/>
      <c r="H578" s="16" t="s">
        <v>593</v>
      </c>
      <c r="I578" s="9" t="b">
        <f t="shared" si="13"/>
        <v>0</v>
      </c>
      <c r="J578" s="1" t="s">
        <v>403</v>
      </c>
      <c r="K578" s="1" t="s">
        <v>1714</v>
      </c>
      <c r="L578" s="1" t="s">
        <v>1720</v>
      </c>
      <c r="M578" s="9">
        <v>2</v>
      </c>
      <c r="N578" s="35" t="s">
        <v>1550</v>
      </c>
      <c r="O578" s="24">
        <v>0</v>
      </c>
      <c r="P578" s="2" cm="1">
        <f t="array" ref="P578">_xlfn.XLOOKUP(TRIM(B578),TRIM('[1]wc-product-export-16-3-2026-177'!$A:$A),'[1]wc-product-export-16-3-2026-177'!$D:$D,0,0)</f>
        <v>0</v>
      </c>
      <c r="Q578" s="66" cm="1">
        <f t="array" ref="Q578">_xlfn.LET(_xlpm.items,TRIM(_xlfn.TEXTSPLIT($N578,",")),_xlpm.codes,TRIM($B$3:$B$650),_xlpm.qty,$O$3:$O$650,_xlpm.setMask,ISNUMBER(MATCH(_xlpm.codes,_xlpm.items,0)),_xlpm.knifeType,IF(ISNUMBER(SEARCH("fine",$H578)),"15",IF(ISNUMBER(SEARCH("serr",$H578)),"20","")),_xlpm.knifeStock,IFERROR(MIN(IF(_xlpm.setMask*(RIGHT(_xlpm.codes,2)=_xlpm.knifeType),_xlpm.qty)),0),_xlpm.otherStock,IFERROR(MIN(IF(_xlpm.setMask*(RIGHT(_xlpm.codes,2)&lt;&gt;_xlpm.knifeType),_xlpm.qty)),0),IF(_xlpm.knifeStock&gt;=8,MIN(ROUNDDOWN(_xlpm.knifeStock/8,0),_xlpm.otherStock),0)+P578)</f>
        <v>0</v>
      </c>
      <c r="T578" t="str" cm="1">
        <f t="array" ref="T578">IFERROR(IF(D578="SET",_xlfn.TEXTJOIN(", ",TRUE,_xlfn._xlws.FILTER(TRANSPOSE(TRIM(_xlfn.TEXTSPLIT(N578,","))),COUNTIFS(B$3:B$650,TRANSPOSE(TRIM(_xlfn.TEXTSPLIT(N578,","))),O$3:O$650,"&lt;="&amp;$T$1))),""),"")</f>
        <v>69955, 69960, 69910, 69920, 69935</v>
      </c>
    </row>
    <row r="579" spans="1:20" ht="15.6" customHeight="1" x14ac:dyDescent="0.3">
      <c r="A579" s="1">
        <v>69996</v>
      </c>
      <c r="B579" s="55" t="s">
        <v>1098</v>
      </c>
      <c r="C579" s="1" t="s">
        <v>1261</v>
      </c>
      <c r="D579" s="1" t="s">
        <v>628</v>
      </c>
      <c r="E579" s="1" t="s">
        <v>686</v>
      </c>
      <c r="F579" s="9"/>
      <c r="G579" s="9"/>
      <c r="H579" s="16" t="s">
        <v>351</v>
      </c>
      <c r="I579" s="9" t="b">
        <f t="shared" si="13"/>
        <v>0</v>
      </c>
      <c r="J579" s="1" t="s">
        <v>403</v>
      </c>
      <c r="K579" s="1" t="s">
        <v>1714</v>
      </c>
      <c r="L579" s="1" t="s">
        <v>1720</v>
      </c>
      <c r="M579" s="9">
        <v>2</v>
      </c>
      <c r="N579" s="35" t="s">
        <v>1570</v>
      </c>
      <c r="O579" s="24">
        <v>0</v>
      </c>
      <c r="P579" s="2" cm="1">
        <f t="array" ref="P579">_xlfn.XLOOKUP(TRIM(B579),TRIM('[1]wc-product-export-16-3-2026-177'!$A:$A),'[1]wc-product-export-16-3-2026-177'!$D:$D,0,0)</f>
        <v>0</v>
      </c>
      <c r="Q579" s="66" cm="1">
        <f t="array" ref="Q579">_xlfn.LET(_xlpm.items,TRIM(_xlfn.TEXTSPLIT($N579,",")),_xlpm.codes,TRIM($B$3:$B$650),_xlpm.qty,$O$3:$O$650,_xlpm.setMask,ISNUMBER(MATCH(_xlpm.codes,_xlpm.items,0)),_xlpm.knifeType,IF(ISNUMBER(SEARCH("fine",$H579)),"15",IF(ISNUMBER(SEARCH("serr",$H579)),"20","")),_xlpm.knifeStock,IFERROR(MIN(IF(_xlpm.setMask*(RIGHT(_xlpm.codes,2)=_xlpm.knifeType),_xlpm.qty)),0),_xlpm.otherStock,IFERROR(MIN(IF(_xlpm.setMask*(RIGHT(_xlpm.codes,2)&lt;&gt;_xlpm.knifeType),_xlpm.qty)),0),IF(_xlpm.knifeStock&gt;=8,MIN(ROUNDDOWN(_xlpm.knifeStock/8,0),_xlpm.otherStock),0)+P579)</f>
        <v>0</v>
      </c>
      <c r="T579" t="str" cm="1">
        <f t="array" ref="T579">IFERROR(IF(D579="SET",_xlfn.TEXTJOIN(", ",TRUE,_xlfn._xlws.FILTER(TRANSPOSE(TRIM(_xlfn.TEXTSPLIT(N579,","))),COUNTIFS(B$3:B$650,TRANSPOSE(TRIM(_xlfn.TEXTSPLIT(N579,","))),O$3:O$650,"&lt;="&amp;$T$1))),""),"")</f>
        <v>69955, 69960, 69910, 69915, 69935</v>
      </c>
    </row>
    <row r="580" spans="1:20" ht="15.6" customHeight="1" x14ac:dyDescent="0.3">
      <c r="A580" s="1">
        <v>69997</v>
      </c>
      <c r="B580" s="55" t="s">
        <v>1099</v>
      </c>
      <c r="C580" s="1" t="s">
        <v>1261</v>
      </c>
      <c r="D580" s="1" t="s">
        <v>628</v>
      </c>
      <c r="E580" s="1" t="s">
        <v>686</v>
      </c>
      <c r="F580" s="9"/>
      <c r="G580" s="9"/>
      <c r="H580" s="16" t="s">
        <v>594</v>
      </c>
      <c r="I580" s="9" t="b">
        <f t="shared" si="13"/>
        <v>0</v>
      </c>
      <c r="J580" s="1" t="s">
        <v>403</v>
      </c>
      <c r="K580" s="1" t="s">
        <v>1714</v>
      </c>
      <c r="L580" s="1" t="s">
        <v>1719</v>
      </c>
      <c r="M580" s="9">
        <v>2</v>
      </c>
      <c r="N580" s="35" t="s">
        <v>1557</v>
      </c>
      <c r="O580" s="24">
        <v>0</v>
      </c>
      <c r="P580" s="2" cm="1">
        <f t="array" ref="P580">_xlfn.XLOOKUP(TRIM(B580),TRIM('[1]wc-product-export-16-3-2026-177'!$A:$A),'[1]wc-product-export-16-3-2026-177'!$D:$D,0,0)</f>
        <v>0</v>
      </c>
      <c r="Q580" s="66" cm="1">
        <f t="array" ref="Q580">_xlfn.LET(_xlpm.items,TRIM(_xlfn.TEXTSPLIT($N580,",")),_xlpm.codes,TRIM($B$3:$B$650),_xlpm.qty,$O$3:$O$650,_xlpm.setMask,ISNUMBER(MATCH(_xlpm.codes,_xlpm.items,0)),_xlpm.knifeType,IF(ISNUMBER(SEARCH("fine",$H580)),"15",IF(ISNUMBER(SEARCH("serr",$H580)),"20","")),_xlpm.knifeStock,IFERROR(MIN(IF(_xlpm.setMask*(RIGHT(_xlpm.codes,2)=_xlpm.knifeType),_xlpm.qty)),0),_xlpm.otherStock,IFERROR(MIN(IF(_xlpm.setMask*(RIGHT(_xlpm.codes,2)&lt;&gt;_xlpm.knifeType),_xlpm.qty)),0),IF(_xlpm.knifeStock&gt;=8,MIN(ROUNDDOWN(_xlpm.knifeStock/8,0),_xlpm.otherStock),0)+P580)</f>
        <v>0</v>
      </c>
      <c r="T580" t="str" cm="1">
        <f t="array" ref="T580">IFERROR(IF(D580="SET",_xlfn.TEXTJOIN(", ",TRUE,_xlfn._xlws.FILTER(TRANSPOSE(TRIM(_xlfn.TEXTSPLIT(N580,","))),COUNTIFS(B$3:B$650,TRANSPOSE(TRIM(_xlfn.TEXTSPLIT(N580,","))),O$3:O$650,"&lt;="&amp;$T$1))),""),"")</f>
        <v>69910, 69935, 69938, 69960, 69943, 69920</v>
      </c>
    </row>
    <row r="581" spans="1:20" ht="15.6" customHeight="1" x14ac:dyDescent="0.3">
      <c r="A581" s="1">
        <v>69998</v>
      </c>
      <c r="B581" s="55" t="s">
        <v>1100</v>
      </c>
      <c r="C581" s="1" t="s">
        <v>1261</v>
      </c>
      <c r="D581" s="1" t="s">
        <v>628</v>
      </c>
      <c r="E581" s="1" t="s">
        <v>686</v>
      </c>
      <c r="F581" s="9" t="s">
        <v>1608</v>
      </c>
      <c r="G581" s="9"/>
      <c r="H581" s="16" t="s">
        <v>352</v>
      </c>
      <c r="I581" s="9" t="b">
        <f t="shared" si="13"/>
        <v>0</v>
      </c>
      <c r="J581" s="1" t="s">
        <v>403</v>
      </c>
      <c r="K581" s="1" t="s">
        <v>1714</v>
      </c>
      <c r="L581" s="1" t="s">
        <v>1719</v>
      </c>
      <c r="M581" s="9">
        <v>2</v>
      </c>
      <c r="N581" s="35" t="s">
        <v>1708</v>
      </c>
      <c r="O581" s="24">
        <v>0</v>
      </c>
      <c r="P581" s="2" cm="1">
        <f t="array" ref="P581">_xlfn.XLOOKUP(TRIM(B581),TRIM('[1]wc-product-export-16-3-2026-177'!$A:$A),'[1]wc-product-export-16-3-2026-177'!$D:$D,0,0)</f>
        <v>0</v>
      </c>
      <c r="Q581" s="66" cm="1">
        <f t="array" ref="Q581">_xlfn.LET(_xlpm.items,TRIM(_xlfn.TEXTSPLIT($N581,",")),_xlpm.codes,TRIM($B$3:$B$650),_xlpm.qty,$O$3:$O$650,_xlpm.setMask,ISNUMBER(MATCH(_xlpm.codes,_xlpm.items,0)),_xlpm.knifeType,IF(ISNUMBER(SEARCH("fine",$H581)),"15",IF(ISNUMBER(SEARCH("serr",$H581)),"20","")),_xlpm.knifeStock,IFERROR(MIN(IF(_xlpm.setMask*(RIGHT(_xlpm.codes,2)=_xlpm.knifeType),_xlpm.qty)),0),_xlpm.otherStock,IFERROR(MIN(IF(_xlpm.setMask*(RIGHT(_xlpm.codes,2)&lt;&gt;_xlpm.knifeType),_xlpm.qty)),0),IF(_xlpm.knifeStock&gt;=8,MIN(ROUNDDOWN(_xlpm.knifeStock/8,0),_xlpm.otherStock),0)+P581)</f>
        <v>0</v>
      </c>
      <c r="T581" t="str" cm="1">
        <f t="array" ref="T581">IFERROR(IF(D581="SET",_xlfn.TEXTJOIN(", ",TRUE,_xlfn._xlws.FILTER(TRANSPOSE(TRIM(_xlfn.TEXTSPLIT(N581,","))),COUNTIFS(B$3:B$650,TRANSPOSE(TRIM(_xlfn.TEXTSPLIT(N581,","))),O$3:O$650,"&lt;="&amp;$T$1))),""),"")</f>
        <v>69935, 69938, 69960, 69943, 69915, 69910</v>
      </c>
    </row>
    <row r="582" spans="1:20" ht="15.6" customHeight="1" x14ac:dyDescent="0.3">
      <c r="A582" s="1">
        <v>79900</v>
      </c>
      <c r="B582" s="55" t="s">
        <v>1101</v>
      </c>
      <c r="C582" s="1" t="s">
        <v>1260</v>
      </c>
      <c r="D582" s="1" t="s">
        <v>624</v>
      </c>
      <c r="E582" s="1" t="s">
        <v>686</v>
      </c>
      <c r="F582" s="9"/>
      <c r="G582" s="9"/>
      <c r="H582" s="16" t="s">
        <v>164</v>
      </c>
      <c r="I582" s="9" t="b">
        <f t="shared" si="13"/>
        <v>0</v>
      </c>
      <c r="J582" s="1" t="s">
        <v>404</v>
      </c>
      <c r="K582" s="1" t="s">
        <v>265</v>
      </c>
      <c r="L582" s="1" t="s">
        <v>265</v>
      </c>
      <c r="M582" s="9"/>
      <c r="N582" s="35"/>
      <c r="O582" s="24">
        <v>0</v>
      </c>
      <c r="P582" s="2" cm="1">
        <f t="array" ref="P582">_xlfn.XLOOKUP(TRIM(B582),TRIM('[1]wc-product-export-16-3-2026-177'!$A:$A),'[1]wc-product-export-16-3-2026-177'!$D:$D,0,0)</f>
        <v>0</v>
      </c>
      <c r="Q582" s="2" cm="1">
        <f t="array" ref="Q582">IF(TRIM($D582)="SET",IF($K582="Steak Set1",ROUNDDOWN(IFERROR(MIN(_xlfn._xlws.FILTER(O$3:O$650,ISNUMBER(MATCH(TRIM($B$3:$B$650),TRIM(_xlfn.TEXTSPLIT($N582,",")),0)))),0)/4,0)+P582,IF(IFERROR(MIN(_xlfn._xlws.FILTER(O$3:O$650,ISNUMBER(MATCH(TRIM($B$3:$B$650),TRIM(_xlfn.TEXTSPLIT($N582,",")),0)))),0)&gt;=$E$1,IFERROR(MIN(_xlfn._xlws.FILTER(O$3:O$650,ISNUMBER(MATCH(TRIM($B$3:$B$650),TRIM(_xlfn.TEXTSPLIT($N582,",")),0)))),0)+P582,P582)),IF(TRIM($D582)="EA",IF(TRIM($E582)="M",ROUNDUP(O582*0.85,0),IF(TRIM($E582)="P",O582,P582)),P582))</f>
        <v>0</v>
      </c>
      <c r="T582" t="str" cm="1">
        <f t="array" ref="T582">IFERROR(IF(D582="SET",_xlfn.TEXTJOIN(", ",TRUE,_xlfn._xlws.FILTER(TRANSPOSE(TRIM(_xlfn.TEXTSPLIT(N582,","))),COUNTIFS(B$3:B$650,TRANSPOSE(TRIM(_xlfn.TEXTSPLIT(N582,","))),O$3:O$650,"&lt;="&amp;$T$1))),""),"")</f>
        <v/>
      </c>
    </row>
    <row r="583" spans="1:20" ht="15.6" customHeight="1" x14ac:dyDescent="0.3">
      <c r="A583" s="1">
        <v>79901</v>
      </c>
      <c r="B583" s="55" t="s">
        <v>1102</v>
      </c>
      <c r="C583" s="1" t="s">
        <v>1260</v>
      </c>
      <c r="D583" s="1" t="s">
        <v>628</v>
      </c>
      <c r="E583" s="1" t="s">
        <v>686</v>
      </c>
      <c r="F583" s="9"/>
      <c r="G583" s="9"/>
      <c r="H583" s="16" t="s">
        <v>544</v>
      </c>
      <c r="I583" s="9" t="b">
        <f t="shared" si="13"/>
        <v>0</v>
      </c>
      <c r="J583" s="1" t="s">
        <v>404</v>
      </c>
      <c r="K583" s="1" t="s">
        <v>1715</v>
      </c>
      <c r="L583" s="1" t="s">
        <v>1715</v>
      </c>
      <c r="M583" s="9"/>
      <c r="N583" s="35" t="s">
        <v>1566</v>
      </c>
      <c r="O583" s="24">
        <v>0</v>
      </c>
      <c r="P583" s="2" cm="1">
        <f t="array" ref="P583">_xlfn.XLOOKUP(TRIM(B583),TRIM('[1]wc-product-export-16-3-2026-177'!$A:$A),'[1]wc-product-export-16-3-2026-177'!$D:$D,0,0)</f>
        <v>0</v>
      </c>
      <c r="Q583" s="2" cm="1">
        <f t="array" ref="Q583">IF(TRIM($D583)="SET",IF($K583="Steak Set1",ROUNDDOWN(IFERROR(MIN(_xlfn._xlws.FILTER(O$3:O$650,ISNUMBER(MATCH(TRIM($B$3:$B$650),TRIM(_xlfn.TEXTSPLIT($N583,",")),0)))),0)/4,0)+P583,IF(IFERROR(MIN(_xlfn._xlws.FILTER(O$3:O$650,ISNUMBER(MATCH(TRIM($B$3:$B$650),TRIM(_xlfn.TEXTSPLIT($N583,",")),0)))),0)&gt;=$E$1,IFERROR(MIN(_xlfn._xlws.FILTER(O$3:O$650,ISNUMBER(MATCH(TRIM($B$3:$B$650),TRIM(_xlfn.TEXTSPLIT($N583,",")),0)))),0)+P583,P583)),IF(TRIM($D583)="EA",IF(TRIM($E583)="M",ROUNDUP(O583*0.85,0),IF(TRIM($E583)="P",O583,P583)),P583))</f>
        <v>0</v>
      </c>
      <c r="T583" t="str" cm="1">
        <f t="array" ref="T583">IFERROR(IF(D583="SET",_xlfn.TEXTJOIN(", ",TRUE,_xlfn._xlws.FILTER(TRANSPOSE(TRIM(_xlfn.TEXTSPLIT(N583,","))),COUNTIFS(B$3:B$650,TRANSPOSE(TRIM(_xlfn.TEXTSPLIT(N583,","))),O$3:O$650,"&lt;="&amp;$T$1))),""),"")</f>
        <v>79900, 79910, 79935, 79955</v>
      </c>
    </row>
    <row r="584" spans="1:20" ht="15.6" customHeight="1" x14ac:dyDescent="0.3">
      <c r="A584" s="1">
        <v>79902</v>
      </c>
      <c r="B584" s="55" t="s">
        <v>1103</v>
      </c>
      <c r="C584" s="1" t="s">
        <v>1260</v>
      </c>
      <c r="D584" s="1" t="s">
        <v>628</v>
      </c>
      <c r="E584" s="1" t="s">
        <v>686</v>
      </c>
      <c r="F584" s="9"/>
      <c r="G584" s="9"/>
      <c r="H584" s="16" t="s">
        <v>545</v>
      </c>
      <c r="I584" s="9" t="b">
        <f t="shared" ref="I584:I615" si="14">ISNUMBER(SEARCH($I$2,H584))</f>
        <v>0</v>
      </c>
      <c r="J584" s="1" t="s">
        <v>404</v>
      </c>
      <c r="K584" s="1" t="s">
        <v>280</v>
      </c>
      <c r="L584" s="1" t="s">
        <v>1716</v>
      </c>
      <c r="M584" s="9"/>
      <c r="N584" s="35" t="s">
        <v>1567</v>
      </c>
      <c r="O584" s="24">
        <v>0</v>
      </c>
      <c r="P584" s="2" cm="1">
        <f t="array" ref="P584">_xlfn.XLOOKUP(TRIM(B584),TRIM('[1]wc-product-export-16-3-2026-177'!$A:$A),'[1]wc-product-export-16-3-2026-177'!$D:$D,0,0)</f>
        <v>0</v>
      </c>
      <c r="Q584" s="2" cm="1">
        <f t="array" ref="Q584">IF(TRIM($D584)="SET",IF($K584="Steak Set1",ROUNDDOWN(IFERROR(MIN(_xlfn._xlws.FILTER(O$3:O$650,ISNUMBER(MATCH(TRIM($B$3:$B$650),TRIM(_xlfn.TEXTSPLIT($N584,",")),0)))),0)/4,0)+P584,IF(IFERROR(MIN(_xlfn._xlws.FILTER(O$3:O$650,ISNUMBER(MATCH(TRIM($B$3:$B$650),TRIM(_xlfn.TEXTSPLIT($N584,",")),0)))),0)&gt;=$E$1,IFERROR(MIN(_xlfn._xlws.FILTER(O$3:O$650,ISNUMBER(MATCH(TRIM($B$3:$B$650),TRIM(_xlfn.TEXTSPLIT($N584,",")),0)))),0)+P584,P584)),IF(TRIM($D584)="EA",IF(TRIM($E584)="M",ROUNDUP(O584*0.85,0),IF(TRIM($E584)="P",O584,P584)),P584))</f>
        <v>0</v>
      </c>
      <c r="T584" t="str" cm="1">
        <f t="array" ref="T584">IFERROR(IF(D584="SET",_xlfn.TEXTJOIN(", ",TRUE,_xlfn._xlws.FILTER(TRANSPOSE(TRIM(_xlfn.TEXTSPLIT(N584,","))),COUNTIFS(B$3:B$650,TRANSPOSE(TRIM(_xlfn.TEXTSPLIT(N584,","))),O$3:O$650,"&lt;="&amp;$T$1))),""),"")</f>
        <v>79900, 79910, 79935, 79955</v>
      </c>
    </row>
    <row r="585" spans="1:20" ht="15.6" customHeight="1" x14ac:dyDescent="0.3">
      <c r="A585" s="1">
        <v>79903</v>
      </c>
      <c r="B585" s="1" t="s">
        <v>1104</v>
      </c>
      <c r="C585" s="1" t="s">
        <v>1260</v>
      </c>
      <c r="D585" s="1" t="s">
        <v>628</v>
      </c>
      <c r="E585" s="1" t="s">
        <v>686</v>
      </c>
      <c r="F585" s="9" t="s">
        <v>1608</v>
      </c>
      <c r="G585" s="9" t="s">
        <v>1534</v>
      </c>
      <c r="H585" s="53" t="s">
        <v>546</v>
      </c>
      <c r="I585" s="9" t="b">
        <f t="shared" si="14"/>
        <v>0</v>
      </c>
      <c r="J585" s="1" t="s">
        <v>404</v>
      </c>
      <c r="K585" s="1" t="s">
        <v>1714</v>
      </c>
      <c r="L585" s="1" t="s">
        <v>1720</v>
      </c>
      <c r="M585" s="9">
        <v>2</v>
      </c>
      <c r="N585" s="35" t="s">
        <v>1558</v>
      </c>
      <c r="O585" s="2" t="s">
        <v>458</v>
      </c>
      <c r="P585" s="2" cm="1">
        <f t="array" ref="P585">_xlfn.XLOOKUP(TRIM(B585),TRIM('[1]wc-product-export-16-3-2026-177'!$A:$A),'[1]wc-product-export-16-3-2026-177'!$D:$D,0,0)</f>
        <v>0</v>
      </c>
      <c r="Q585" s="66" cm="1">
        <f t="array" ref="Q585">_xlfn.LET(_xlpm.items,TRIM(_xlfn.TEXTSPLIT($N585,",")),_xlpm.codes,TRIM($B$3:$B$650),_xlpm.qty,$O$3:$O$650,_xlpm.setMask,ISNUMBER(MATCH(_xlpm.codes,_xlpm.items,0)),_xlpm.knifeType,IF(ISNUMBER(SEARCH("fine",$H585)),"15",IF(ISNUMBER(SEARCH("serr",$H585)),"20","")),_xlpm.knifeStock,IFERROR(MIN(IF(_xlpm.setMask*(RIGHT(_xlpm.codes,2)=_xlpm.knifeType),_xlpm.qty)),0),_xlpm.otherStock,IFERROR(MIN(IF(_xlpm.setMask*(RIGHT(_xlpm.codes,2)&lt;&gt;_xlpm.knifeType),_xlpm.qty)),0),IF(_xlpm.knifeStock&gt;=8,MIN(ROUNDDOWN(_xlpm.knifeStock/8,0),_xlpm.otherStock),0)+P585)</f>
        <v>0</v>
      </c>
      <c r="T585" t="str" cm="1">
        <f t="array" ref="T585">IFERROR(IF(D585="SET",_xlfn.TEXTJOIN(", ",TRUE,_xlfn._xlws.FILTER(TRANSPOSE(TRIM(_xlfn.TEXTSPLIT(N585,","))),COUNTIFS(B$3:B$650,TRANSPOSE(TRIM(_xlfn.TEXTSPLIT(N585,","))),O$3:O$650,"&lt;="&amp;$T$1))),""),"")</f>
        <v>79955, 79910, 79900, 79920, 79935</v>
      </c>
    </row>
    <row r="586" spans="1:20" ht="15.6" customHeight="1" x14ac:dyDescent="0.3">
      <c r="A586" s="1">
        <v>79904</v>
      </c>
      <c r="B586" s="1" t="s">
        <v>1105</v>
      </c>
      <c r="C586" s="1" t="s">
        <v>1260</v>
      </c>
      <c r="D586" s="1" t="s">
        <v>628</v>
      </c>
      <c r="E586" s="1" t="s">
        <v>686</v>
      </c>
      <c r="F586" s="9" t="s">
        <v>1608</v>
      </c>
      <c r="G586" s="9" t="s">
        <v>1534</v>
      </c>
      <c r="H586" s="16" t="s">
        <v>547</v>
      </c>
      <c r="I586" s="9" t="b">
        <f t="shared" si="14"/>
        <v>0</v>
      </c>
      <c r="J586" s="1" t="s">
        <v>404</v>
      </c>
      <c r="K586" s="1" t="s">
        <v>1714</v>
      </c>
      <c r="L586" s="1" t="s">
        <v>1720</v>
      </c>
      <c r="M586" s="9">
        <v>2</v>
      </c>
      <c r="N586" s="35" t="s">
        <v>1559</v>
      </c>
      <c r="O586" s="2" t="s">
        <v>458</v>
      </c>
      <c r="P586" s="2" cm="1">
        <f t="array" ref="P586">_xlfn.XLOOKUP(TRIM(B586),TRIM('[1]wc-product-export-16-3-2026-177'!$A:$A),'[1]wc-product-export-16-3-2026-177'!$D:$D,0,0)</f>
        <v>0</v>
      </c>
      <c r="Q586" s="66" cm="1">
        <f t="array" ref="Q586">_xlfn.LET(_xlpm.items,TRIM(_xlfn.TEXTSPLIT($N586,",")),_xlpm.codes,TRIM($B$3:$B$650),_xlpm.qty,$O$3:$O$650,_xlpm.setMask,ISNUMBER(MATCH(_xlpm.codes,_xlpm.items,0)),_xlpm.knifeType,IF(ISNUMBER(SEARCH("fine",$H586)),"15",IF(ISNUMBER(SEARCH("serr",$H586)),"20","")),_xlpm.knifeStock,IFERROR(MIN(IF(_xlpm.setMask*(RIGHT(_xlpm.codes,2)=_xlpm.knifeType),_xlpm.qty)),0),_xlpm.otherStock,IFERROR(MIN(IF(_xlpm.setMask*(RIGHT(_xlpm.codes,2)&lt;&gt;_xlpm.knifeType),_xlpm.qty)),0),IF(_xlpm.knifeStock&gt;=8,MIN(ROUNDDOWN(_xlpm.knifeStock/8,0),_xlpm.otherStock),0)+P586)</f>
        <v>0</v>
      </c>
      <c r="T586" t="str" cm="1">
        <f t="array" ref="T586">IFERROR(IF(D586="SET",_xlfn.TEXTJOIN(", ",TRUE,_xlfn._xlws.FILTER(TRANSPOSE(TRIM(_xlfn.TEXTSPLIT(N586,","))),COUNTIFS(B$3:B$650,TRANSPOSE(TRIM(_xlfn.TEXTSPLIT(N586,","))),O$3:O$650,"&lt;="&amp;$T$1))),""),"")</f>
        <v>79955, 79910, 79900, 79915, 79935</v>
      </c>
    </row>
    <row r="587" spans="1:20" ht="15.6" customHeight="1" x14ac:dyDescent="0.3">
      <c r="A587" s="1">
        <v>79905</v>
      </c>
      <c r="B587" s="1" t="s">
        <v>1106</v>
      </c>
      <c r="C587" s="1" t="s">
        <v>1260</v>
      </c>
      <c r="D587" s="1" t="s">
        <v>628</v>
      </c>
      <c r="E587" s="1" t="s">
        <v>686</v>
      </c>
      <c r="F587" s="9" t="s">
        <v>1608</v>
      </c>
      <c r="G587" s="9" t="s">
        <v>1534</v>
      </c>
      <c r="H587" s="16" t="s">
        <v>548</v>
      </c>
      <c r="I587" s="9" t="b">
        <f t="shared" si="14"/>
        <v>0</v>
      </c>
      <c r="J587" s="1" t="s">
        <v>404</v>
      </c>
      <c r="K587" s="1" t="s">
        <v>1714</v>
      </c>
      <c r="L587" s="1" t="s">
        <v>1719</v>
      </c>
      <c r="M587" s="9">
        <v>2</v>
      </c>
      <c r="N587" s="35" t="s">
        <v>1560</v>
      </c>
      <c r="O587" s="2" t="s">
        <v>458</v>
      </c>
      <c r="P587" s="2" cm="1">
        <f t="array" ref="P587">_xlfn.XLOOKUP(TRIM(B587),TRIM('[1]wc-product-export-16-3-2026-177'!$A:$A),'[1]wc-product-export-16-3-2026-177'!$D:$D,0,0)</f>
        <v>0</v>
      </c>
      <c r="Q587" s="66" cm="1">
        <f t="array" ref="Q587">_xlfn.LET(_xlpm.items,TRIM(_xlfn.TEXTSPLIT($N587,",")),_xlpm.codes,TRIM($B$3:$B$650),_xlpm.qty,$O$3:$O$650,_xlpm.setMask,ISNUMBER(MATCH(_xlpm.codes,_xlpm.items,0)),_xlpm.knifeType,IF(ISNUMBER(SEARCH("fine",$H587)),"15",IF(ISNUMBER(SEARCH("serr",$H587)),"20","")),_xlpm.knifeStock,IFERROR(MIN(IF(_xlpm.setMask*(RIGHT(_xlpm.codes,2)=_xlpm.knifeType),_xlpm.qty)),0),_xlpm.otherStock,IFERROR(MIN(IF(_xlpm.setMask*(RIGHT(_xlpm.codes,2)&lt;&gt;_xlpm.knifeType),_xlpm.qty)),0),IF(_xlpm.knifeStock&gt;=8,MIN(ROUNDDOWN(_xlpm.knifeStock/8,0),_xlpm.otherStock),0)+P587)</f>
        <v>0</v>
      </c>
      <c r="T587" t="str" cm="1">
        <f t="array" ref="T587">IFERROR(IF(D587="SET",_xlfn.TEXTJOIN(", ",TRUE,_xlfn._xlws.FILTER(TRANSPOSE(TRIM(_xlfn.TEXTSPLIT(N587,","))),COUNTIFS(B$3:B$650,TRANSPOSE(TRIM(_xlfn.TEXTSPLIT(N587,","))),O$3:O$650,"&lt;="&amp;$T$1))),""),"")</f>
        <v>79955, 79958, 79910, 79900, 79920, 79935</v>
      </c>
    </row>
    <row r="588" spans="1:20" ht="15.6" customHeight="1" x14ac:dyDescent="0.3">
      <c r="A588" s="1">
        <v>79906</v>
      </c>
      <c r="B588" s="1" t="s">
        <v>1107</v>
      </c>
      <c r="C588" s="1" t="s">
        <v>1260</v>
      </c>
      <c r="D588" s="1" t="s">
        <v>628</v>
      </c>
      <c r="E588" s="1" t="s">
        <v>686</v>
      </c>
      <c r="F588" s="9" t="s">
        <v>1608</v>
      </c>
      <c r="G588" s="9" t="s">
        <v>1534</v>
      </c>
      <c r="H588" s="16" t="s">
        <v>549</v>
      </c>
      <c r="I588" s="9" t="b">
        <f t="shared" si="14"/>
        <v>0</v>
      </c>
      <c r="J588" s="1" t="s">
        <v>404</v>
      </c>
      <c r="K588" s="1" t="s">
        <v>1714</v>
      </c>
      <c r="L588" s="1" t="s">
        <v>1719</v>
      </c>
      <c r="M588" s="9">
        <v>2</v>
      </c>
      <c r="N588" s="35" t="s">
        <v>1561</v>
      </c>
      <c r="O588" s="2" t="s">
        <v>458</v>
      </c>
      <c r="P588" s="2" cm="1">
        <f t="array" ref="P588">_xlfn.XLOOKUP(TRIM(B588),TRIM('[1]wc-product-export-16-3-2026-177'!$A:$A),'[1]wc-product-export-16-3-2026-177'!$D:$D,0,0)</f>
        <v>0</v>
      </c>
      <c r="Q588" s="66" cm="1">
        <f t="array" ref="Q588">_xlfn.LET(_xlpm.items,TRIM(_xlfn.TEXTSPLIT($N588,",")),_xlpm.codes,TRIM($B$3:$B$650),_xlpm.qty,$O$3:$O$650,_xlpm.setMask,ISNUMBER(MATCH(_xlpm.codes,_xlpm.items,0)),_xlpm.knifeType,IF(ISNUMBER(SEARCH("fine",$H588)),"15",IF(ISNUMBER(SEARCH("serr",$H588)),"20","")),_xlpm.knifeStock,IFERROR(MIN(IF(_xlpm.setMask*(RIGHT(_xlpm.codes,2)=_xlpm.knifeType),_xlpm.qty)),0),_xlpm.otherStock,IFERROR(MIN(IF(_xlpm.setMask*(RIGHT(_xlpm.codes,2)&lt;&gt;_xlpm.knifeType),_xlpm.qty)),0),IF(_xlpm.knifeStock&gt;=8,MIN(ROUNDDOWN(_xlpm.knifeStock/8,0),_xlpm.otherStock),0)+P588)</f>
        <v>0</v>
      </c>
      <c r="T588" t="str" cm="1">
        <f t="array" ref="T588">IFERROR(IF(D588="SET",_xlfn.TEXTJOIN(", ",TRUE,_xlfn._xlws.FILTER(TRANSPOSE(TRIM(_xlfn.TEXTSPLIT(N588,","))),COUNTIFS(B$3:B$650,TRANSPOSE(TRIM(_xlfn.TEXTSPLIT(N588,","))),O$3:O$650,"&lt;="&amp;$T$1))),""),"")</f>
        <v>79955, 79958, 79910, 79900, 79915, 79935</v>
      </c>
    </row>
    <row r="589" spans="1:20" ht="15.6" customHeight="1" x14ac:dyDescent="0.3">
      <c r="A589" s="1">
        <v>79907</v>
      </c>
      <c r="B589" s="55" t="s">
        <v>1108</v>
      </c>
      <c r="C589" s="1" t="s">
        <v>1260</v>
      </c>
      <c r="D589" s="1" t="s">
        <v>624</v>
      </c>
      <c r="E589" s="1" t="s">
        <v>686</v>
      </c>
      <c r="F589" s="9"/>
      <c r="G589" s="9"/>
      <c r="H589" s="16" t="s">
        <v>148</v>
      </c>
      <c r="I589" s="9" t="b">
        <f t="shared" si="14"/>
        <v>0</v>
      </c>
      <c r="J589" s="1" t="s">
        <v>404</v>
      </c>
      <c r="K589" s="1" t="s">
        <v>266</v>
      </c>
      <c r="L589" s="1" t="s">
        <v>266</v>
      </c>
      <c r="M589" s="9"/>
      <c r="N589" s="35"/>
      <c r="O589" s="24">
        <v>0</v>
      </c>
      <c r="P589" s="2" cm="1">
        <f t="array" ref="P589">_xlfn.XLOOKUP(TRIM(B589),TRIM('[1]wc-product-export-16-3-2026-177'!$A:$A),'[1]wc-product-export-16-3-2026-177'!$D:$D,0,0)</f>
        <v>0</v>
      </c>
      <c r="Q589" s="2" cm="1">
        <f t="array" ref="Q589">IF(TRIM($D589)="SET",IF($K589="Steak Set1",ROUNDDOWN(IFERROR(MIN(_xlfn._xlws.FILTER(O$3:O$650,ISNUMBER(MATCH(TRIM($B$3:$B$650),TRIM(_xlfn.TEXTSPLIT($N589,",")),0)))),0)/4,0)+P589,IF(IFERROR(MIN(_xlfn._xlws.FILTER(O$3:O$650,ISNUMBER(MATCH(TRIM($B$3:$B$650),TRIM(_xlfn.TEXTSPLIT($N589,",")),0)))),0)&gt;=$E$1,IFERROR(MIN(_xlfn._xlws.FILTER(O$3:O$650,ISNUMBER(MATCH(TRIM($B$3:$B$650),TRIM(_xlfn.TEXTSPLIT($N589,",")),0)))),0)+P589,P589)),IF(TRIM($D589)="EA",IF(TRIM($E589)="M",ROUNDUP(O589*0.85,0),IF(TRIM($E589)="P",O589,P589)),P589))</f>
        <v>0</v>
      </c>
      <c r="T589" t="str" cm="1">
        <f t="array" ref="T589">IFERROR(IF(D589="SET",_xlfn.TEXTJOIN(", ",TRUE,_xlfn._xlws.FILTER(TRANSPOSE(TRIM(_xlfn.TEXTSPLIT(N589,","))),COUNTIFS(B$3:B$650,TRANSPOSE(TRIM(_xlfn.TEXTSPLIT(N589,","))),O$3:O$650,"&lt;="&amp;$T$1))),""),"")</f>
        <v/>
      </c>
    </row>
    <row r="590" spans="1:20" ht="15.6" customHeight="1" x14ac:dyDescent="0.3">
      <c r="A590" s="1">
        <v>79910</v>
      </c>
      <c r="B590" s="55" t="s">
        <v>1109</v>
      </c>
      <c r="C590" s="1" t="s">
        <v>1260</v>
      </c>
      <c r="D590" s="1" t="s">
        <v>624</v>
      </c>
      <c r="E590" s="1" t="s">
        <v>686</v>
      </c>
      <c r="F590" s="9"/>
      <c r="G590" s="9"/>
      <c r="H590" s="16" t="s">
        <v>150</v>
      </c>
      <c r="I590" s="9" t="b">
        <f t="shared" si="14"/>
        <v>0</v>
      </c>
      <c r="J590" s="1" t="s">
        <v>404</v>
      </c>
      <c r="K590" s="1" t="s">
        <v>266</v>
      </c>
      <c r="L590" s="1" t="s">
        <v>266</v>
      </c>
      <c r="M590" s="9"/>
      <c r="N590" s="35"/>
      <c r="O590" s="24">
        <v>0</v>
      </c>
      <c r="P590" s="2" cm="1">
        <f t="array" ref="P590">_xlfn.XLOOKUP(TRIM(B590),TRIM('[1]wc-product-export-16-3-2026-177'!$A:$A),'[1]wc-product-export-16-3-2026-177'!$D:$D,0,0)</f>
        <v>0</v>
      </c>
      <c r="Q590" s="2" cm="1">
        <f t="array" ref="Q590">IF(TRIM($D590)="SET",IF($K590="Steak Set1",ROUNDDOWN(IFERROR(MIN(_xlfn._xlws.FILTER(O$3:O$650,ISNUMBER(MATCH(TRIM($B$3:$B$650),TRIM(_xlfn.TEXTSPLIT($N590,",")),0)))),0)/4,0)+P590,IF(IFERROR(MIN(_xlfn._xlws.FILTER(O$3:O$650,ISNUMBER(MATCH(TRIM($B$3:$B$650),TRIM(_xlfn.TEXTSPLIT($N590,",")),0)))),0)&gt;=$E$1,IFERROR(MIN(_xlfn._xlws.FILTER(O$3:O$650,ISNUMBER(MATCH(TRIM($B$3:$B$650),TRIM(_xlfn.TEXTSPLIT($N590,",")),0)))),0)+P590,P590)),IF(TRIM($D590)="EA",IF(TRIM($E590)="M",ROUNDUP(O590*0.85,0),IF(TRIM($E590)="P",O590,P590)),P590))</f>
        <v>0</v>
      </c>
      <c r="T590" t="str" cm="1">
        <f t="array" ref="T590">IFERROR(IF(D590="SET",_xlfn.TEXTJOIN(", ",TRUE,_xlfn._xlws.FILTER(TRANSPOSE(TRIM(_xlfn.TEXTSPLIT(N590,","))),COUNTIFS(B$3:B$650,TRANSPOSE(TRIM(_xlfn.TEXTSPLIT(N590,","))),O$3:O$650,"&lt;="&amp;$T$1))),""),"")</f>
        <v/>
      </c>
    </row>
    <row r="591" spans="1:20" ht="15.6" customHeight="1" x14ac:dyDescent="0.3">
      <c r="A591" s="1">
        <v>79911</v>
      </c>
      <c r="B591" s="55" t="s">
        <v>1110</v>
      </c>
      <c r="C591" s="1" t="s">
        <v>1260</v>
      </c>
      <c r="D591" s="1" t="s">
        <v>624</v>
      </c>
      <c r="E591" s="1" t="s">
        <v>686</v>
      </c>
      <c r="F591" s="9"/>
      <c r="G591" s="9"/>
      <c r="H591" s="16" t="s">
        <v>149</v>
      </c>
      <c r="I591" s="9" t="b">
        <f t="shared" si="14"/>
        <v>0</v>
      </c>
      <c r="J591" s="1" t="s">
        <v>404</v>
      </c>
      <c r="K591" s="1" t="s">
        <v>266</v>
      </c>
      <c r="L591" s="1" t="s">
        <v>266</v>
      </c>
      <c r="M591" s="9"/>
      <c r="N591" s="35"/>
      <c r="O591" s="24">
        <v>29</v>
      </c>
      <c r="P591" s="2" cm="1">
        <f t="array" ref="P591">_xlfn.XLOOKUP(TRIM(B591),TRIM('[1]wc-product-export-16-3-2026-177'!$A:$A),'[1]wc-product-export-16-3-2026-177'!$D:$D,0,0)</f>
        <v>0</v>
      </c>
      <c r="Q591" s="2" cm="1">
        <f t="array" ref="Q591">IF(TRIM($D591)="SET",IF($K591="Steak Set1",ROUNDDOWN(IFERROR(MIN(_xlfn._xlws.FILTER(O$3:O$650,ISNUMBER(MATCH(TRIM($B$3:$B$650),TRIM(_xlfn.TEXTSPLIT($N591,",")),0)))),0)/4,0)+P591,IF(IFERROR(MIN(_xlfn._xlws.FILTER(O$3:O$650,ISNUMBER(MATCH(TRIM($B$3:$B$650),TRIM(_xlfn.TEXTSPLIT($N591,",")),0)))),0)&gt;=$E$1,IFERROR(MIN(_xlfn._xlws.FILTER(O$3:O$650,ISNUMBER(MATCH(TRIM($B$3:$B$650),TRIM(_xlfn.TEXTSPLIT($N591,",")),0)))),0)+P591,P591)),IF(TRIM($D591)="EA",IF(TRIM($E591)="M",ROUNDUP(O591*0.85,0),IF(TRIM($E591)="P",O591,P591)),P591))</f>
        <v>25</v>
      </c>
      <c r="T591" t="str" cm="1">
        <f t="array" ref="T591">IFERROR(IF(D591="SET",_xlfn.TEXTJOIN(", ",TRUE,_xlfn._xlws.FILTER(TRANSPOSE(TRIM(_xlfn.TEXTSPLIT(N591,","))),COUNTIFS(B$3:B$650,TRANSPOSE(TRIM(_xlfn.TEXTSPLIT(N591,","))),O$3:O$650,"&lt;="&amp;$T$1))),""),"")</f>
        <v/>
      </c>
    </row>
    <row r="592" spans="1:20" ht="15.6" customHeight="1" x14ac:dyDescent="0.3">
      <c r="A592" s="1">
        <v>79915</v>
      </c>
      <c r="B592" s="55" t="s">
        <v>1111</v>
      </c>
      <c r="C592" s="1" t="s">
        <v>1260</v>
      </c>
      <c r="D592" s="1" t="s">
        <v>624</v>
      </c>
      <c r="E592" s="1" t="s">
        <v>686</v>
      </c>
      <c r="F592" s="9"/>
      <c r="G592" s="9"/>
      <c r="H592" s="16" t="s">
        <v>154</v>
      </c>
      <c r="I592" s="9" t="b">
        <f t="shared" si="14"/>
        <v>0</v>
      </c>
      <c r="J592" s="1" t="s">
        <v>404</v>
      </c>
      <c r="K592" s="1" t="s">
        <v>1293</v>
      </c>
      <c r="L592" s="1" t="s">
        <v>1727</v>
      </c>
      <c r="M592" s="9"/>
      <c r="N592" s="35"/>
      <c r="O592" s="24">
        <v>0</v>
      </c>
      <c r="P592" s="2" cm="1">
        <f t="array" ref="P592">_xlfn.XLOOKUP(TRIM(B592),TRIM('[1]wc-product-export-16-3-2026-177'!$A:$A),'[1]wc-product-export-16-3-2026-177'!$D:$D,0,0)</f>
        <v>0</v>
      </c>
      <c r="Q592" s="2" cm="1">
        <f t="array" ref="Q592">IF(TRIM($D592)="SET",IF($K592="Steak Set1",ROUNDDOWN(IFERROR(MIN(_xlfn._xlws.FILTER(O$3:O$650,ISNUMBER(MATCH(TRIM($B$3:$B$650),TRIM(_xlfn.TEXTSPLIT($N592,",")),0)))),0)/4,0)+P592,IF(IFERROR(MIN(_xlfn._xlws.FILTER(O$3:O$650,ISNUMBER(MATCH(TRIM($B$3:$B$650),TRIM(_xlfn.TEXTSPLIT($N592,",")),0)))),0)&gt;=$E$1,IFERROR(MIN(_xlfn._xlws.FILTER(O$3:O$650,ISNUMBER(MATCH(TRIM($B$3:$B$650),TRIM(_xlfn.TEXTSPLIT($N592,",")),0)))),0)+P592,P592)),IF(TRIM($D592)="EA",IF(TRIM($E592)="M",ROUNDUP(O592*0.85,0),IF(TRIM($E592)="P",O592,P592)),P592))</f>
        <v>0</v>
      </c>
      <c r="T592" t="str" cm="1">
        <f t="array" ref="T592">IFERROR(IF(D592="SET",_xlfn.TEXTJOIN(", ",TRUE,_xlfn._xlws.FILTER(TRANSPOSE(TRIM(_xlfn.TEXTSPLIT(N592,","))),COUNTIFS(B$3:B$650,TRANSPOSE(TRIM(_xlfn.TEXTSPLIT(N592,","))),O$3:O$650,"&lt;="&amp;$T$1))),""),"")</f>
        <v/>
      </c>
    </row>
    <row r="593" spans="1:20" ht="15.6" customHeight="1" x14ac:dyDescent="0.3">
      <c r="A593" s="1">
        <v>79917</v>
      </c>
      <c r="B593" s="55" t="s">
        <v>1112</v>
      </c>
      <c r="C593" s="1" t="s">
        <v>1260</v>
      </c>
      <c r="D593" s="1" t="s">
        <v>624</v>
      </c>
      <c r="E593" s="1" t="s">
        <v>686</v>
      </c>
      <c r="F593" s="9"/>
      <c r="G593" s="9"/>
      <c r="H593" s="16" t="s">
        <v>155</v>
      </c>
      <c r="I593" s="9" t="b">
        <f t="shared" si="14"/>
        <v>0</v>
      </c>
      <c r="J593" s="1" t="s">
        <v>404</v>
      </c>
      <c r="K593" s="1" t="s">
        <v>268</v>
      </c>
      <c r="L593" s="1" t="s">
        <v>268</v>
      </c>
      <c r="M593" s="9"/>
      <c r="N593" s="35"/>
      <c r="O593" s="24">
        <v>13</v>
      </c>
      <c r="P593" s="2" cm="1">
        <f t="array" ref="P593">_xlfn.XLOOKUP(TRIM(B593),TRIM('[1]wc-product-export-16-3-2026-177'!$A:$A),'[1]wc-product-export-16-3-2026-177'!$D:$D,0,0)</f>
        <v>0</v>
      </c>
      <c r="Q593" s="2" cm="1">
        <f t="array" ref="Q593">IF(TRIM($D593)="SET",IF($K593="Steak Set1",ROUNDDOWN(IFERROR(MIN(_xlfn._xlws.FILTER(O$3:O$650,ISNUMBER(MATCH(TRIM($B$3:$B$650),TRIM(_xlfn.TEXTSPLIT($N593,",")),0)))),0)/4,0)+P593,IF(IFERROR(MIN(_xlfn._xlws.FILTER(O$3:O$650,ISNUMBER(MATCH(TRIM($B$3:$B$650),TRIM(_xlfn.TEXTSPLIT($N593,",")),0)))),0)&gt;=$E$1,IFERROR(MIN(_xlfn._xlws.FILTER(O$3:O$650,ISNUMBER(MATCH(TRIM($B$3:$B$650),TRIM(_xlfn.TEXTSPLIT($N593,",")),0)))),0)+P593,P593)),IF(TRIM($D593)="EA",IF(TRIM($E593)="M",ROUNDUP(O593*0.85,0),IF(TRIM($E593)="P",O593,P593)),P593))</f>
        <v>12</v>
      </c>
      <c r="T593" t="str" cm="1">
        <f t="array" ref="T593">IFERROR(IF(D593="SET",_xlfn.TEXTJOIN(", ",TRUE,_xlfn._xlws.FILTER(TRANSPOSE(TRIM(_xlfn.TEXTSPLIT(N593,","))),COUNTIFS(B$3:B$650,TRANSPOSE(TRIM(_xlfn.TEXTSPLIT(N593,","))),O$3:O$650,"&lt;="&amp;$T$1))),""),"")</f>
        <v/>
      </c>
    </row>
    <row r="594" spans="1:20" ht="15.6" customHeight="1" x14ac:dyDescent="0.3">
      <c r="A594" s="1">
        <v>79920</v>
      </c>
      <c r="B594" s="55" t="s">
        <v>1113</v>
      </c>
      <c r="C594" s="1" t="s">
        <v>1260</v>
      </c>
      <c r="D594" s="1" t="s">
        <v>624</v>
      </c>
      <c r="E594" s="1" t="s">
        <v>686</v>
      </c>
      <c r="F594" s="9"/>
      <c r="G594" s="9"/>
      <c r="H594" s="16" t="s">
        <v>153</v>
      </c>
      <c r="I594" s="9" t="b">
        <f t="shared" si="14"/>
        <v>0</v>
      </c>
      <c r="J594" s="1" t="s">
        <v>404</v>
      </c>
      <c r="K594" s="1" t="s">
        <v>1293</v>
      </c>
      <c r="L594" s="1" t="s">
        <v>1728</v>
      </c>
      <c r="M594" s="9"/>
      <c r="N594" s="35"/>
      <c r="O594" s="24">
        <v>1</v>
      </c>
      <c r="P594" s="2" cm="1">
        <f t="array" ref="P594">_xlfn.XLOOKUP(TRIM(B594),TRIM('[1]wc-product-export-16-3-2026-177'!$A:$A),'[1]wc-product-export-16-3-2026-177'!$D:$D,0,0)</f>
        <v>0</v>
      </c>
      <c r="Q594" s="2" cm="1">
        <f t="array" ref="Q594">IF(TRIM($D594)="SET",IF($K594="Steak Set1",ROUNDDOWN(IFERROR(MIN(_xlfn._xlws.FILTER(O$3:O$650,ISNUMBER(MATCH(TRIM($B$3:$B$650),TRIM(_xlfn.TEXTSPLIT($N594,",")),0)))),0)/4,0)+P594,IF(IFERROR(MIN(_xlfn._xlws.FILTER(O$3:O$650,ISNUMBER(MATCH(TRIM($B$3:$B$650),TRIM(_xlfn.TEXTSPLIT($N594,",")),0)))),0)&gt;=$E$1,IFERROR(MIN(_xlfn._xlws.FILTER(O$3:O$650,ISNUMBER(MATCH(TRIM($B$3:$B$650),TRIM(_xlfn.TEXTSPLIT($N594,",")),0)))),0)+P594,P594)),IF(TRIM($D594)="EA",IF(TRIM($E594)="M",ROUNDUP(O594*0.85,0),IF(TRIM($E594)="P",O594,P594)),P594))</f>
        <v>1</v>
      </c>
      <c r="T594" t="str" cm="1">
        <f t="array" ref="T594">IFERROR(IF(D594="SET",_xlfn.TEXTJOIN(", ",TRUE,_xlfn._xlws.FILTER(TRANSPOSE(TRIM(_xlfn.TEXTSPLIT(N594,","))),COUNTIFS(B$3:B$650,TRANSPOSE(TRIM(_xlfn.TEXTSPLIT(N594,","))),O$3:O$650,"&lt;="&amp;$T$1))),""),"")</f>
        <v/>
      </c>
    </row>
    <row r="595" spans="1:20" ht="15.6" customHeight="1" x14ac:dyDescent="0.3">
      <c r="A595" s="1">
        <v>79923</v>
      </c>
      <c r="B595" s="55" t="s">
        <v>1114</v>
      </c>
      <c r="C595" s="1" t="s">
        <v>1260</v>
      </c>
      <c r="D595" s="1" t="s">
        <v>624</v>
      </c>
      <c r="E595" s="1" t="s">
        <v>686</v>
      </c>
      <c r="F595" s="9"/>
      <c r="G595" s="9"/>
      <c r="H595" s="16" t="s">
        <v>152</v>
      </c>
      <c r="I595" s="9" t="b">
        <f t="shared" si="14"/>
        <v>0</v>
      </c>
      <c r="J595" s="1" t="s">
        <v>404</v>
      </c>
      <c r="K595" s="1" t="s">
        <v>269</v>
      </c>
      <c r="L595" s="1" t="s">
        <v>1729</v>
      </c>
      <c r="M595" s="9"/>
      <c r="N595" s="35"/>
      <c r="O595" s="24">
        <v>20</v>
      </c>
      <c r="P595" s="2" cm="1">
        <f t="array" ref="P595">_xlfn.XLOOKUP(TRIM(B595),TRIM('[1]wc-product-export-16-3-2026-177'!$A:$A),'[1]wc-product-export-16-3-2026-177'!$D:$D,0,0)</f>
        <v>0</v>
      </c>
      <c r="Q595" s="2" cm="1">
        <f t="array" ref="Q595">IF(TRIM($D595)="SET",IF($K595="Steak Set1",ROUNDDOWN(IFERROR(MIN(_xlfn._xlws.FILTER(O$3:O$650,ISNUMBER(MATCH(TRIM($B$3:$B$650),TRIM(_xlfn.TEXTSPLIT($N595,",")),0)))),0)/4,0)+P595,IF(IFERROR(MIN(_xlfn._xlws.FILTER(O$3:O$650,ISNUMBER(MATCH(TRIM($B$3:$B$650),TRIM(_xlfn.TEXTSPLIT($N595,",")),0)))),0)&gt;=$E$1,IFERROR(MIN(_xlfn._xlws.FILTER(O$3:O$650,ISNUMBER(MATCH(TRIM($B$3:$B$650),TRIM(_xlfn.TEXTSPLIT($N595,",")),0)))),0)+P595,P595)),IF(TRIM($D595)="EA",IF(TRIM($E595)="M",ROUNDUP(O595*0.85,0),IF(TRIM($E595)="P",O595,P595)),P595))</f>
        <v>17</v>
      </c>
      <c r="T595" t="str" cm="1">
        <f t="array" ref="T595">IFERROR(IF(D595="SET",_xlfn.TEXTJOIN(", ",TRUE,_xlfn._xlws.FILTER(TRANSPOSE(TRIM(_xlfn.TEXTSPLIT(N595,","))),COUNTIFS(B$3:B$650,TRANSPOSE(TRIM(_xlfn.TEXTSPLIT(N595,","))),O$3:O$650,"&lt;="&amp;$T$1))),""),"")</f>
        <v/>
      </c>
    </row>
    <row r="596" spans="1:20" ht="15.6" customHeight="1" x14ac:dyDescent="0.3">
      <c r="A596" s="1">
        <v>79925</v>
      </c>
      <c r="B596" s="56" t="s">
        <v>1115</v>
      </c>
      <c r="C596" s="1" t="s">
        <v>1260</v>
      </c>
      <c r="D596" s="1" t="s">
        <v>624</v>
      </c>
      <c r="E596" s="1" t="s">
        <v>686</v>
      </c>
      <c r="F596" s="9"/>
      <c r="G596" s="9"/>
      <c r="H596" s="16" t="s">
        <v>156</v>
      </c>
      <c r="I596" s="9" t="b">
        <f t="shared" si="14"/>
        <v>0</v>
      </c>
      <c r="J596" s="1" t="s">
        <v>404</v>
      </c>
      <c r="K596" s="1" t="s">
        <v>270</v>
      </c>
      <c r="L596" s="1" t="s">
        <v>270</v>
      </c>
      <c r="M596" s="9"/>
      <c r="N596" s="35"/>
      <c r="O596" s="24">
        <v>17</v>
      </c>
      <c r="P596" s="2" cm="1">
        <f t="array" ref="P596">_xlfn.XLOOKUP(TRIM(B596),TRIM('[1]wc-product-export-16-3-2026-177'!$A:$A),'[1]wc-product-export-16-3-2026-177'!$D:$D,0,0)</f>
        <v>0</v>
      </c>
      <c r="Q596" s="2" cm="1">
        <f t="array" ref="Q596">IF(TRIM($D596)="SET",IF($K596="Steak Set1",ROUNDDOWN(IFERROR(MIN(_xlfn._xlws.FILTER(O$3:O$650,ISNUMBER(MATCH(TRIM($B$3:$B$650),TRIM(_xlfn.TEXTSPLIT($N596,",")),0)))),0)/4,0)+P596,IF(IFERROR(MIN(_xlfn._xlws.FILTER(O$3:O$650,ISNUMBER(MATCH(TRIM($B$3:$B$650),TRIM(_xlfn.TEXTSPLIT($N596,",")),0)))),0)&gt;=$E$1,IFERROR(MIN(_xlfn._xlws.FILTER(O$3:O$650,ISNUMBER(MATCH(TRIM($B$3:$B$650),TRIM(_xlfn.TEXTSPLIT($N596,",")),0)))),0)+P596,P596)),IF(TRIM($D596)="EA",IF(TRIM($E596)="M",ROUNDUP(O596*0.85,0),IF(TRIM($E596)="P",O596,P596)),P596))</f>
        <v>15</v>
      </c>
      <c r="T596" t="str" cm="1">
        <f t="array" ref="T596">IFERROR(IF(D596="SET",_xlfn.TEXTJOIN(", ",TRUE,_xlfn._xlws.FILTER(TRANSPOSE(TRIM(_xlfn.TEXTSPLIT(N596,","))),COUNTIFS(B$3:B$650,TRANSPOSE(TRIM(_xlfn.TEXTSPLIT(N596,","))),O$3:O$650,"&lt;="&amp;$T$1))),""),"")</f>
        <v/>
      </c>
    </row>
    <row r="597" spans="1:20" ht="15.6" customHeight="1" x14ac:dyDescent="0.3">
      <c r="A597" s="1">
        <v>79926</v>
      </c>
      <c r="B597" s="1" t="s">
        <v>1116</v>
      </c>
      <c r="C597" s="1" t="s">
        <v>1260</v>
      </c>
      <c r="D597" s="1" t="s">
        <v>628</v>
      </c>
      <c r="E597" s="1" t="s">
        <v>686</v>
      </c>
      <c r="F597" s="9"/>
      <c r="G597" s="9"/>
      <c r="H597" s="53" t="s">
        <v>380</v>
      </c>
      <c r="I597" s="9" t="b">
        <f t="shared" si="14"/>
        <v>0</v>
      </c>
      <c r="J597" s="1" t="s">
        <v>404</v>
      </c>
      <c r="K597" s="1" t="s">
        <v>280</v>
      </c>
      <c r="L597" s="1" t="s">
        <v>1721</v>
      </c>
      <c r="M597" s="9"/>
      <c r="N597" s="35" t="s">
        <v>1562</v>
      </c>
      <c r="O597" s="2" t="s">
        <v>458</v>
      </c>
      <c r="P597" s="2" cm="1">
        <f t="array" ref="P597">_xlfn.XLOOKUP(TRIM(B597),TRIM('[1]wc-product-export-16-3-2026-177'!$A:$A),'[1]wc-product-export-16-3-2026-177'!$D:$D,0,0)</f>
        <v>0</v>
      </c>
      <c r="Q597" s="2" cm="1">
        <f t="array" ref="Q597">IF(TRIM($D597)="SET",IF($K597="Steak Set1",ROUNDDOWN(IFERROR(MIN(_xlfn._xlws.FILTER(O$3:O$650,ISNUMBER(MATCH(TRIM($B$3:$B$650),TRIM(_xlfn.TEXTSPLIT($N597,",")),0)))),0)/4,0)+P597,IF(IFERROR(MIN(_xlfn._xlws.FILTER(O$3:O$650,ISNUMBER(MATCH(TRIM($B$3:$B$650),TRIM(_xlfn.TEXTSPLIT($N597,",")),0)))),0)&gt;=$E$1,IFERROR(MIN(_xlfn._xlws.FILTER(O$3:O$650,ISNUMBER(MATCH(TRIM($B$3:$B$650),TRIM(_xlfn.TEXTSPLIT($N597,",")),0)))),0)+P597,P597)),IF(TRIM($D597)="EA",IF(TRIM($E597)="M",ROUNDUP(O597*0.85,0),IF(TRIM($E597)="P",O597,P597)),P597))</f>
        <v>0</v>
      </c>
      <c r="T597" t="str" cm="1">
        <f t="array" ref="T597">IFERROR(IF(D597="SET",_xlfn.TEXTJOIN(", ",TRUE,_xlfn._xlws.FILTER(TRANSPOSE(TRIM(_xlfn.TEXTSPLIT(N597,","))),COUNTIFS(B$3:B$650,TRANSPOSE(TRIM(_xlfn.TEXTSPLIT(N597,","))),O$3:O$650,"&lt;="&amp;$T$1))),""),"")</f>
        <v>79900, 79910, 79935, 79955</v>
      </c>
    </row>
    <row r="598" spans="1:20" ht="15.6" customHeight="1" x14ac:dyDescent="0.3">
      <c r="A598" s="1">
        <v>79927</v>
      </c>
      <c r="B598" s="1" t="s">
        <v>1117</v>
      </c>
      <c r="C598" s="1" t="s">
        <v>1260</v>
      </c>
      <c r="D598" s="1" t="s">
        <v>628</v>
      </c>
      <c r="E598" s="1" t="s">
        <v>686</v>
      </c>
      <c r="F598" s="9"/>
      <c r="G598" s="9"/>
      <c r="H598" s="16" t="s">
        <v>381</v>
      </c>
      <c r="I598" s="9" t="b">
        <f t="shared" si="14"/>
        <v>0</v>
      </c>
      <c r="J598" s="1" t="s">
        <v>404</v>
      </c>
      <c r="K598" s="1" t="s">
        <v>280</v>
      </c>
      <c r="L598" s="1" t="s">
        <v>1721</v>
      </c>
      <c r="M598" s="9"/>
      <c r="N598" s="35" t="s">
        <v>1563</v>
      </c>
      <c r="O598" s="2" t="s">
        <v>458</v>
      </c>
      <c r="P598" s="2" cm="1">
        <f t="array" ref="P598">_xlfn.XLOOKUP(TRIM(B598),TRIM('[1]wc-product-export-16-3-2026-177'!$A:$A),'[1]wc-product-export-16-3-2026-177'!$D:$D,0,0)</f>
        <v>0</v>
      </c>
      <c r="Q598" s="2" cm="1">
        <f t="array" ref="Q598">IF(TRIM($D598)="SET",IF($K598="Steak Set1",ROUNDDOWN(IFERROR(MIN(_xlfn._xlws.FILTER(O$3:O$650,ISNUMBER(MATCH(TRIM($B$3:$B$650),TRIM(_xlfn.TEXTSPLIT($N598,",")),0)))),0)/4,0)+P598,IF(IFERROR(MIN(_xlfn._xlws.FILTER(O$3:O$650,ISNUMBER(MATCH(TRIM($B$3:$B$650),TRIM(_xlfn.TEXTSPLIT($N598,",")),0)))),0)&gt;=$E$1,IFERROR(MIN(_xlfn._xlws.FILTER(O$3:O$650,ISNUMBER(MATCH(TRIM($B$3:$B$650),TRIM(_xlfn.TEXTSPLIT($N598,",")),0)))),0)+P598,P598)),IF(TRIM($D598)="EA",IF(TRIM($E598)="M",ROUNDUP(O598*0.85,0),IF(TRIM($E598)="P",O598,P598)),P598))</f>
        <v>0</v>
      </c>
      <c r="T598" t="str" cm="1">
        <f t="array" ref="T598">IFERROR(IF(D598="SET",_xlfn.TEXTJOIN(", ",TRUE,_xlfn._xlws.FILTER(TRANSPOSE(TRIM(_xlfn.TEXTSPLIT(N598,","))),COUNTIFS(B$3:B$650,TRANSPOSE(TRIM(_xlfn.TEXTSPLIT(N598,","))),O$3:O$650,"&lt;="&amp;$T$1))),""),"")</f>
        <v>79900, 79910, 79935, 79955</v>
      </c>
    </row>
    <row r="599" spans="1:20" ht="15.6" customHeight="1" x14ac:dyDescent="0.3">
      <c r="A599" s="1">
        <v>79928</v>
      </c>
      <c r="B599" s="1" t="s">
        <v>1118</v>
      </c>
      <c r="C599" s="1" t="s">
        <v>1260</v>
      </c>
      <c r="D599" s="1" t="s">
        <v>628</v>
      </c>
      <c r="E599" s="1" t="s">
        <v>686</v>
      </c>
      <c r="F599" s="9"/>
      <c r="G599" s="9"/>
      <c r="H599" s="16" t="s">
        <v>382</v>
      </c>
      <c r="I599" s="9" t="b">
        <f t="shared" si="14"/>
        <v>0</v>
      </c>
      <c r="J599" s="1" t="s">
        <v>404</v>
      </c>
      <c r="K599" s="1" t="s">
        <v>280</v>
      </c>
      <c r="L599" s="1" t="s">
        <v>1721</v>
      </c>
      <c r="M599" s="9"/>
      <c r="N599" s="35" t="s">
        <v>1564</v>
      </c>
      <c r="O599" s="2" t="s">
        <v>458</v>
      </c>
      <c r="P599" s="2" cm="1">
        <f t="array" ref="P599">_xlfn.XLOOKUP(TRIM(B599),TRIM('[1]wc-product-export-16-3-2026-177'!$A:$A),'[1]wc-product-export-16-3-2026-177'!$D:$D,0,0)</f>
        <v>0</v>
      </c>
      <c r="Q599" s="2" cm="1">
        <f t="array" ref="Q599">IF(TRIM($D599)="SET",IF($K599="Steak Set1",ROUNDDOWN(IFERROR(MIN(_xlfn._xlws.FILTER(O$3:O$650,ISNUMBER(MATCH(TRIM($B$3:$B$650),TRIM(_xlfn.TEXTSPLIT($N599,",")),0)))),0)/4,0)+P599,IF(IFERROR(MIN(_xlfn._xlws.FILTER(O$3:O$650,ISNUMBER(MATCH(TRIM($B$3:$B$650),TRIM(_xlfn.TEXTSPLIT($N599,",")),0)))),0)&gt;=$E$1,IFERROR(MIN(_xlfn._xlws.FILTER(O$3:O$650,ISNUMBER(MATCH(TRIM($B$3:$B$650),TRIM(_xlfn.TEXTSPLIT($N599,",")),0)))),0)+P599,P599)),IF(TRIM($D599)="EA",IF(TRIM($E599)="M",ROUNDUP(O599*0.85,0),IF(TRIM($E599)="P",O599,P599)),P599))</f>
        <v>0</v>
      </c>
      <c r="T599" t="str" cm="1">
        <f t="array" ref="T599">IFERROR(IF(D599="SET",_xlfn.TEXTJOIN(", ",TRUE,_xlfn._xlws.FILTER(TRANSPOSE(TRIM(_xlfn.TEXTSPLIT(N599,","))),COUNTIFS(B$3:B$650,TRANSPOSE(TRIM(_xlfn.TEXTSPLIT(N599,","))),O$3:O$650,"&lt;="&amp;$T$1))),""),"")</f>
        <v>79900, 79910, 79935, 79955, 79915</v>
      </c>
    </row>
    <row r="600" spans="1:20" ht="15.6" customHeight="1" x14ac:dyDescent="0.3">
      <c r="A600" s="1">
        <v>79929</v>
      </c>
      <c r="B600" s="1" t="s">
        <v>1119</v>
      </c>
      <c r="C600" s="1" t="s">
        <v>1260</v>
      </c>
      <c r="D600" s="1" t="s">
        <v>628</v>
      </c>
      <c r="E600" s="1" t="s">
        <v>686</v>
      </c>
      <c r="F600" s="9"/>
      <c r="G600" s="9"/>
      <c r="H600" s="16" t="s">
        <v>383</v>
      </c>
      <c r="I600" s="9" t="b">
        <f t="shared" si="14"/>
        <v>0</v>
      </c>
      <c r="J600" s="1" t="s">
        <v>404</v>
      </c>
      <c r="K600" s="1" t="s">
        <v>280</v>
      </c>
      <c r="L600" s="1" t="s">
        <v>1721</v>
      </c>
      <c r="M600" s="9"/>
      <c r="N600" s="35" t="s">
        <v>1565</v>
      </c>
      <c r="O600" s="2" t="s">
        <v>458</v>
      </c>
      <c r="P600" s="2" cm="1">
        <f t="array" ref="P600">_xlfn.XLOOKUP(TRIM(B600),TRIM('[1]wc-product-export-16-3-2026-177'!$A:$A),'[1]wc-product-export-16-3-2026-177'!$D:$D,0,0)</f>
        <v>0</v>
      </c>
      <c r="Q600" s="2" cm="1">
        <f t="array" ref="Q600">IF(TRIM($D600)="SET",IF($K600="Steak Set1",ROUNDDOWN(IFERROR(MIN(_xlfn._xlws.FILTER(O$3:O$650,ISNUMBER(MATCH(TRIM($B$3:$B$650),TRIM(_xlfn.TEXTSPLIT($N600,",")),0)))),0)/4,0)+P600,IF(IFERROR(MIN(_xlfn._xlws.FILTER(O$3:O$650,ISNUMBER(MATCH(TRIM($B$3:$B$650),TRIM(_xlfn.TEXTSPLIT($N600,",")),0)))),0)&gt;=$E$1,IFERROR(MIN(_xlfn._xlws.FILTER(O$3:O$650,ISNUMBER(MATCH(TRIM($B$3:$B$650),TRIM(_xlfn.TEXTSPLIT($N600,",")),0)))),0)+P600,P600)),IF(TRIM($D600)="EA",IF(TRIM($E600)="M",ROUNDUP(O600*0.85,0),IF(TRIM($E600)="P",O600,P600)),P600))</f>
        <v>0</v>
      </c>
      <c r="T600" t="str" cm="1">
        <f t="array" ref="T600">IFERROR(IF(D600="SET",_xlfn.TEXTJOIN(", ",TRUE,_xlfn._xlws.FILTER(TRANSPOSE(TRIM(_xlfn.TEXTSPLIT(N600,","))),COUNTIFS(B$3:B$650,TRANSPOSE(TRIM(_xlfn.TEXTSPLIT(N600,","))),O$3:O$650,"&lt;="&amp;$T$1))),""),"")</f>
        <v>79900, 79910, 79935, 79955, 79920</v>
      </c>
    </row>
    <row r="601" spans="1:20" ht="15.6" customHeight="1" x14ac:dyDescent="0.3">
      <c r="A601" s="1">
        <v>79935</v>
      </c>
      <c r="B601" s="55" t="s">
        <v>1120</v>
      </c>
      <c r="C601" s="1" t="s">
        <v>1260</v>
      </c>
      <c r="D601" s="1" t="s">
        <v>624</v>
      </c>
      <c r="E601" s="1" t="s">
        <v>686</v>
      </c>
      <c r="F601" s="9"/>
      <c r="G601" s="9"/>
      <c r="H601" s="16" t="s">
        <v>157</v>
      </c>
      <c r="I601" s="9" t="b">
        <f t="shared" si="14"/>
        <v>0</v>
      </c>
      <c r="J601" s="1" t="s">
        <v>404</v>
      </c>
      <c r="K601" s="1" t="s">
        <v>271</v>
      </c>
      <c r="L601" s="1" t="s">
        <v>271</v>
      </c>
      <c r="M601" s="9"/>
      <c r="N601" s="35"/>
      <c r="O601" s="24">
        <v>3</v>
      </c>
      <c r="P601" s="2" cm="1">
        <f t="array" ref="P601">_xlfn.XLOOKUP(TRIM(B601),TRIM('[1]wc-product-export-16-3-2026-177'!$A:$A),'[1]wc-product-export-16-3-2026-177'!$D:$D,0,0)</f>
        <v>0</v>
      </c>
      <c r="Q601" s="2" cm="1">
        <f t="array" ref="Q601">IF(TRIM($D601)="SET",IF($K601="Steak Set1",ROUNDDOWN(IFERROR(MIN(_xlfn._xlws.FILTER(O$3:O$650,ISNUMBER(MATCH(TRIM($B$3:$B$650),TRIM(_xlfn.TEXTSPLIT($N601,",")),0)))),0)/4,0)+P601,IF(IFERROR(MIN(_xlfn._xlws.FILTER(O$3:O$650,ISNUMBER(MATCH(TRIM($B$3:$B$650),TRIM(_xlfn.TEXTSPLIT($N601,",")),0)))),0)&gt;=$E$1,IFERROR(MIN(_xlfn._xlws.FILTER(O$3:O$650,ISNUMBER(MATCH(TRIM($B$3:$B$650),TRIM(_xlfn.TEXTSPLIT($N601,",")),0)))),0)+P601,P601)),IF(TRIM($D601)="EA",IF(TRIM($E601)="M",ROUNDUP(O601*0.85,0),IF(TRIM($E601)="P",O601,P601)),P601))</f>
        <v>3</v>
      </c>
      <c r="T601" t="str" cm="1">
        <f t="array" ref="T601">IFERROR(IF(D601="SET",_xlfn.TEXTJOIN(", ",TRUE,_xlfn._xlws.FILTER(TRANSPOSE(TRIM(_xlfn.TEXTSPLIT(N601,","))),COUNTIFS(B$3:B$650,TRANSPOSE(TRIM(_xlfn.TEXTSPLIT(N601,","))),O$3:O$650,"&lt;="&amp;$T$1))),""),"")</f>
        <v/>
      </c>
    </row>
    <row r="602" spans="1:20" ht="15.6" customHeight="1" x14ac:dyDescent="0.3">
      <c r="A602" s="1">
        <v>79938</v>
      </c>
      <c r="B602" s="55" t="s">
        <v>1121</v>
      </c>
      <c r="C602" s="1" t="s">
        <v>1260</v>
      </c>
      <c r="D602" s="1" t="s">
        <v>624</v>
      </c>
      <c r="E602" s="1" t="s">
        <v>686</v>
      </c>
      <c r="F602" s="9"/>
      <c r="G602" s="9"/>
      <c r="H602" s="16" t="s">
        <v>158</v>
      </c>
      <c r="I602" s="9" t="b">
        <f t="shared" si="14"/>
        <v>0</v>
      </c>
      <c r="J602" s="1" t="s">
        <v>404</v>
      </c>
      <c r="K602" s="1" t="s">
        <v>272</v>
      </c>
      <c r="L602" s="1" t="s">
        <v>272</v>
      </c>
      <c r="M602" s="9"/>
      <c r="N602" s="35"/>
      <c r="O602" s="24">
        <v>0</v>
      </c>
      <c r="P602" s="2" cm="1">
        <f t="array" ref="P602">_xlfn.XLOOKUP(TRIM(B602),TRIM('[1]wc-product-export-16-3-2026-177'!$A:$A),'[1]wc-product-export-16-3-2026-177'!$D:$D,0,0)</f>
        <v>0</v>
      </c>
      <c r="Q602" s="2" cm="1">
        <f t="array" ref="Q602">IF(TRIM($D602)="SET",IF($K602="Steak Set1",ROUNDDOWN(IFERROR(MIN(_xlfn._xlws.FILTER(O$3:O$650,ISNUMBER(MATCH(TRIM($B$3:$B$650),TRIM(_xlfn.TEXTSPLIT($N602,",")),0)))),0)/4,0)+P602,IF(IFERROR(MIN(_xlfn._xlws.FILTER(O$3:O$650,ISNUMBER(MATCH(TRIM($B$3:$B$650),TRIM(_xlfn.TEXTSPLIT($N602,",")),0)))),0)&gt;=$E$1,IFERROR(MIN(_xlfn._xlws.FILTER(O$3:O$650,ISNUMBER(MATCH(TRIM($B$3:$B$650),TRIM(_xlfn.TEXTSPLIT($N602,",")),0)))),0)+P602,P602)),IF(TRIM($D602)="EA",IF(TRIM($E602)="M",ROUNDUP(O602*0.85,0),IF(TRIM($E602)="P",O602,P602)),P602))</f>
        <v>0</v>
      </c>
      <c r="T602" t="str" cm="1">
        <f t="array" ref="T602">IFERROR(IF(D602="SET",_xlfn.TEXTJOIN(", ",TRUE,_xlfn._xlws.FILTER(TRANSPOSE(TRIM(_xlfn.TEXTSPLIT(N602,","))),COUNTIFS(B$3:B$650,TRANSPOSE(TRIM(_xlfn.TEXTSPLIT(N602,","))),O$3:O$650,"&lt;="&amp;$T$1))),""),"")</f>
        <v/>
      </c>
    </row>
    <row r="603" spans="1:20" ht="15.6" customHeight="1" x14ac:dyDescent="0.3">
      <c r="A603" s="1">
        <v>79940</v>
      </c>
      <c r="B603" s="56" t="s">
        <v>1122</v>
      </c>
      <c r="C603" s="1" t="s">
        <v>1260</v>
      </c>
      <c r="D603" s="1" t="s">
        <v>624</v>
      </c>
      <c r="E603" s="1" t="s">
        <v>686</v>
      </c>
      <c r="F603" s="9"/>
      <c r="G603" s="9"/>
      <c r="H603" s="16" t="s">
        <v>179</v>
      </c>
      <c r="I603" s="9" t="b">
        <f t="shared" si="14"/>
        <v>0</v>
      </c>
      <c r="J603" s="1" t="s">
        <v>404</v>
      </c>
      <c r="K603" s="1" t="s">
        <v>273</v>
      </c>
      <c r="L603" s="1" t="s">
        <v>273</v>
      </c>
      <c r="M603" s="9"/>
      <c r="N603" s="35"/>
      <c r="O603" s="24">
        <v>41</v>
      </c>
      <c r="P603" s="2" cm="1">
        <f t="array" ref="P603">_xlfn.XLOOKUP(TRIM(B603),TRIM('[1]wc-product-export-16-3-2026-177'!$A:$A),'[1]wc-product-export-16-3-2026-177'!$D:$D,0,0)</f>
        <v>0</v>
      </c>
      <c r="Q603" s="2" cm="1">
        <f t="array" ref="Q603">IF(TRIM($D603)="SET",IF($K603="Steak Set1",ROUNDDOWN(IFERROR(MIN(_xlfn._xlws.FILTER(O$3:O$650,ISNUMBER(MATCH(TRIM($B$3:$B$650),TRIM(_xlfn.TEXTSPLIT($N603,",")),0)))),0)/4,0)+P603,IF(IFERROR(MIN(_xlfn._xlws.FILTER(O$3:O$650,ISNUMBER(MATCH(TRIM($B$3:$B$650),TRIM(_xlfn.TEXTSPLIT($N603,",")),0)))),0)&gt;=$E$1,IFERROR(MIN(_xlfn._xlws.FILTER(O$3:O$650,ISNUMBER(MATCH(TRIM($B$3:$B$650),TRIM(_xlfn.TEXTSPLIT($N603,",")),0)))),0)+P603,P603)),IF(TRIM($D603)="EA",IF(TRIM($E603)="M",ROUNDUP(O603*0.85,0),IF(TRIM($E603)="P",O603,P603)),P603))</f>
        <v>35</v>
      </c>
      <c r="T603" t="str" cm="1">
        <f t="array" ref="T603">IFERROR(IF(D603="SET",_xlfn.TEXTJOIN(", ",TRUE,_xlfn._xlws.FILTER(TRANSPOSE(TRIM(_xlfn.TEXTSPLIT(N603,","))),COUNTIFS(B$3:B$650,TRANSPOSE(TRIM(_xlfn.TEXTSPLIT(N603,","))),O$3:O$650,"&lt;="&amp;$T$1))),""),"")</f>
        <v/>
      </c>
    </row>
    <row r="604" spans="1:20" ht="15.6" customHeight="1" x14ac:dyDescent="0.3">
      <c r="A604" s="1">
        <v>79943</v>
      </c>
      <c r="B604" s="56" t="s">
        <v>1123</v>
      </c>
      <c r="C604" s="1" t="s">
        <v>1260</v>
      </c>
      <c r="D604" s="1" t="s">
        <v>624</v>
      </c>
      <c r="E604" s="1" t="s">
        <v>686</v>
      </c>
      <c r="F604" s="9"/>
      <c r="G604" s="9"/>
      <c r="H604" s="16" t="s">
        <v>159</v>
      </c>
      <c r="I604" s="9" t="b">
        <f t="shared" si="14"/>
        <v>0</v>
      </c>
      <c r="J604" s="1" t="s">
        <v>404</v>
      </c>
      <c r="K604" s="1" t="s">
        <v>274</v>
      </c>
      <c r="L604" s="1" t="s">
        <v>274</v>
      </c>
      <c r="M604" s="9"/>
      <c r="N604" s="35"/>
      <c r="O604" s="24">
        <v>26</v>
      </c>
      <c r="P604" s="2" cm="1">
        <f t="array" ref="P604">_xlfn.XLOOKUP(TRIM(B604),TRIM('[1]wc-product-export-16-3-2026-177'!$A:$A),'[1]wc-product-export-16-3-2026-177'!$D:$D,0,0)</f>
        <v>0</v>
      </c>
      <c r="Q604" s="2" cm="1">
        <f t="array" ref="Q604">IF(TRIM($D604)="SET",IF($K604="Steak Set1",ROUNDDOWN(IFERROR(MIN(_xlfn._xlws.FILTER(O$3:O$650,ISNUMBER(MATCH(TRIM($B$3:$B$650),TRIM(_xlfn.TEXTSPLIT($N604,",")),0)))),0)/4,0)+P604,IF(IFERROR(MIN(_xlfn._xlws.FILTER(O$3:O$650,ISNUMBER(MATCH(TRIM($B$3:$B$650),TRIM(_xlfn.TEXTSPLIT($N604,",")),0)))),0)&gt;=$E$1,IFERROR(MIN(_xlfn._xlws.FILTER(O$3:O$650,ISNUMBER(MATCH(TRIM($B$3:$B$650),TRIM(_xlfn.TEXTSPLIT($N604,",")),0)))),0)+P604,P604)),IF(TRIM($D604)="EA",IF(TRIM($E604)="M",ROUNDUP(O604*0.85,0),IF(TRIM($E604)="P",O604,P604)),P604))</f>
        <v>23</v>
      </c>
      <c r="T604" t="str" cm="1">
        <f t="array" ref="T604">IFERROR(IF(D604="SET",_xlfn.TEXTJOIN(", ",TRUE,_xlfn._xlws.FILTER(TRANSPOSE(TRIM(_xlfn.TEXTSPLIT(N604,","))),COUNTIFS(B$3:B$650,TRANSPOSE(TRIM(_xlfn.TEXTSPLIT(N604,","))),O$3:O$650,"&lt;="&amp;$T$1))),""),"")</f>
        <v/>
      </c>
    </row>
    <row r="605" spans="1:20" ht="15.6" customHeight="1" x14ac:dyDescent="0.3">
      <c r="A605" s="1">
        <v>79945</v>
      </c>
      <c r="B605" s="55" t="s">
        <v>1124</v>
      </c>
      <c r="C605" s="1" t="s">
        <v>1260</v>
      </c>
      <c r="D605" s="1" t="s">
        <v>624</v>
      </c>
      <c r="E605" s="1" t="s">
        <v>686</v>
      </c>
      <c r="F605" s="9"/>
      <c r="G605" s="9"/>
      <c r="H605" s="16" t="s">
        <v>189</v>
      </c>
      <c r="I605" s="9" t="b">
        <f t="shared" si="14"/>
        <v>0</v>
      </c>
      <c r="J605" s="1" t="s">
        <v>404</v>
      </c>
      <c r="K605" s="1" t="s">
        <v>273</v>
      </c>
      <c r="L605" s="1" t="s">
        <v>1294</v>
      </c>
      <c r="M605" s="9"/>
      <c r="N605" s="35"/>
      <c r="O605" s="24">
        <v>13</v>
      </c>
      <c r="P605" s="2" cm="1">
        <f t="array" ref="P605">_xlfn.XLOOKUP(TRIM(B605),TRIM('[1]wc-product-export-16-3-2026-177'!$A:$A),'[1]wc-product-export-16-3-2026-177'!$D:$D,0,0)</f>
        <v>0</v>
      </c>
      <c r="Q605" s="2" cm="1">
        <f t="array" ref="Q605">IF(TRIM($D605)="SET",IF($K605="Steak Set1",ROUNDDOWN(IFERROR(MIN(_xlfn._xlws.FILTER(O$3:O$650,ISNUMBER(MATCH(TRIM($B$3:$B$650),TRIM(_xlfn.TEXTSPLIT($N605,",")),0)))),0)/4,0)+P605,IF(IFERROR(MIN(_xlfn._xlws.FILTER(O$3:O$650,ISNUMBER(MATCH(TRIM($B$3:$B$650),TRIM(_xlfn.TEXTSPLIT($N605,",")),0)))),0)&gt;=$E$1,IFERROR(MIN(_xlfn._xlws.FILTER(O$3:O$650,ISNUMBER(MATCH(TRIM($B$3:$B$650),TRIM(_xlfn.TEXTSPLIT($N605,",")),0)))),0)+P605,P605)),IF(TRIM($D605)="EA",IF(TRIM($E605)="M",ROUNDUP(O605*0.85,0),IF(TRIM($E605)="P",O605,P605)),P605))</f>
        <v>12</v>
      </c>
      <c r="T605" t="str" cm="1">
        <f t="array" ref="T605">IFERROR(IF(D605="SET",_xlfn.TEXTJOIN(", ",TRUE,_xlfn._xlws.FILTER(TRANSPOSE(TRIM(_xlfn.TEXTSPLIT(N605,","))),COUNTIFS(B$3:B$650,TRANSPOSE(TRIM(_xlfn.TEXTSPLIT(N605,","))),O$3:O$650,"&lt;="&amp;$T$1))),""),"")</f>
        <v/>
      </c>
    </row>
    <row r="606" spans="1:20" ht="15.6" customHeight="1" x14ac:dyDescent="0.3">
      <c r="A606" s="1">
        <v>79948</v>
      </c>
      <c r="B606" s="56" t="s">
        <v>1125</v>
      </c>
      <c r="C606" s="1" t="s">
        <v>1260</v>
      </c>
      <c r="D606" s="1" t="s">
        <v>624</v>
      </c>
      <c r="E606" s="1" t="s">
        <v>686</v>
      </c>
      <c r="F606" s="9"/>
      <c r="G606" s="9"/>
      <c r="H606" s="16" t="s">
        <v>151</v>
      </c>
      <c r="I606" s="9" t="b">
        <f t="shared" si="14"/>
        <v>0</v>
      </c>
      <c r="J606" s="1" t="s">
        <v>404</v>
      </c>
      <c r="K606" s="1" t="s">
        <v>275</v>
      </c>
      <c r="L606" s="1" t="s">
        <v>1730</v>
      </c>
      <c r="M606" s="9"/>
      <c r="N606" s="35"/>
      <c r="O606" s="24">
        <v>51</v>
      </c>
      <c r="P606" s="2" cm="1">
        <f t="array" ref="P606">_xlfn.XLOOKUP(TRIM(B606),TRIM('[1]wc-product-export-16-3-2026-177'!$A:$A),'[1]wc-product-export-16-3-2026-177'!$D:$D,0,0)</f>
        <v>0</v>
      </c>
      <c r="Q606" s="2" cm="1">
        <f t="array" ref="Q606">IF(TRIM($D606)="SET",IF($K606="Steak Set1",ROUNDDOWN(IFERROR(MIN(_xlfn._xlws.FILTER(O$3:O$650,ISNUMBER(MATCH(TRIM($B$3:$B$650),TRIM(_xlfn.TEXTSPLIT($N606,",")),0)))),0)/4,0)+P606,IF(IFERROR(MIN(_xlfn._xlws.FILTER(O$3:O$650,ISNUMBER(MATCH(TRIM($B$3:$B$650),TRIM(_xlfn.TEXTSPLIT($N606,",")),0)))),0)&gt;=$E$1,IFERROR(MIN(_xlfn._xlws.FILTER(O$3:O$650,ISNUMBER(MATCH(TRIM($B$3:$B$650),TRIM(_xlfn.TEXTSPLIT($N606,",")),0)))),0)+P606,P606)),IF(TRIM($D606)="EA",IF(TRIM($E606)="M",ROUNDUP(O606*0.85,0),IF(TRIM($E606)="P",O606,P606)),P606))</f>
        <v>44</v>
      </c>
      <c r="T606" t="str" cm="1">
        <f t="array" ref="T606">IFERROR(IF(D606="SET",_xlfn.TEXTJOIN(", ",TRUE,_xlfn._xlws.FILTER(TRANSPOSE(TRIM(_xlfn.TEXTSPLIT(N606,","))),COUNTIFS(B$3:B$650,TRANSPOSE(TRIM(_xlfn.TEXTSPLIT(N606,","))),O$3:O$650,"&lt;="&amp;$T$1))),""),"")</f>
        <v/>
      </c>
    </row>
    <row r="607" spans="1:20" ht="15.6" customHeight="1" x14ac:dyDescent="0.3">
      <c r="A607" s="1">
        <v>79949</v>
      </c>
      <c r="B607" s="56" t="s">
        <v>1126</v>
      </c>
      <c r="C607" s="1" t="s">
        <v>1260</v>
      </c>
      <c r="D607" s="1" t="s">
        <v>624</v>
      </c>
      <c r="E607" s="1" t="s">
        <v>686</v>
      </c>
      <c r="F607" s="9"/>
      <c r="G607" s="9"/>
      <c r="H607" s="16" t="s">
        <v>160</v>
      </c>
      <c r="I607" s="9" t="b">
        <f t="shared" si="14"/>
        <v>0</v>
      </c>
      <c r="J607" s="1" t="s">
        <v>404</v>
      </c>
      <c r="K607" s="1" t="s">
        <v>275</v>
      </c>
      <c r="L607" s="1" t="s">
        <v>1731</v>
      </c>
      <c r="M607" s="9"/>
      <c r="N607" s="35"/>
      <c r="O607" s="24">
        <v>15</v>
      </c>
      <c r="P607" s="2" cm="1">
        <f t="array" ref="P607">_xlfn.XLOOKUP(TRIM(B607),TRIM('[1]wc-product-export-16-3-2026-177'!$A:$A),'[1]wc-product-export-16-3-2026-177'!$D:$D,0,0)</f>
        <v>0</v>
      </c>
      <c r="Q607" s="2" cm="1">
        <f t="array" ref="Q607">IF(TRIM($D607)="SET",IF($K607="Steak Set1",ROUNDDOWN(IFERROR(MIN(_xlfn._xlws.FILTER(O$3:O$650,ISNUMBER(MATCH(TRIM($B$3:$B$650),TRIM(_xlfn.TEXTSPLIT($N607,",")),0)))),0)/4,0)+P607,IF(IFERROR(MIN(_xlfn._xlws.FILTER(O$3:O$650,ISNUMBER(MATCH(TRIM($B$3:$B$650),TRIM(_xlfn.TEXTSPLIT($N607,",")),0)))),0)&gt;=$E$1,IFERROR(MIN(_xlfn._xlws.FILTER(O$3:O$650,ISNUMBER(MATCH(TRIM($B$3:$B$650),TRIM(_xlfn.TEXTSPLIT($N607,",")),0)))),0)+P607,P607)),IF(TRIM($D607)="EA",IF(TRIM($E607)="M",ROUNDUP(O607*0.85,0),IF(TRIM($E607)="P",O607,P607)),P607))</f>
        <v>13</v>
      </c>
      <c r="T607" t="str" cm="1">
        <f t="array" ref="T607">IFERROR(IF(D607="SET",_xlfn.TEXTJOIN(", ",TRUE,_xlfn._xlws.FILTER(TRANSPOSE(TRIM(_xlfn.TEXTSPLIT(N607,","))),COUNTIFS(B$3:B$650,TRANSPOSE(TRIM(_xlfn.TEXTSPLIT(N607,","))),O$3:O$650,"&lt;="&amp;$T$1))),""),"")</f>
        <v/>
      </c>
    </row>
    <row r="608" spans="1:20" ht="15.6" customHeight="1" x14ac:dyDescent="0.3">
      <c r="A608" s="1">
        <v>79950</v>
      </c>
      <c r="B608" s="55" t="s">
        <v>1127</v>
      </c>
      <c r="C608" s="1" t="s">
        <v>1260</v>
      </c>
      <c r="D608" s="1" t="s">
        <v>624</v>
      </c>
      <c r="E608" s="1" t="s">
        <v>686</v>
      </c>
      <c r="F608" s="9"/>
      <c r="G608" s="9"/>
      <c r="H608" s="16" t="s">
        <v>1691</v>
      </c>
      <c r="I608" s="9" t="b">
        <f t="shared" si="14"/>
        <v>0</v>
      </c>
      <c r="J608" s="1" t="s">
        <v>404</v>
      </c>
      <c r="K608" s="1" t="s">
        <v>275</v>
      </c>
      <c r="L608" s="1" t="s">
        <v>1732</v>
      </c>
      <c r="M608" s="9"/>
      <c r="N608" s="35"/>
      <c r="O608" s="24">
        <v>10</v>
      </c>
      <c r="P608" s="2" cm="1">
        <f t="array" ref="P608">_xlfn.XLOOKUP(TRIM(B608),TRIM('[1]wc-product-export-16-3-2026-177'!$A:$A),'[1]wc-product-export-16-3-2026-177'!$D:$D,0,0)</f>
        <v>0</v>
      </c>
      <c r="Q608" s="2" cm="1">
        <f t="array" ref="Q608">IF(TRIM($D608)="SET",IF($K608="Steak Set1",ROUNDDOWN(IFERROR(MIN(_xlfn._xlws.FILTER(O$3:O$650,ISNUMBER(MATCH(TRIM($B$3:$B$650),TRIM(_xlfn.TEXTSPLIT($N608,",")),0)))),0)/4,0)+P608,IF(IFERROR(MIN(_xlfn._xlws.FILTER(O$3:O$650,ISNUMBER(MATCH(TRIM($B$3:$B$650),TRIM(_xlfn.TEXTSPLIT($N608,",")),0)))),0)&gt;=$E$1,IFERROR(MIN(_xlfn._xlws.FILTER(O$3:O$650,ISNUMBER(MATCH(TRIM($B$3:$B$650),TRIM(_xlfn.TEXTSPLIT($N608,",")),0)))),0)+P608,P608)),IF(TRIM($D608)="EA",IF(TRIM($E608)="M",ROUNDUP(O608*0.85,0),IF(TRIM($E608)="P",O608,P608)),P608))</f>
        <v>9</v>
      </c>
      <c r="T608" t="str" cm="1">
        <f t="array" ref="T608">IFERROR(IF(D608="SET",_xlfn.TEXTJOIN(", ",TRUE,_xlfn._xlws.FILTER(TRANSPOSE(TRIM(_xlfn.TEXTSPLIT(N608,","))),COUNTIFS(B$3:B$650,TRANSPOSE(TRIM(_xlfn.TEXTSPLIT(N608,","))),O$3:O$650,"&lt;="&amp;$T$1))),""),"")</f>
        <v/>
      </c>
    </row>
    <row r="609" spans="1:20" ht="15.6" customHeight="1" x14ac:dyDescent="0.3">
      <c r="A609" s="1">
        <v>79952</v>
      </c>
      <c r="B609" s="55" t="s">
        <v>1128</v>
      </c>
      <c r="C609" s="1" t="s">
        <v>1260</v>
      </c>
      <c r="D609" s="1" t="s">
        <v>624</v>
      </c>
      <c r="E609" s="1" t="s">
        <v>686</v>
      </c>
      <c r="F609" s="9"/>
      <c r="G609" s="9"/>
      <c r="H609" s="16" t="s">
        <v>165</v>
      </c>
      <c r="I609" s="9" t="b">
        <f t="shared" si="14"/>
        <v>0</v>
      </c>
      <c r="J609" s="1" t="s">
        <v>404</v>
      </c>
      <c r="K609" s="1" t="s">
        <v>275</v>
      </c>
      <c r="L609" s="1" t="s">
        <v>1733</v>
      </c>
      <c r="M609" s="9"/>
      <c r="N609" s="35"/>
      <c r="O609" s="24">
        <v>0</v>
      </c>
      <c r="P609" s="2" cm="1">
        <f t="array" ref="P609">_xlfn.XLOOKUP(TRIM(B609),TRIM('[1]wc-product-export-16-3-2026-177'!$A:$A),'[1]wc-product-export-16-3-2026-177'!$D:$D,0,0)</f>
        <v>0</v>
      </c>
      <c r="Q609" s="2" cm="1">
        <f t="array" ref="Q609">IF(TRIM($D609)="SET",IF($K609="Steak Set1",ROUNDDOWN(IFERROR(MIN(_xlfn._xlws.FILTER(O$3:O$650,ISNUMBER(MATCH(TRIM($B$3:$B$650),TRIM(_xlfn.TEXTSPLIT($N609,",")),0)))),0)/4,0)+P609,IF(IFERROR(MIN(_xlfn._xlws.FILTER(O$3:O$650,ISNUMBER(MATCH(TRIM($B$3:$B$650),TRIM(_xlfn.TEXTSPLIT($N609,",")),0)))),0)&gt;=$E$1,IFERROR(MIN(_xlfn._xlws.FILTER(O$3:O$650,ISNUMBER(MATCH(TRIM($B$3:$B$650),TRIM(_xlfn.TEXTSPLIT($N609,",")),0)))),0)+P609,P609)),IF(TRIM($D609)="EA",IF(TRIM($E609)="M",ROUNDUP(O609*0.85,0),IF(TRIM($E609)="P",O609,P609)),P609))</f>
        <v>0</v>
      </c>
      <c r="T609" t="str" cm="1">
        <f t="array" ref="T609">IFERROR(IF(D609="SET",_xlfn.TEXTJOIN(", ",TRUE,_xlfn._xlws.FILTER(TRANSPOSE(TRIM(_xlfn.TEXTSPLIT(N609,","))),COUNTIFS(B$3:B$650,TRANSPOSE(TRIM(_xlfn.TEXTSPLIT(N609,","))),O$3:O$650,"&lt;="&amp;$T$1))),""),"")</f>
        <v/>
      </c>
    </row>
    <row r="610" spans="1:20" ht="15.6" customHeight="1" x14ac:dyDescent="0.3">
      <c r="A610" s="1">
        <v>79953</v>
      </c>
      <c r="B610" s="56" t="s">
        <v>1129</v>
      </c>
      <c r="C610" s="1" t="s">
        <v>1260</v>
      </c>
      <c r="D610" s="1" t="s">
        <v>624</v>
      </c>
      <c r="E610" s="1" t="s">
        <v>686</v>
      </c>
      <c r="F610" s="9"/>
      <c r="G610" s="9"/>
      <c r="H610" s="16" t="s">
        <v>162</v>
      </c>
      <c r="I610" s="9" t="b">
        <f t="shared" si="14"/>
        <v>0</v>
      </c>
      <c r="J610" s="1" t="s">
        <v>404</v>
      </c>
      <c r="K610" s="1" t="s">
        <v>269</v>
      </c>
      <c r="L610" s="1" t="s">
        <v>1729</v>
      </c>
      <c r="M610" s="9"/>
      <c r="N610" s="35"/>
      <c r="O610" s="24">
        <v>18</v>
      </c>
      <c r="P610" s="2" cm="1">
        <f t="array" ref="P610">_xlfn.XLOOKUP(TRIM(B610),TRIM('[1]wc-product-export-16-3-2026-177'!$A:$A),'[1]wc-product-export-16-3-2026-177'!$D:$D,0,0)</f>
        <v>0</v>
      </c>
      <c r="Q610" s="2" cm="1">
        <f t="array" ref="Q610">IF(TRIM($D610)="SET",IF($K610="Steak Set1",ROUNDDOWN(IFERROR(MIN(_xlfn._xlws.FILTER(O$3:O$650,ISNUMBER(MATCH(TRIM($B$3:$B$650),TRIM(_xlfn.TEXTSPLIT($N610,",")),0)))),0)/4,0)+P610,IF(IFERROR(MIN(_xlfn._xlws.FILTER(O$3:O$650,ISNUMBER(MATCH(TRIM($B$3:$B$650),TRIM(_xlfn.TEXTSPLIT($N610,",")),0)))),0)&gt;=$E$1,IFERROR(MIN(_xlfn._xlws.FILTER(O$3:O$650,ISNUMBER(MATCH(TRIM($B$3:$B$650),TRIM(_xlfn.TEXTSPLIT($N610,",")),0)))),0)+P610,P610)),IF(TRIM($D610)="EA",IF(TRIM($E610)="M",ROUNDUP(O610*0.85,0),IF(TRIM($E610)="P",O610,P610)),P610))</f>
        <v>16</v>
      </c>
      <c r="T610" t="str" cm="1">
        <f t="array" ref="T610">IFERROR(IF(D610="SET",_xlfn.TEXTJOIN(", ",TRUE,_xlfn._xlws.FILTER(TRANSPOSE(TRIM(_xlfn.TEXTSPLIT(N610,","))),COUNTIFS(B$3:B$650,TRANSPOSE(TRIM(_xlfn.TEXTSPLIT(N610,","))),O$3:O$650,"&lt;="&amp;$T$1))),""),"")</f>
        <v/>
      </c>
    </row>
    <row r="611" spans="1:20" ht="15.6" customHeight="1" x14ac:dyDescent="0.3">
      <c r="A611" s="1">
        <v>79955</v>
      </c>
      <c r="B611" s="55" t="s">
        <v>1130</v>
      </c>
      <c r="C611" s="1" t="s">
        <v>1260</v>
      </c>
      <c r="D611" s="1" t="s">
        <v>624</v>
      </c>
      <c r="E611" s="1" t="s">
        <v>686</v>
      </c>
      <c r="F611" s="9"/>
      <c r="G611" s="9"/>
      <c r="H611" s="16" t="s">
        <v>163</v>
      </c>
      <c r="I611" s="9" t="b">
        <f t="shared" si="14"/>
        <v>0</v>
      </c>
      <c r="J611" s="1" t="s">
        <v>404</v>
      </c>
      <c r="K611" s="1" t="s">
        <v>272</v>
      </c>
      <c r="L611" s="1" t="s">
        <v>272</v>
      </c>
      <c r="M611" s="9"/>
      <c r="N611" s="35"/>
      <c r="O611" s="24">
        <v>1</v>
      </c>
      <c r="P611" s="2" cm="1">
        <f t="array" ref="P611">_xlfn.XLOOKUP(TRIM(B611),TRIM('[1]wc-product-export-16-3-2026-177'!$A:$A),'[1]wc-product-export-16-3-2026-177'!$D:$D,0,0)</f>
        <v>0</v>
      </c>
      <c r="Q611" s="2" cm="1">
        <f t="array" ref="Q611">IF(TRIM($D611)="SET",IF($K611="Steak Set1",ROUNDDOWN(IFERROR(MIN(_xlfn._xlws.FILTER(O$3:O$650,ISNUMBER(MATCH(TRIM($B$3:$B$650),TRIM(_xlfn.TEXTSPLIT($N611,",")),0)))),0)/4,0)+P611,IF(IFERROR(MIN(_xlfn._xlws.FILTER(O$3:O$650,ISNUMBER(MATCH(TRIM($B$3:$B$650),TRIM(_xlfn.TEXTSPLIT($N611,",")),0)))),0)&gt;=$E$1,IFERROR(MIN(_xlfn._xlws.FILTER(O$3:O$650,ISNUMBER(MATCH(TRIM($B$3:$B$650),TRIM(_xlfn.TEXTSPLIT($N611,",")),0)))),0)+P611,P611)),IF(TRIM($D611)="EA",IF(TRIM($E611)="M",ROUNDUP(O611*0.85,0),IF(TRIM($E611)="P",O611,P611)),P611))</f>
        <v>1</v>
      </c>
      <c r="T611" t="str" cm="1">
        <f t="array" ref="T611">IFERROR(IF(D611="SET",_xlfn.TEXTJOIN(", ",TRUE,_xlfn._xlws.FILTER(TRANSPOSE(TRIM(_xlfn.TEXTSPLIT(N611,","))),COUNTIFS(B$3:B$650,TRANSPOSE(TRIM(_xlfn.TEXTSPLIT(N611,","))),O$3:O$650,"&lt;="&amp;$T$1))),""),"")</f>
        <v/>
      </c>
    </row>
    <row r="612" spans="1:20" ht="15.6" customHeight="1" x14ac:dyDescent="0.3">
      <c r="A612" s="1">
        <v>79957</v>
      </c>
      <c r="B612" s="55" t="s">
        <v>1131</v>
      </c>
      <c r="C612" s="1" t="s">
        <v>1260</v>
      </c>
      <c r="D612" s="1" t="s">
        <v>624</v>
      </c>
      <c r="E612" s="1" t="s">
        <v>686</v>
      </c>
      <c r="F612" s="9"/>
      <c r="G612" s="9"/>
      <c r="H612" s="16" t="s">
        <v>166</v>
      </c>
      <c r="I612" s="9" t="b">
        <f t="shared" si="14"/>
        <v>0</v>
      </c>
      <c r="J612" s="1" t="s">
        <v>404</v>
      </c>
      <c r="K612" s="1" t="s">
        <v>272</v>
      </c>
      <c r="L612" s="1" t="s">
        <v>272</v>
      </c>
      <c r="M612" s="9"/>
      <c r="N612" s="35"/>
      <c r="O612" s="24">
        <v>11</v>
      </c>
      <c r="P612" s="2" cm="1">
        <f t="array" ref="P612">_xlfn.XLOOKUP(TRIM(B612),TRIM('[1]wc-product-export-16-3-2026-177'!$A:$A),'[1]wc-product-export-16-3-2026-177'!$D:$D,0,0)</f>
        <v>0</v>
      </c>
      <c r="Q612" s="2" cm="1">
        <f t="array" ref="Q612">IF(TRIM($D612)="SET",IF($K612="Steak Set1",ROUNDDOWN(IFERROR(MIN(_xlfn._xlws.FILTER(O$3:O$650,ISNUMBER(MATCH(TRIM($B$3:$B$650),TRIM(_xlfn.TEXTSPLIT($N612,",")),0)))),0)/4,0)+P612,IF(IFERROR(MIN(_xlfn._xlws.FILTER(O$3:O$650,ISNUMBER(MATCH(TRIM($B$3:$B$650),TRIM(_xlfn.TEXTSPLIT($N612,",")),0)))),0)&gt;=$E$1,IFERROR(MIN(_xlfn._xlws.FILTER(O$3:O$650,ISNUMBER(MATCH(TRIM($B$3:$B$650),TRIM(_xlfn.TEXTSPLIT($N612,",")),0)))),0)+P612,P612)),IF(TRIM($D612)="EA",IF(TRIM($E612)="M",ROUNDUP(O612*0.85,0),IF(TRIM($E612)="P",O612,P612)),P612))</f>
        <v>10</v>
      </c>
      <c r="T612" t="str" cm="1">
        <f t="array" ref="T612">IFERROR(IF(D612="SET",_xlfn.TEXTJOIN(", ",TRUE,_xlfn._xlws.FILTER(TRANSPOSE(TRIM(_xlfn.TEXTSPLIT(N612,","))),COUNTIFS(B$3:B$650,TRANSPOSE(TRIM(_xlfn.TEXTSPLIT(N612,","))),O$3:O$650,"&lt;="&amp;$T$1))),""),"")</f>
        <v/>
      </c>
    </row>
    <row r="613" spans="1:20" ht="15.6" customHeight="1" x14ac:dyDescent="0.3">
      <c r="A613" s="1">
        <v>79958</v>
      </c>
      <c r="B613" s="55" t="s">
        <v>1132</v>
      </c>
      <c r="C613" s="1" t="s">
        <v>1260</v>
      </c>
      <c r="D613" s="1" t="s">
        <v>624</v>
      </c>
      <c r="E613" s="1" t="s">
        <v>686</v>
      </c>
      <c r="F613" s="9"/>
      <c r="G613" s="9"/>
      <c r="H613" s="16" t="s">
        <v>200</v>
      </c>
      <c r="I613" s="9" t="b">
        <f t="shared" si="14"/>
        <v>0</v>
      </c>
      <c r="J613" s="1" t="s">
        <v>404</v>
      </c>
      <c r="K613" s="1" t="s">
        <v>269</v>
      </c>
      <c r="L613" s="1" t="s">
        <v>1724</v>
      </c>
      <c r="M613" s="9"/>
      <c r="N613" s="35"/>
      <c r="O613" s="24">
        <v>2</v>
      </c>
      <c r="P613" s="2" cm="1">
        <f t="array" ref="P613">_xlfn.XLOOKUP(TRIM(B613),TRIM('[1]wc-product-export-16-3-2026-177'!$A:$A),'[1]wc-product-export-16-3-2026-177'!$D:$D,0,0)</f>
        <v>0</v>
      </c>
      <c r="Q613" s="2" cm="1">
        <f t="array" ref="Q613">IF(TRIM($D613)="SET",IF($K613="Steak Set1",ROUNDDOWN(IFERROR(MIN(_xlfn._xlws.FILTER(O$3:O$650,ISNUMBER(MATCH(TRIM($B$3:$B$650),TRIM(_xlfn.TEXTSPLIT($N613,",")),0)))),0)/4,0)+P613,IF(IFERROR(MIN(_xlfn._xlws.FILTER(O$3:O$650,ISNUMBER(MATCH(TRIM($B$3:$B$650),TRIM(_xlfn.TEXTSPLIT($N613,",")),0)))),0)&gt;=$E$1,IFERROR(MIN(_xlfn._xlws.FILTER(O$3:O$650,ISNUMBER(MATCH(TRIM($B$3:$B$650),TRIM(_xlfn.TEXTSPLIT($N613,",")),0)))),0)+P613,P613)),IF(TRIM($D613)="EA",IF(TRIM($E613)="M",ROUNDUP(O613*0.85,0),IF(TRIM($E613)="P",O613,P613)),P613))</f>
        <v>2</v>
      </c>
      <c r="T613" t="str" cm="1">
        <f t="array" ref="T613">IFERROR(IF(D613="SET",_xlfn.TEXTJOIN(", ",TRUE,_xlfn._xlws.FILTER(TRANSPOSE(TRIM(_xlfn.TEXTSPLIT(N613,","))),COUNTIFS(B$3:B$650,TRANSPOSE(TRIM(_xlfn.TEXTSPLIT(N613,","))),O$3:O$650,"&lt;="&amp;$T$1))),""),"")</f>
        <v/>
      </c>
    </row>
    <row r="614" spans="1:20" ht="15.6" customHeight="1" x14ac:dyDescent="0.3">
      <c r="A614" s="1">
        <v>79959</v>
      </c>
      <c r="B614" s="56" t="s">
        <v>1133</v>
      </c>
      <c r="C614" s="1" t="s">
        <v>1260</v>
      </c>
      <c r="D614" s="1" t="s">
        <v>624</v>
      </c>
      <c r="E614" s="1" t="s">
        <v>686</v>
      </c>
      <c r="F614" s="9"/>
      <c r="G614" s="9"/>
      <c r="H614" s="16" t="s">
        <v>167</v>
      </c>
      <c r="I614" s="9" t="b">
        <f t="shared" si="14"/>
        <v>0</v>
      </c>
      <c r="J614" s="1" t="s">
        <v>404</v>
      </c>
      <c r="K614" s="1" t="s">
        <v>273</v>
      </c>
      <c r="L614" s="1" t="s">
        <v>1734</v>
      </c>
      <c r="M614" s="9"/>
      <c r="N614" s="35"/>
      <c r="O614" s="24">
        <v>37</v>
      </c>
      <c r="P614" s="2" cm="1">
        <f t="array" ref="P614">_xlfn.XLOOKUP(TRIM(B614),TRIM('[1]wc-product-export-16-3-2026-177'!$A:$A),'[1]wc-product-export-16-3-2026-177'!$D:$D,0,0)</f>
        <v>0</v>
      </c>
      <c r="Q614" s="2" cm="1">
        <f t="array" ref="Q614">IF(TRIM($D614)="SET",IF($K614="Steak Set1",ROUNDDOWN(IFERROR(MIN(_xlfn._xlws.FILTER(O$3:O$650,ISNUMBER(MATCH(TRIM($B$3:$B$650),TRIM(_xlfn.TEXTSPLIT($N614,",")),0)))),0)/4,0)+P614,IF(IFERROR(MIN(_xlfn._xlws.FILTER(O$3:O$650,ISNUMBER(MATCH(TRIM($B$3:$B$650),TRIM(_xlfn.TEXTSPLIT($N614,",")),0)))),0)&gt;=$E$1,IFERROR(MIN(_xlfn._xlws.FILTER(O$3:O$650,ISNUMBER(MATCH(TRIM($B$3:$B$650),TRIM(_xlfn.TEXTSPLIT($N614,",")),0)))),0)+P614,P614)),IF(TRIM($D614)="EA",IF(TRIM($E614)="M",ROUNDUP(O614*0.85,0),IF(TRIM($E614)="P",O614,P614)),P614))</f>
        <v>32</v>
      </c>
      <c r="T614" t="str" cm="1">
        <f t="array" ref="T614">IFERROR(IF(D614="SET",_xlfn.TEXTJOIN(", ",TRUE,_xlfn._xlws.FILTER(TRANSPOSE(TRIM(_xlfn.TEXTSPLIT(N614,","))),COUNTIFS(B$3:B$650,TRANSPOSE(TRIM(_xlfn.TEXTSPLIT(N614,","))),O$3:O$650,"&lt;="&amp;$T$1))),""),"")</f>
        <v/>
      </c>
    </row>
    <row r="615" spans="1:20" ht="15.6" customHeight="1" x14ac:dyDescent="0.3">
      <c r="A615" s="1">
        <v>79960</v>
      </c>
      <c r="B615" s="56" t="s">
        <v>1134</v>
      </c>
      <c r="C615" s="1" t="s">
        <v>1260</v>
      </c>
      <c r="D615" s="1" t="s">
        <v>624</v>
      </c>
      <c r="E615" s="1" t="s">
        <v>686</v>
      </c>
      <c r="F615" s="9"/>
      <c r="G615" s="9"/>
      <c r="H615" s="16" t="s">
        <v>263</v>
      </c>
      <c r="I615" s="9" t="b">
        <f t="shared" si="14"/>
        <v>0</v>
      </c>
      <c r="J615" s="1" t="s">
        <v>404</v>
      </c>
      <c r="K615" s="1" t="s">
        <v>276</v>
      </c>
      <c r="L615" s="1" t="s">
        <v>276</v>
      </c>
      <c r="M615" s="9"/>
      <c r="N615" s="35"/>
      <c r="O615" s="24">
        <v>6</v>
      </c>
      <c r="P615" s="2" cm="1">
        <f t="array" ref="P615">_xlfn.XLOOKUP(TRIM(B615),TRIM('[1]wc-product-export-16-3-2026-177'!$A:$A),'[1]wc-product-export-16-3-2026-177'!$D:$D,0,0)</f>
        <v>0</v>
      </c>
      <c r="Q615" s="2" cm="1">
        <f t="array" ref="Q615">IF(TRIM($D615)="SET",IF($K615="Steak Set1",ROUNDDOWN(IFERROR(MIN(_xlfn._xlws.FILTER(O$3:O$650,ISNUMBER(MATCH(TRIM($B$3:$B$650),TRIM(_xlfn.TEXTSPLIT($N615,",")),0)))),0)/4,0)+P615,IF(IFERROR(MIN(_xlfn._xlws.FILTER(O$3:O$650,ISNUMBER(MATCH(TRIM($B$3:$B$650),TRIM(_xlfn.TEXTSPLIT($N615,",")),0)))),0)&gt;=$E$1,IFERROR(MIN(_xlfn._xlws.FILTER(O$3:O$650,ISNUMBER(MATCH(TRIM($B$3:$B$650),TRIM(_xlfn.TEXTSPLIT($N615,",")),0)))),0)+P615,P615)),IF(TRIM($D615)="EA",IF(TRIM($E615)="M",ROUNDUP(O615*0.85,0),IF(TRIM($E615)="P",O615,P615)),P615))</f>
        <v>6</v>
      </c>
      <c r="T615" t="str" cm="1">
        <f t="array" ref="T615">IFERROR(IF(D615="SET",_xlfn.TEXTJOIN(", ",TRUE,_xlfn._xlws.FILTER(TRANSPOSE(TRIM(_xlfn.TEXTSPLIT(N615,","))),COUNTIFS(B$3:B$650,TRANSPOSE(TRIM(_xlfn.TEXTSPLIT(N615,","))),O$3:O$650,"&lt;="&amp;$T$1))),""),"")</f>
        <v/>
      </c>
    </row>
    <row r="616" spans="1:20" ht="15.6" customHeight="1" x14ac:dyDescent="0.3">
      <c r="A616" s="1">
        <v>79963</v>
      </c>
      <c r="B616" s="55" t="s">
        <v>1135</v>
      </c>
      <c r="C616" s="1" t="s">
        <v>1260</v>
      </c>
      <c r="D616" s="1" t="s">
        <v>628</v>
      </c>
      <c r="E616" s="1" t="s">
        <v>686</v>
      </c>
      <c r="F616" s="9"/>
      <c r="G616" s="9"/>
      <c r="H616" s="16" t="s">
        <v>168</v>
      </c>
      <c r="I616" s="9" t="b">
        <f t="shared" ref="I616:I647" si="15">ISNUMBER(SEARCH($I$2,H616))</f>
        <v>0</v>
      </c>
      <c r="J616" s="1" t="s">
        <v>404</v>
      </c>
      <c r="K616" s="1" t="s">
        <v>278</v>
      </c>
      <c r="L616" s="1" t="s">
        <v>1735</v>
      </c>
      <c r="M616" s="9"/>
      <c r="N616" s="35" t="s">
        <v>1604</v>
      </c>
      <c r="O616" s="24">
        <v>0</v>
      </c>
      <c r="P616" s="2" cm="1">
        <f t="array" ref="P616">_xlfn.XLOOKUP(TRIM(B616),TRIM('[1]wc-product-export-16-3-2026-177'!$A:$A),'[1]wc-product-export-16-3-2026-177'!$D:$D,0,0)</f>
        <v>0</v>
      </c>
      <c r="Q616" s="2" cm="1">
        <f t="array" ref="Q616">IF(TRIM($D616)="SET",IF($K616="Steak Set1",ROUNDDOWN(IFERROR(MIN(_xlfn._xlws.FILTER(O$3:O$650,ISNUMBER(MATCH(TRIM($B$3:$B$650),TRIM(_xlfn.TEXTSPLIT($N616,",")),0)))),0)/4,0)+P616,IF(IFERROR(MIN(_xlfn._xlws.FILTER(O$3:O$650,ISNUMBER(MATCH(TRIM($B$3:$B$650),TRIM(_xlfn.TEXTSPLIT($N616,",")),0)))),0)&gt;=$E$1,IFERROR(MIN(_xlfn._xlws.FILTER(O$3:O$650,ISNUMBER(MATCH(TRIM($B$3:$B$650),TRIM(_xlfn.TEXTSPLIT($N616,",")),0)))),0)+P616,P616)),IF(TRIM($D616)="EA",IF(TRIM($E616)="M",ROUNDUP(O616*0.85,0),IF(TRIM($E616)="P",O616,P616)),P616))</f>
        <v>0</v>
      </c>
      <c r="T616" t="str" cm="1">
        <f t="array" ref="T616">IFERROR(IF(D616="SET",_xlfn.TEXTJOIN(", ",TRUE,_xlfn._xlws.FILTER(TRANSPOSE(TRIM(_xlfn.TEXTSPLIT(N616,","))),COUNTIFS(B$3:B$650,TRANSPOSE(TRIM(_xlfn.TEXTSPLIT(N616,","))),O$3:O$650,"&lt;="&amp;$T$1))),""),"")</f>
        <v>79910, 79935</v>
      </c>
    </row>
    <row r="617" spans="1:20" ht="15.6" customHeight="1" x14ac:dyDescent="0.3">
      <c r="A617" s="1">
        <v>79964</v>
      </c>
      <c r="B617" s="55" t="s">
        <v>1136</v>
      </c>
      <c r="C617" s="1" t="s">
        <v>1260</v>
      </c>
      <c r="D617" s="1" t="s">
        <v>628</v>
      </c>
      <c r="E617" s="1" t="s">
        <v>686</v>
      </c>
      <c r="F617" s="9"/>
      <c r="G617" s="9"/>
      <c r="H617" s="16" t="s">
        <v>170</v>
      </c>
      <c r="I617" s="9" t="b">
        <f t="shared" si="15"/>
        <v>0</v>
      </c>
      <c r="J617" s="1" t="s">
        <v>404</v>
      </c>
      <c r="K617" s="1" t="s">
        <v>278</v>
      </c>
      <c r="L617" s="1" t="s">
        <v>1736</v>
      </c>
      <c r="M617" s="9"/>
      <c r="N617" s="35" t="s">
        <v>1603</v>
      </c>
      <c r="O617" s="24">
        <v>0</v>
      </c>
      <c r="P617" s="2" cm="1">
        <f t="array" ref="P617">_xlfn.XLOOKUP(TRIM(B617),TRIM('[1]wc-product-export-16-3-2026-177'!$A:$A),'[1]wc-product-export-16-3-2026-177'!$D:$D,0,0)</f>
        <v>0</v>
      </c>
      <c r="Q617" s="2" cm="1">
        <f t="array" ref="Q617">IF(TRIM($D617)="SET",IF($K617="Steak Set1",ROUNDDOWN(IFERROR(MIN(_xlfn._xlws.FILTER(O$3:O$650,ISNUMBER(MATCH(TRIM($B$3:$B$650),TRIM(_xlfn.TEXTSPLIT($N617,",")),0)))),0)/4,0)+P617,IF(IFERROR(MIN(_xlfn._xlws.FILTER(O$3:O$650,ISNUMBER(MATCH(TRIM($B$3:$B$650),TRIM(_xlfn.TEXTSPLIT($N617,",")),0)))),0)&gt;=$E$1,IFERROR(MIN(_xlfn._xlws.FILTER(O$3:O$650,ISNUMBER(MATCH(TRIM($B$3:$B$650),TRIM(_xlfn.TEXTSPLIT($N617,",")),0)))),0)+P617,P617)),IF(TRIM($D617)="EA",IF(TRIM($E617)="M",ROUNDUP(O617*0.85,0),IF(TRIM($E617)="P",O617,P617)),P617))</f>
        <v>0</v>
      </c>
      <c r="T617" t="str" cm="1">
        <f t="array" ref="T617">IFERROR(IF(D617="SET",_xlfn.TEXTJOIN(", ",TRUE,_xlfn._xlws.FILTER(TRANSPOSE(TRIM(_xlfn.TEXTSPLIT(N617,","))),COUNTIFS(B$3:B$650,TRANSPOSE(TRIM(_xlfn.TEXTSPLIT(N617,","))),O$3:O$650,"&lt;="&amp;$T$1))),""),"")</f>
        <v>79910</v>
      </c>
    </row>
    <row r="618" spans="1:20" ht="15.6" customHeight="1" x14ac:dyDescent="0.3">
      <c r="A618" s="1">
        <v>79968</v>
      </c>
      <c r="B618" s="55" t="s">
        <v>1137</v>
      </c>
      <c r="C618" s="1" t="s">
        <v>1260</v>
      </c>
      <c r="D618" s="1" t="s">
        <v>628</v>
      </c>
      <c r="E618" s="1" t="s">
        <v>686</v>
      </c>
      <c r="F618" s="9"/>
      <c r="G618" s="9"/>
      <c r="H618" s="16" t="s">
        <v>171</v>
      </c>
      <c r="I618" s="9" t="b">
        <f t="shared" si="15"/>
        <v>0</v>
      </c>
      <c r="J618" s="1" t="s">
        <v>404</v>
      </c>
      <c r="K618" s="1" t="s">
        <v>1712</v>
      </c>
      <c r="L618" s="1" t="s">
        <v>1737</v>
      </c>
      <c r="M618" s="9"/>
      <c r="N618" s="35" t="s">
        <v>1113</v>
      </c>
      <c r="O618" s="24">
        <v>8</v>
      </c>
      <c r="P618" s="2" cm="1">
        <f t="array" ref="P618">_xlfn.XLOOKUP(TRIM(B618),TRIM('[1]wc-product-export-16-3-2026-177'!$A:$A),'[1]wc-product-export-16-3-2026-177'!$D:$D,0,0)</f>
        <v>8</v>
      </c>
      <c r="Q618" s="2" cm="1">
        <f t="array" ref="Q618">IF(TRIM($D618)="SET",IF($K618="Steak Set1",ROUNDDOWN(IFERROR(MIN(_xlfn._xlws.FILTER(O$3:O$650,ISNUMBER(MATCH(TRIM($B$3:$B$650),TRIM(_xlfn.TEXTSPLIT($N618,",")),0)))),0)/4,0)+P618,IF(IFERROR(MIN(_xlfn._xlws.FILTER(O$3:O$650,ISNUMBER(MATCH(TRIM($B$3:$B$650),TRIM(_xlfn.TEXTSPLIT($N618,",")),0)))),0)&gt;=$E$1,IFERROR(MIN(_xlfn._xlws.FILTER(O$3:O$650,ISNUMBER(MATCH(TRIM($B$3:$B$650),TRIM(_xlfn.TEXTSPLIT($N618,",")),0)))),0)+P618,P618)),IF(TRIM($D618)="EA",IF(TRIM($E618)="M",ROUNDUP(O618*0.85,0),IF(TRIM($E618)="P",O618,P618)),P618))</f>
        <v>8</v>
      </c>
      <c r="T618" t="str" cm="1">
        <f t="array" ref="T618">IFERROR(IF(D618="SET",_xlfn.TEXTJOIN(", ",TRUE,_xlfn._xlws.FILTER(TRANSPOSE(TRIM(_xlfn.TEXTSPLIT(N618,","))),COUNTIFS(B$3:B$650,TRANSPOSE(TRIM(_xlfn.TEXTSPLIT(N618,","))),O$3:O$650,"&lt;="&amp;$T$1))),""),"")</f>
        <v>79920</v>
      </c>
    </row>
    <row r="619" spans="1:20" ht="15.6" customHeight="1" x14ac:dyDescent="0.3">
      <c r="A619" s="1">
        <v>79969</v>
      </c>
      <c r="B619" s="55" t="s">
        <v>1138</v>
      </c>
      <c r="C619" s="1" t="s">
        <v>1260</v>
      </c>
      <c r="D619" s="1" t="s">
        <v>628</v>
      </c>
      <c r="E619" s="1" t="s">
        <v>686</v>
      </c>
      <c r="F619" s="9"/>
      <c r="G619" s="9"/>
      <c r="H619" s="16" t="s">
        <v>183</v>
      </c>
      <c r="I619" s="9" t="b">
        <f t="shared" si="15"/>
        <v>0</v>
      </c>
      <c r="J619" s="1" t="s">
        <v>404</v>
      </c>
      <c r="K619" s="1" t="s">
        <v>277</v>
      </c>
      <c r="L619" s="1" t="s">
        <v>1738</v>
      </c>
      <c r="M619" s="9"/>
      <c r="N619" s="35" t="s">
        <v>1601</v>
      </c>
      <c r="O619" s="24">
        <v>6</v>
      </c>
      <c r="P619" s="2" cm="1">
        <f t="array" ref="P619">_xlfn.XLOOKUP(TRIM(B619),TRIM('[1]wc-product-export-16-3-2026-177'!$A:$A),'[1]wc-product-export-16-3-2026-177'!$D:$D,0,0)</f>
        <v>0</v>
      </c>
      <c r="Q619" s="2" cm="1">
        <f t="array" ref="Q619">IF(TRIM($D619)="SET",IF($K619="Steak Set1",ROUNDDOWN(IFERROR(MIN(_xlfn._xlws.FILTER(O$3:O$650,ISNUMBER(MATCH(TRIM($B$3:$B$650),TRIM(_xlfn.TEXTSPLIT($N619,",")),0)))),0)/4,0)+P619,IF(IFERROR(MIN(_xlfn._xlws.FILTER(O$3:O$650,ISNUMBER(MATCH(TRIM($B$3:$B$650),TRIM(_xlfn.TEXTSPLIT($N619,",")),0)))),0)&gt;=$E$1,IFERROR(MIN(_xlfn._xlws.FILTER(O$3:O$650,ISNUMBER(MATCH(TRIM($B$3:$B$650),TRIM(_xlfn.TEXTSPLIT($N619,",")),0)))),0)+P619,P619)),IF(TRIM($D619)="EA",IF(TRIM($E619)="M",ROUNDUP(O619*0.85,0),IF(TRIM($E619)="P",O619,P619)),P619))</f>
        <v>6</v>
      </c>
      <c r="T619" t="str" cm="1">
        <f t="array" ref="T619">IFERROR(IF(D619="SET",_xlfn.TEXTJOIN(", ",TRUE,_xlfn._xlws.FILTER(TRANSPOSE(TRIM(_xlfn.TEXTSPLIT(N619,","))),COUNTIFS(B$3:B$650,TRANSPOSE(TRIM(_xlfn.TEXTSPLIT(N619,","))),O$3:O$650,"&lt;="&amp;$T$1))),""),"")</f>
        <v/>
      </c>
    </row>
    <row r="620" spans="1:20" ht="15.6" customHeight="1" x14ac:dyDescent="0.3">
      <c r="A620" s="1">
        <v>79973</v>
      </c>
      <c r="B620" s="55" t="s">
        <v>1139</v>
      </c>
      <c r="C620" s="1" t="s">
        <v>1260</v>
      </c>
      <c r="D620" s="1" t="s">
        <v>628</v>
      </c>
      <c r="E620" s="1" t="s">
        <v>686</v>
      </c>
      <c r="F620" s="9"/>
      <c r="G620" s="9"/>
      <c r="H620" s="16" t="s">
        <v>169</v>
      </c>
      <c r="I620" s="9" t="b">
        <f t="shared" si="15"/>
        <v>0</v>
      </c>
      <c r="J620" s="1" t="s">
        <v>404</v>
      </c>
      <c r="K620" s="1" t="s">
        <v>278</v>
      </c>
      <c r="L620" s="1" t="s">
        <v>1735</v>
      </c>
      <c r="M620" s="9"/>
      <c r="N620" s="35" t="s">
        <v>1605</v>
      </c>
      <c r="O620" s="24">
        <v>0</v>
      </c>
      <c r="P620" s="2" cm="1">
        <f t="array" ref="P620">_xlfn.XLOOKUP(TRIM(B620),TRIM('[1]wc-product-export-16-3-2026-177'!$A:$A),'[1]wc-product-export-16-3-2026-177'!$D:$D,0,0)</f>
        <v>0</v>
      </c>
      <c r="Q620" s="2" cm="1">
        <f t="array" ref="Q620">IF(TRIM($D620)="SET",IF($K620="Steak Set1",ROUNDDOWN(IFERROR(MIN(_xlfn._xlws.FILTER(O$3:O$650,ISNUMBER(MATCH(TRIM($B$3:$B$650),TRIM(_xlfn.TEXTSPLIT($N620,",")),0)))),0)/4,0)+P620,IF(IFERROR(MIN(_xlfn._xlws.FILTER(O$3:O$650,ISNUMBER(MATCH(TRIM($B$3:$B$650),TRIM(_xlfn.TEXTSPLIT($N620,",")),0)))),0)&gt;=$E$1,IFERROR(MIN(_xlfn._xlws.FILTER(O$3:O$650,ISNUMBER(MATCH(TRIM($B$3:$B$650),TRIM(_xlfn.TEXTSPLIT($N620,",")),0)))),0)+P620,P620)),IF(TRIM($D620)="EA",IF(TRIM($E620)="M",ROUNDUP(O620*0.85,0),IF(TRIM($E620)="P",O620,P620)),P620))</f>
        <v>0</v>
      </c>
      <c r="T620" t="str" cm="1">
        <f t="array" ref="T620">IFERROR(IF(D620="SET",_xlfn.TEXTJOIN(", ",TRUE,_xlfn._xlws.FILTER(TRANSPOSE(TRIM(_xlfn.TEXTSPLIT(N620,","))),COUNTIFS(B$3:B$650,TRANSPOSE(TRIM(_xlfn.TEXTSPLIT(N620,","))),O$3:O$650,"&lt;="&amp;$T$1))),""),"")</f>
        <v>79910</v>
      </c>
    </row>
    <row r="621" spans="1:20" ht="15.6" customHeight="1" x14ac:dyDescent="0.3">
      <c r="A621" s="1">
        <v>79974</v>
      </c>
      <c r="B621" s="55" t="s">
        <v>1140</v>
      </c>
      <c r="C621" s="1" t="s">
        <v>1260</v>
      </c>
      <c r="D621" s="1" t="s">
        <v>628</v>
      </c>
      <c r="E621" s="1" t="s">
        <v>686</v>
      </c>
      <c r="F621" s="9"/>
      <c r="G621" s="9"/>
      <c r="H621" s="16" t="s">
        <v>184</v>
      </c>
      <c r="I621" s="9" t="b">
        <f t="shared" si="15"/>
        <v>0</v>
      </c>
      <c r="J621" s="1" t="s">
        <v>404</v>
      </c>
      <c r="K621" s="1" t="s">
        <v>277</v>
      </c>
      <c r="L621" s="1" t="s">
        <v>1739</v>
      </c>
      <c r="M621" s="9"/>
      <c r="N621" s="35" t="s">
        <v>1602</v>
      </c>
      <c r="O621" s="24">
        <v>10</v>
      </c>
      <c r="P621" s="2" cm="1">
        <f t="array" ref="P621">_xlfn.XLOOKUP(TRIM(B621),TRIM('[1]wc-product-export-16-3-2026-177'!$A:$A),'[1]wc-product-export-16-3-2026-177'!$D:$D,0,0)</f>
        <v>3</v>
      </c>
      <c r="Q621" s="2" cm="1">
        <f t="array" ref="Q621">IF(TRIM($D621)="SET",IF($K621="Steak Set1",ROUNDDOWN(IFERROR(MIN(_xlfn._xlws.FILTER(O$3:O$650,ISNUMBER(MATCH(TRIM($B$3:$B$650),TRIM(_xlfn.TEXTSPLIT($N621,",")),0)))),0)/4,0)+P621,IF(IFERROR(MIN(_xlfn._xlws.FILTER(O$3:O$650,ISNUMBER(MATCH(TRIM($B$3:$B$650),TRIM(_xlfn.TEXTSPLIT($N621,",")),0)))),0)&gt;=$E$1,IFERROR(MIN(_xlfn._xlws.FILTER(O$3:O$650,ISNUMBER(MATCH(TRIM($B$3:$B$650),TRIM(_xlfn.TEXTSPLIT($N621,",")),0)))),0)+P621,P621)),IF(TRIM($D621)="EA",IF(TRIM($E621)="M",ROUNDUP(O621*0.85,0),IF(TRIM($E621)="P",O621,P621)),P621))</f>
        <v>9</v>
      </c>
      <c r="T621" t="str" cm="1">
        <f t="array" ref="T621">IFERROR(IF(D621="SET",_xlfn.TEXTJOIN(", ",TRUE,_xlfn._xlws.FILTER(TRANSPOSE(TRIM(_xlfn.TEXTSPLIT(N621,","))),COUNTIFS(B$3:B$650,TRANSPOSE(TRIM(_xlfn.TEXTSPLIT(N621,","))),O$3:O$650,"&lt;="&amp;$T$1))),""),"")</f>
        <v/>
      </c>
    </row>
    <row r="622" spans="1:20" ht="15.6" customHeight="1" x14ac:dyDescent="0.3">
      <c r="A622" s="1">
        <v>79983</v>
      </c>
      <c r="B622" s="55" t="s">
        <v>1141</v>
      </c>
      <c r="C622" s="1" t="s">
        <v>1260</v>
      </c>
      <c r="D622" s="1" t="s">
        <v>628</v>
      </c>
      <c r="E622" s="1" t="s">
        <v>686</v>
      </c>
      <c r="F622" s="9"/>
      <c r="G622" s="9"/>
      <c r="H622" s="16" t="s">
        <v>575</v>
      </c>
      <c r="I622" s="9" t="b">
        <f t="shared" si="15"/>
        <v>0</v>
      </c>
      <c r="J622" s="1" t="s">
        <v>404</v>
      </c>
      <c r="K622" s="1" t="s">
        <v>1715</v>
      </c>
      <c r="L622" s="1" t="s">
        <v>1715</v>
      </c>
      <c r="M622" s="9"/>
      <c r="N622" s="35" t="s">
        <v>1566</v>
      </c>
      <c r="O622" s="24">
        <v>0</v>
      </c>
      <c r="P622" s="2" cm="1">
        <f t="array" ref="P622">_xlfn.XLOOKUP(TRIM(B622),TRIM('[1]wc-product-export-16-3-2026-177'!$A:$A),'[1]wc-product-export-16-3-2026-177'!$D:$D,0,0)</f>
        <v>0</v>
      </c>
      <c r="Q622" s="2" cm="1">
        <f t="array" ref="Q622">IF(TRIM($D622)="SET",IF($K622="Steak Set1",ROUNDDOWN(IFERROR(MIN(_xlfn._xlws.FILTER(O$3:O$650,ISNUMBER(MATCH(TRIM($B$3:$B$650),TRIM(_xlfn.TEXTSPLIT($N622,",")),0)))),0)/4,0)+P622,IF(IFERROR(MIN(_xlfn._xlws.FILTER(O$3:O$650,ISNUMBER(MATCH(TRIM($B$3:$B$650),TRIM(_xlfn.TEXTSPLIT($N622,",")),0)))),0)&gt;=$E$1,IFERROR(MIN(_xlfn._xlws.FILTER(O$3:O$650,ISNUMBER(MATCH(TRIM($B$3:$B$650),TRIM(_xlfn.TEXTSPLIT($N622,",")),0)))),0)+P622,P622)),IF(TRIM($D622)="EA",IF(TRIM($E622)="M",ROUNDUP(O622*0.85,0),IF(TRIM($E622)="P",O622,P622)),P622))</f>
        <v>0</v>
      </c>
      <c r="T622" t="str" cm="1">
        <f t="array" ref="T622">IFERROR(IF(D622="SET",_xlfn.TEXTJOIN(", ",TRUE,_xlfn._xlws.FILTER(TRANSPOSE(TRIM(_xlfn.TEXTSPLIT(N622,","))),COUNTIFS(B$3:B$650,TRANSPOSE(TRIM(_xlfn.TEXTSPLIT(N622,","))),O$3:O$650,"&lt;="&amp;$T$1))),""),"")</f>
        <v>79900, 79910, 79935, 79955</v>
      </c>
    </row>
    <row r="623" spans="1:20" ht="15.6" customHeight="1" x14ac:dyDescent="0.3">
      <c r="A623" s="1">
        <v>79984</v>
      </c>
      <c r="B623" s="55" t="s">
        <v>1142</v>
      </c>
      <c r="C623" s="1" t="s">
        <v>1260</v>
      </c>
      <c r="D623" s="1" t="s">
        <v>628</v>
      </c>
      <c r="E623" s="1" t="s">
        <v>686</v>
      </c>
      <c r="F623" s="9" t="s">
        <v>1608</v>
      </c>
      <c r="G623" s="9"/>
      <c r="H623" s="16" t="s">
        <v>576</v>
      </c>
      <c r="I623" s="9" t="b">
        <f t="shared" si="15"/>
        <v>0</v>
      </c>
      <c r="J623" s="1" t="s">
        <v>404</v>
      </c>
      <c r="K623" s="1" t="s">
        <v>1716</v>
      </c>
      <c r="L623" s="1" t="s">
        <v>1716</v>
      </c>
      <c r="M623" s="9"/>
      <c r="N623" s="35" t="s">
        <v>1567</v>
      </c>
      <c r="O623" s="24">
        <v>0</v>
      </c>
      <c r="P623" s="2" cm="1">
        <f t="array" ref="P623">_xlfn.XLOOKUP(TRIM(B623),TRIM('[1]wc-product-export-16-3-2026-177'!$A:$A),'[1]wc-product-export-16-3-2026-177'!$D:$D,0,0)</f>
        <v>0</v>
      </c>
      <c r="Q623" s="2" cm="1">
        <f t="array" ref="Q623">IF(TRIM($D623)="SET",IF($K623="Steak Set1",ROUNDDOWN(IFERROR(MIN(_xlfn._xlws.FILTER(O$3:O$650,ISNUMBER(MATCH(TRIM($B$3:$B$650),TRIM(_xlfn.TEXTSPLIT($N623,",")),0)))),0)/4,0)+P623,IF(IFERROR(MIN(_xlfn._xlws.FILTER(O$3:O$650,ISNUMBER(MATCH(TRIM($B$3:$B$650),TRIM(_xlfn.TEXTSPLIT($N623,",")),0)))),0)&gt;=$E$1,IFERROR(MIN(_xlfn._xlws.FILTER(O$3:O$650,ISNUMBER(MATCH(TRIM($B$3:$B$650),TRIM(_xlfn.TEXTSPLIT($N623,",")),0)))),0)+P623,P623)),IF(TRIM($D623)="EA",IF(TRIM($E623)="M",ROUNDUP(O623*0.85,0),IF(TRIM($E623)="P",O623,P623)),P623))</f>
        <v>0</v>
      </c>
      <c r="T623" t="str" cm="1">
        <f t="array" ref="T623">IFERROR(IF(D623="SET",_xlfn.TEXTJOIN(", ",TRUE,_xlfn._xlws.FILTER(TRANSPOSE(TRIM(_xlfn.TEXTSPLIT(N623,","))),COUNTIFS(B$3:B$650,TRANSPOSE(TRIM(_xlfn.TEXTSPLIT(N623,","))),O$3:O$650,"&lt;="&amp;$T$1))),""),"")</f>
        <v>79900, 79910, 79935, 79955</v>
      </c>
    </row>
    <row r="624" spans="1:20" ht="15.6" customHeight="1" x14ac:dyDescent="0.3">
      <c r="A624" s="1">
        <v>79985</v>
      </c>
      <c r="B624" s="55" t="s">
        <v>1143</v>
      </c>
      <c r="C624" s="1" t="s">
        <v>1260</v>
      </c>
      <c r="D624" s="1" t="s">
        <v>628</v>
      </c>
      <c r="E624" s="1" t="s">
        <v>686</v>
      </c>
      <c r="F624" s="9" t="s">
        <v>1608</v>
      </c>
      <c r="G624" s="9"/>
      <c r="H624" s="16" t="s">
        <v>595</v>
      </c>
      <c r="I624" s="9" t="b">
        <f t="shared" si="15"/>
        <v>0</v>
      </c>
      <c r="J624" s="1" t="s">
        <v>404</v>
      </c>
      <c r="K624" s="1" t="s">
        <v>1714</v>
      </c>
      <c r="L624" s="1" t="s">
        <v>1720</v>
      </c>
      <c r="M624" s="9">
        <v>2</v>
      </c>
      <c r="N624" s="35" t="s">
        <v>1558</v>
      </c>
      <c r="O624" s="24">
        <v>0</v>
      </c>
      <c r="P624" s="2" cm="1">
        <f t="array" ref="P624">_xlfn.XLOOKUP(TRIM(B624),TRIM('[1]wc-product-export-16-3-2026-177'!$A:$A),'[1]wc-product-export-16-3-2026-177'!$D:$D,0,0)</f>
        <v>0</v>
      </c>
      <c r="Q624" s="66" cm="1">
        <f t="array" ref="Q624">_xlfn.LET(_xlpm.items,TRIM(_xlfn.TEXTSPLIT($N624,",")),_xlpm.codes,TRIM($B$3:$B$650),_xlpm.qty,$O$3:$O$650,_xlpm.setMask,ISNUMBER(MATCH(_xlpm.codes,_xlpm.items,0)),_xlpm.knifeType,IF(ISNUMBER(SEARCH("fine",$H624)),"15",IF(ISNUMBER(SEARCH("serr",$H624)),"20","")),_xlpm.knifeStock,IFERROR(MIN(IF(_xlpm.setMask*(RIGHT(_xlpm.codes,2)=_xlpm.knifeType),_xlpm.qty)),0),_xlpm.otherStock,IFERROR(MIN(IF(_xlpm.setMask*(RIGHT(_xlpm.codes,2)&lt;&gt;_xlpm.knifeType),_xlpm.qty)),0),IF(_xlpm.knifeStock&gt;=8,MIN(ROUNDDOWN(_xlpm.knifeStock/8,0),_xlpm.otherStock),0)+P624)</f>
        <v>0</v>
      </c>
      <c r="T624" t="str" cm="1">
        <f t="array" ref="T624">IFERROR(IF(D624="SET",_xlfn.TEXTJOIN(", ",TRUE,_xlfn._xlws.FILTER(TRANSPOSE(TRIM(_xlfn.TEXTSPLIT(N624,","))),COUNTIFS(B$3:B$650,TRANSPOSE(TRIM(_xlfn.TEXTSPLIT(N624,","))),O$3:O$650,"&lt;="&amp;$T$1))),""),"")</f>
        <v>79955, 79910, 79900, 79920, 79935</v>
      </c>
    </row>
    <row r="625" spans="1:20" ht="15.6" customHeight="1" x14ac:dyDescent="0.3">
      <c r="A625" s="1">
        <v>79986</v>
      </c>
      <c r="B625" s="55" t="s">
        <v>1144</v>
      </c>
      <c r="C625" s="1" t="s">
        <v>1260</v>
      </c>
      <c r="D625" s="1" t="s">
        <v>628</v>
      </c>
      <c r="E625" s="1" t="s">
        <v>686</v>
      </c>
      <c r="F625" s="9" t="s">
        <v>1608</v>
      </c>
      <c r="G625" s="9"/>
      <c r="H625" s="16" t="s">
        <v>577</v>
      </c>
      <c r="I625" s="9" t="b">
        <f t="shared" si="15"/>
        <v>0</v>
      </c>
      <c r="J625" s="1" t="s">
        <v>404</v>
      </c>
      <c r="K625" s="1" t="s">
        <v>1714</v>
      </c>
      <c r="L625" s="1" t="s">
        <v>1720</v>
      </c>
      <c r="M625" s="9">
        <v>2</v>
      </c>
      <c r="N625" s="35" t="s">
        <v>1559</v>
      </c>
      <c r="O625" s="24">
        <v>0</v>
      </c>
      <c r="P625" s="2" cm="1">
        <f t="array" ref="P625">_xlfn.XLOOKUP(TRIM(B625),TRIM('[1]wc-product-export-16-3-2026-177'!$A:$A),'[1]wc-product-export-16-3-2026-177'!$D:$D,0,0)</f>
        <v>0</v>
      </c>
      <c r="Q625" s="66" cm="1">
        <f t="array" ref="Q625">_xlfn.LET(_xlpm.items,TRIM(_xlfn.TEXTSPLIT($N625,",")),_xlpm.codes,TRIM($B$3:$B$650),_xlpm.qty,$O$3:$O$650,_xlpm.setMask,ISNUMBER(MATCH(_xlpm.codes,_xlpm.items,0)),_xlpm.knifeType,IF(ISNUMBER(SEARCH("fine",$H625)),"15",IF(ISNUMBER(SEARCH("serr",$H625)),"20","")),_xlpm.knifeStock,IFERROR(MIN(IF(_xlpm.setMask*(RIGHT(_xlpm.codes,2)=_xlpm.knifeType),_xlpm.qty)),0),_xlpm.otherStock,IFERROR(MIN(IF(_xlpm.setMask*(RIGHT(_xlpm.codes,2)&lt;&gt;_xlpm.knifeType),_xlpm.qty)),0),IF(_xlpm.knifeStock&gt;=8,MIN(ROUNDDOWN(_xlpm.knifeStock/8,0),_xlpm.otherStock),0)+P625)</f>
        <v>0</v>
      </c>
      <c r="T625" t="str" cm="1">
        <f t="array" ref="T625">IFERROR(IF(D625="SET",_xlfn.TEXTJOIN(", ",TRUE,_xlfn._xlws.FILTER(TRANSPOSE(TRIM(_xlfn.TEXTSPLIT(N625,","))),COUNTIFS(B$3:B$650,TRANSPOSE(TRIM(_xlfn.TEXTSPLIT(N625,","))),O$3:O$650,"&lt;="&amp;$T$1))),""),"")</f>
        <v>79955, 79910, 79900, 79915, 79935</v>
      </c>
    </row>
    <row r="626" spans="1:20" ht="15.6" customHeight="1" x14ac:dyDescent="0.3">
      <c r="A626" s="1">
        <v>79987</v>
      </c>
      <c r="B626" s="55" t="s">
        <v>1145</v>
      </c>
      <c r="C626" s="1" t="s">
        <v>1260</v>
      </c>
      <c r="D626" s="1" t="s">
        <v>628</v>
      </c>
      <c r="E626" s="1" t="s">
        <v>686</v>
      </c>
      <c r="F626" s="9" t="s">
        <v>1608</v>
      </c>
      <c r="G626" s="9"/>
      <c r="H626" s="16" t="s">
        <v>596</v>
      </c>
      <c r="I626" s="9" t="b">
        <f t="shared" si="15"/>
        <v>0</v>
      </c>
      <c r="J626" s="1" t="s">
        <v>404</v>
      </c>
      <c r="K626" s="1" t="s">
        <v>1714</v>
      </c>
      <c r="L626" s="1" t="s">
        <v>1719</v>
      </c>
      <c r="M626" s="9">
        <v>2</v>
      </c>
      <c r="N626" s="35" t="s">
        <v>1568</v>
      </c>
      <c r="O626" s="24">
        <v>0</v>
      </c>
      <c r="P626" s="2" cm="1">
        <f t="array" ref="P626">_xlfn.XLOOKUP(TRIM(B626),TRIM('[1]wc-product-export-16-3-2026-177'!$A:$A),'[1]wc-product-export-16-3-2026-177'!$D:$D,0,0)</f>
        <v>0</v>
      </c>
      <c r="Q626" s="66" cm="1">
        <f t="array" ref="Q626">_xlfn.LET(_xlpm.items,TRIM(_xlfn.TEXTSPLIT($N626,",")),_xlpm.codes,TRIM($B$3:$B$650),_xlpm.qty,$O$3:$O$650,_xlpm.setMask,ISNUMBER(MATCH(_xlpm.codes,_xlpm.items,0)),_xlpm.knifeType,IF(ISNUMBER(SEARCH("fine",$H626)),"15",IF(ISNUMBER(SEARCH("serr",$H626)),"20","")),_xlpm.knifeStock,IFERROR(MIN(IF(_xlpm.setMask*(RIGHT(_xlpm.codes,2)=_xlpm.knifeType),_xlpm.qty)),0),_xlpm.otherStock,IFERROR(MIN(IF(_xlpm.setMask*(RIGHT(_xlpm.codes,2)&lt;&gt;_xlpm.knifeType),_xlpm.qty)),0),IF(_xlpm.knifeStock&gt;=8,MIN(ROUNDDOWN(_xlpm.knifeStock/8,0),_xlpm.otherStock),0)+P626)</f>
        <v>0</v>
      </c>
      <c r="T626" t="str" cm="1">
        <f t="array" ref="T626">IFERROR(IF(D626="SET",_xlfn.TEXTJOIN(", ",TRUE,_xlfn._xlws.FILTER(TRANSPOSE(TRIM(_xlfn.TEXTSPLIT(N626,","))),COUNTIFS(B$3:B$650,TRANSPOSE(TRIM(_xlfn.TEXTSPLIT(N626,","))),O$3:O$650,"&lt;="&amp;$T$1))),""),"")</f>
        <v>79900, 79910, 79935, 79938, 79958, 79920</v>
      </c>
    </row>
    <row r="627" spans="1:20" ht="15.6" customHeight="1" x14ac:dyDescent="0.3">
      <c r="A627" s="1">
        <v>79988</v>
      </c>
      <c r="B627" s="55" t="s">
        <v>1146</v>
      </c>
      <c r="C627" s="1" t="s">
        <v>1260</v>
      </c>
      <c r="D627" s="1" t="s">
        <v>628</v>
      </c>
      <c r="E627" s="1" t="s">
        <v>686</v>
      </c>
      <c r="F627" s="9" t="s">
        <v>1608</v>
      </c>
      <c r="G627" s="9"/>
      <c r="H627" s="16" t="s">
        <v>578</v>
      </c>
      <c r="I627" s="9" t="b">
        <f t="shared" si="15"/>
        <v>0</v>
      </c>
      <c r="J627" s="1" t="s">
        <v>404</v>
      </c>
      <c r="K627" s="1" t="s">
        <v>1714</v>
      </c>
      <c r="L627" s="1" t="s">
        <v>1719</v>
      </c>
      <c r="M627" s="9">
        <v>2</v>
      </c>
      <c r="N627" s="35" t="s">
        <v>1709</v>
      </c>
      <c r="O627" s="24">
        <v>0</v>
      </c>
      <c r="P627" s="2" cm="1">
        <f t="array" ref="P627">_xlfn.XLOOKUP(TRIM(B627),TRIM('[1]wc-product-export-16-3-2026-177'!$A:$A),'[1]wc-product-export-16-3-2026-177'!$D:$D,0,0)</f>
        <v>0</v>
      </c>
      <c r="Q627" s="66" cm="1">
        <f t="array" ref="Q627">_xlfn.LET(_xlpm.items,TRIM(_xlfn.TEXTSPLIT($N627,",")),_xlpm.codes,TRIM($B$3:$B$650),_xlpm.qty,$O$3:$O$650,_xlpm.setMask,ISNUMBER(MATCH(_xlpm.codes,_xlpm.items,0)),_xlpm.knifeType,IF(ISNUMBER(SEARCH("fine",$H627)),"15",IF(ISNUMBER(SEARCH("serr",$H627)),"20","")),_xlpm.knifeStock,IFERROR(MIN(IF(_xlpm.setMask*(RIGHT(_xlpm.codes,2)=_xlpm.knifeType),_xlpm.qty)),0),_xlpm.otherStock,IFERROR(MIN(IF(_xlpm.setMask*(RIGHT(_xlpm.codes,2)&lt;&gt;_xlpm.knifeType),_xlpm.qty)),0),IF(_xlpm.knifeStock&gt;=8,MIN(ROUNDDOWN(_xlpm.knifeStock/8,0),_xlpm.otherStock),0)+P627)</f>
        <v>0</v>
      </c>
      <c r="T627" t="str" cm="1">
        <f t="array" ref="T627">IFERROR(IF(D627="SET",_xlfn.TEXTJOIN(", ",TRUE,_xlfn._xlws.FILTER(TRANSPOSE(TRIM(_xlfn.TEXTSPLIT(N627,","))),COUNTIFS(B$3:B$650,TRANSPOSE(TRIM(_xlfn.TEXTSPLIT(N627,","))),O$3:O$650,"&lt;="&amp;$T$1))),""),"")</f>
        <v>79900, 79935, 79938, 79958, 79915, 79910</v>
      </c>
    </row>
    <row r="628" spans="1:20" ht="15.6" customHeight="1" x14ac:dyDescent="0.3">
      <c r="A628" s="1">
        <v>79989</v>
      </c>
      <c r="B628" s="55" t="s">
        <v>1147</v>
      </c>
      <c r="C628" s="1" t="s">
        <v>1260</v>
      </c>
      <c r="D628" s="1" t="s">
        <v>628</v>
      </c>
      <c r="E628" s="1" t="s">
        <v>686</v>
      </c>
      <c r="F628" s="9"/>
      <c r="G628" s="9"/>
      <c r="H628" s="16" t="s">
        <v>254</v>
      </c>
      <c r="I628" s="9" t="b">
        <f t="shared" si="15"/>
        <v>0</v>
      </c>
      <c r="J628" s="1" t="s">
        <v>404</v>
      </c>
      <c r="K628" s="1" t="s">
        <v>1715</v>
      </c>
      <c r="L628" s="1" t="s">
        <v>1715</v>
      </c>
      <c r="M628" s="9"/>
      <c r="N628" s="35" t="s">
        <v>1566</v>
      </c>
      <c r="O628" s="24">
        <v>0</v>
      </c>
      <c r="P628" s="2" cm="1">
        <f t="array" ref="P628">_xlfn.XLOOKUP(TRIM(B628),TRIM('[1]wc-product-export-16-3-2026-177'!$A:$A),'[1]wc-product-export-16-3-2026-177'!$D:$D,0,0)</f>
        <v>0</v>
      </c>
      <c r="Q628" s="2" cm="1">
        <f t="array" ref="Q628">IF(TRIM($D628)="SET",IF($K628="Steak Set1",ROUNDDOWN(IFERROR(MIN(_xlfn._xlws.FILTER(O$3:O$650,ISNUMBER(MATCH(TRIM($B$3:$B$650),TRIM(_xlfn.TEXTSPLIT($N628,",")),0)))),0)/4,0)+P628,IF(IFERROR(MIN(_xlfn._xlws.FILTER(O$3:O$650,ISNUMBER(MATCH(TRIM($B$3:$B$650),TRIM(_xlfn.TEXTSPLIT($N628,",")),0)))),0)&gt;=$E$1,IFERROR(MIN(_xlfn._xlws.FILTER(O$3:O$650,ISNUMBER(MATCH(TRIM($B$3:$B$650),TRIM(_xlfn.TEXTSPLIT($N628,",")),0)))),0)+P628,P628)),IF(TRIM($D628)="EA",IF(TRIM($E628)="M",ROUNDUP(O628*0.85,0),IF(TRIM($E628)="P",O628,P628)),P628))</f>
        <v>0</v>
      </c>
      <c r="T628" t="str" cm="1">
        <f t="array" ref="T628">IFERROR(IF(D628="SET",_xlfn.TEXTJOIN(", ",TRUE,_xlfn._xlws.FILTER(TRANSPOSE(TRIM(_xlfn.TEXTSPLIT(N628,","))),COUNTIFS(B$3:B$650,TRANSPOSE(TRIM(_xlfn.TEXTSPLIT(N628,","))),O$3:O$650,"&lt;="&amp;$T$1))),""),"")</f>
        <v>79900, 79910, 79935, 79955</v>
      </c>
    </row>
    <row r="629" spans="1:20" ht="15.6" customHeight="1" x14ac:dyDescent="0.3">
      <c r="A629" s="1">
        <v>79990</v>
      </c>
      <c r="B629" s="55" t="s">
        <v>1148</v>
      </c>
      <c r="C629" s="1" t="s">
        <v>1260</v>
      </c>
      <c r="D629" s="1" t="s">
        <v>628</v>
      </c>
      <c r="E629" s="1" t="s">
        <v>686</v>
      </c>
      <c r="F629" s="9"/>
      <c r="G629" s="9"/>
      <c r="H629" s="16" t="s">
        <v>255</v>
      </c>
      <c r="I629" s="9" t="b">
        <f t="shared" si="15"/>
        <v>0</v>
      </c>
      <c r="J629" s="1" t="s">
        <v>404</v>
      </c>
      <c r="K629" s="1" t="s">
        <v>1716</v>
      </c>
      <c r="L629" s="1" t="s">
        <v>1716</v>
      </c>
      <c r="M629" s="9"/>
      <c r="N629" s="35" t="s">
        <v>1567</v>
      </c>
      <c r="O629" s="24">
        <v>0</v>
      </c>
      <c r="P629" s="2" cm="1">
        <f t="array" ref="P629">_xlfn.XLOOKUP(TRIM(B629),TRIM('[1]wc-product-export-16-3-2026-177'!$A:$A),'[1]wc-product-export-16-3-2026-177'!$D:$D,0,0)</f>
        <v>0</v>
      </c>
      <c r="Q629" s="2" cm="1">
        <f t="array" ref="Q629">IF(TRIM($D629)="SET",IF($K629="Steak Set1",ROUNDDOWN(IFERROR(MIN(_xlfn._xlws.FILTER(O$3:O$650,ISNUMBER(MATCH(TRIM($B$3:$B$650),TRIM(_xlfn.TEXTSPLIT($N629,",")),0)))),0)/4,0)+P629,IF(IFERROR(MIN(_xlfn._xlws.FILTER(O$3:O$650,ISNUMBER(MATCH(TRIM($B$3:$B$650),TRIM(_xlfn.TEXTSPLIT($N629,",")),0)))),0)&gt;=$E$1,IFERROR(MIN(_xlfn._xlws.FILTER(O$3:O$650,ISNUMBER(MATCH(TRIM($B$3:$B$650),TRIM(_xlfn.TEXTSPLIT($N629,",")),0)))),0)+P629,P629)),IF(TRIM($D629)="EA",IF(TRIM($E629)="M",ROUNDUP(O629*0.85,0),IF(TRIM($E629)="P",O629,P629)),P629))</f>
        <v>0</v>
      </c>
      <c r="T629" t="str" cm="1">
        <f t="array" ref="T629">IFERROR(IF(D629="SET",_xlfn.TEXTJOIN(", ",TRUE,_xlfn._xlws.FILTER(TRANSPOSE(TRIM(_xlfn.TEXTSPLIT(N629,","))),COUNTIFS(B$3:B$650,TRANSPOSE(TRIM(_xlfn.TEXTSPLIT(N629,","))),O$3:O$650,"&lt;="&amp;$T$1))),""),"")</f>
        <v>79900, 79910, 79935, 79955</v>
      </c>
    </row>
    <row r="630" spans="1:20" ht="15.6" customHeight="1" x14ac:dyDescent="0.3">
      <c r="A630" s="1">
        <v>79992</v>
      </c>
      <c r="B630" s="55" t="s">
        <v>1149</v>
      </c>
      <c r="C630" s="1" t="s">
        <v>1260</v>
      </c>
      <c r="D630" s="1" t="s">
        <v>628</v>
      </c>
      <c r="E630" s="1" t="s">
        <v>686</v>
      </c>
      <c r="F630" s="9"/>
      <c r="G630" s="9"/>
      <c r="H630" s="16" t="s">
        <v>172</v>
      </c>
      <c r="I630" s="9" t="b">
        <f t="shared" si="15"/>
        <v>0</v>
      </c>
      <c r="J630" s="1" t="s">
        <v>404</v>
      </c>
      <c r="K630" s="1" t="s">
        <v>1712</v>
      </c>
      <c r="L630" s="1" t="s">
        <v>1737</v>
      </c>
      <c r="M630" s="9"/>
      <c r="N630" s="35" t="s">
        <v>1111</v>
      </c>
      <c r="O630" s="24">
        <v>0</v>
      </c>
      <c r="P630" s="2" cm="1">
        <f t="array" ref="P630">_xlfn.XLOOKUP(TRIM(B630),TRIM('[1]wc-product-export-16-3-2026-177'!$A:$A),'[1]wc-product-export-16-3-2026-177'!$D:$D,0,0)</f>
        <v>0</v>
      </c>
      <c r="Q630" s="2" cm="1">
        <f t="array" ref="Q630">IF(TRIM($D630)="SET",IF($K630="Steak Set1",ROUNDDOWN(IFERROR(MIN(_xlfn._xlws.FILTER(O$3:O$650,ISNUMBER(MATCH(TRIM($B$3:$B$650),TRIM(_xlfn.TEXTSPLIT($N630,",")),0)))),0)/4,0)+P630,IF(IFERROR(MIN(_xlfn._xlws.FILTER(O$3:O$650,ISNUMBER(MATCH(TRIM($B$3:$B$650),TRIM(_xlfn.TEXTSPLIT($N630,",")),0)))),0)&gt;=$E$1,IFERROR(MIN(_xlfn._xlws.FILTER(O$3:O$650,ISNUMBER(MATCH(TRIM($B$3:$B$650),TRIM(_xlfn.TEXTSPLIT($N630,",")),0)))),0)+P630,P630)),IF(TRIM($D630)="EA",IF(TRIM($E630)="M",ROUNDUP(O630*0.85,0),IF(TRIM($E630)="P",O630,P630)),P630))</f>
        <v>0</v>
      </c>
      <c r="T630" t="str" cm="1">
        <f t="array" ref="T630">IFERROR(IF(D630="SET",_xlfn.TEXTJOIN(", ",TRUE,_xlfn._xlws.FILTER(TRANSPOSE(TRIM(_xlfn.TEXTSPLIT(N630,","))),COUNTIFS(B$3:B$650,TRANSPOSE(TRIM(_xlfn.TEXTSPLIT(N630,","))),O$3:O$650,"&lt;="&amp;$T$1))),""),"")</f>
        <v>79915</v>
      </c>
    </row>
    <row r="631" spans="1:20" ht="15.6" customHeight="1" x14ac:dyDescent="0.3">
      <c r="A631" s="1">
        <v>79995</v>
      </c>
      <c r="B631" s="55" t="s">
        <v>1150</v>
      </c>
      <c r="C631" s="1" t="s">
        <v>1260</v>
      </c>
      <c r="D631" s="1" t="s">
        <v>628</v>
      </c>
      <c r="E631" s="1" t="s">
        <v>686</v>
      </c>
      <c r="F631" s="9"/>
      <c r="G631" s="9"/>
      <c r="H631" s="16" t="s">
        <v>597</v>
      </c>
      <c r="I631" s="9" t="b">
        <f t="shared" si="15"/>
        <v>0</v>
      </c>
      <c r="J631" s="1" t="s">
        <v>404</v>
      </c>
      <c r="K631" s="1" t="s">
        <v>1714</v>
      </c>
      <c r="L631" s="1" t="s">
        <v>1720</v>
      </c>
      <c r="M631" s="9">
        <v>2</v>
      </c>
      <c r="N631" s="35" t="s">
        <v>1558</v>
      </c>
      <c r="O631" s="24">
        <v>0</v>
      </c>
      <c r="P631" s="2" cm="1">
        <f t="array" ref="P631">_xlfn.XLOOKUP(TRIM(B631),TRIM('[1]wc-product-export-16-3-2026-177'!$A:$A),'[1]wc-product-export-16-3-2026-177'!$D:$D,0,0)</f>
        <v>0</v>
      </c>
      <c r="Q631" s="66" cm="1">
        <f t="array" ref="Q631">_xlfn.LET(_xlpm.items,TRIM(_xlfn.TEXTSPLIT($N631,",")),_xlpm.codes,TRIM($B$3:$B$650),_xlpm.qty,$O$3:$O$650,_xlpm.setMask,ISNUMBER(MATCH(_xlpm.codes,_xlpm.items,0)),_xlpm.knifeType,IF(ISNUMBER(SEARCH("fine",$H631)),"15",IF(ISNUMBER(SEARCH("serr",$H631)),"20","")),_xlpm.knifeStock,IFERROR(MIN(IF(_xlpm.setMask*(RIGHT(_xlpm.codes,2)=_xlpm.knifeType),_xlpm.qty)),0),_xlpm.otherStock,IFERROR(MIN(IF(_xlpm.setMask*(RIGHT(_xlpm.codes,2)&lt;&gt;_xlpm.knifeType),_xlpm.qty)),0),IF(_xlpm.knifeStock&gt;=8,MIN(ROUNDDOWN(_xlpm.knifeStock/8,0),_xlpm.otherStock),0)+P631)</f>
        <v>0</v>
      </c>
      <c r="T631" t="str" cm="1">
        <f t="array" ref="T631">IFERROR(IF(D631="SET",_xlfn.TEXTJOIN(", ",TRUE,_xlfn._xlws.FILTER(TRANSPOSE(TRIM(_xlfn.TEXTSPLIT(N631,","))),COUNTIFS(B$3:B$650,TRANSPOSE(TRIM(_xlfn.TEXTSPLIT(N631,","))),O$3:O$650,"&lt;="&amp;$T$1))),""),"")</f>
        <v>79955, 79910, 79900, 79920, 79935</v>
      </c>
    </row>
    <row r="632" spans="1:20" ht="15.6" customHeight="1" x14ac:dyDescent="0.3">
      <c r="A632" s="1">
        <v>79996</v>
      </c>
      <c r="B632" s="55" t="s">
        <v>1151</v>
      </c>
      <c r="C632" s="1" t="s">
        <v>1260</v>
      </c>
      <c r="D632" s="1" t="s">
        <v>628</v>
      </c>
      <c r="E632" s="1" t="s">
        <v>686</v>
      </c>
      <c r="F632" s="9" t="s">
        <v>1608</v>
      </c>
      <c r="G632" s="9"/>
      <c r="H632" s="16" t="s">
        <v>256</v>
      </c>
      <c r="I632" s="9" t="b">
        <f t="shared" si="15"/>
        <v>0</v>
      </c>
      <c r="J632" s="1" t="s">
        <v>404</v>
      </c>
      <c r="K632" s="1" t="s">
        <v>1714</v>
      </c>
      <c r="L632" s="1" t="s">
        <v>1720</v>
      </c>
      <c r="M632" s="9">
        <v>2</v>
      </c>
      <c r="N632" s="35" t="s">
        <v>1559</v>
      </c>
      <c r="O632" s="24">
        <v>0</v>
      </c>
      <c r="P632" s="2" cm="1">
        <f t="array" ref="P632">_xlfn.XLOOKUP(TRIM(B632),TRIM('[1]wc-product-export-16-3-2026-177'!$A:$A),'[1]wc-product-export-16-3-2026-177'!$D:$D,0,0)</f>
        <v>0</v>
      </c>
      <c r="Q632" s="66" cm="1">
        <f t="array" ref="Q632">_xlfn.LET(_xlpm.items,TRIM(_xlfn.TEXTSPLIT($N632,",")),_xlpm.codes,TRIM($B$3:$B$650),_xlpm.qty,$O$3:$O$650,_xlpm.setMask,ISNUMBER(MATCH(_xlpm.codes,_xlpm.items,0)),_xlpm.knifeType,IF(ISNUMBER(SEARCH("fine",$H632)),"15",IF(ISNUMBER(SEARCH("serr",$H632)),"20","")),_xlpm.knifeStock,IFERROR(MIN(IF(_xlpm.setMask*(RIGHT(_xlpm.codes,2)=_xlpm.knifeType),_xlpm.qty)),0),_xlpm.otherStock,IFERROR(MIN(IF(_xlpm.setMask*(RIGHT(_xlpm.codes,2)&lt;&gt;_xlpm.knifeType),_xlpm.qty)),0),IF(_xlpm.knifeStock&gt;=8,MIN(ROUNDDOWN(_xlpm.knifeStock/8,0),_xlpm.otherStock),0)+P632)</f>
        <v>0</v>
      </c>
      <c r="T632" t="str" cm="1">
        <f t="array" ref="T632">IFERROR(IF(D632="SET",_xlfn.TEXTJOIN(", ",TRUE,_xlfn._xlws.FILTER(TRANSPOSE(TRIM(_xlfn.TEXTSPLIT(N632,","))),COUNTIFS(B$3:B$650,TRANSPOSE(TRIM(_xlfn.TEXTSPLIT(N632,","))),O$3:O$650,"&lt;="&amp;$T$1))),""),"")</f>
        <v>79955, 79910, 79900, 79915, 79935</v>
      </c>
    </row>
    <row r="633" spans="1:20" ht="15.6" customHeight="1" x14ac:dyDescent="0.3">
      <c r="A633" s="1">
        <v>79997</v>
      </c>
      <c r="B633" s="55" t="s">
        <v>1152</v>
      </c>
      <c r="C633" s="1" t="s">
        <v>1260</v>
      </c>
      <c r="D633" s="1" t="s">
        <v>628</v>
      </c>
      <c r="E633" s="1" t="s">
        <v>686</v>
      </c>
      <c r="F633" s="9"/>
      <c r="G633" s="9"/>
      <c r="H633" s="16" t="s">
        <v>598</v>
      </c>
      <c r="I633" s="9" t="b">
        <f t="shared" si="15"/>
        <v>0</v>
      </c>
      <c r="J633" s="1" t="s">
        <v>404</v>
      </c>
      <c r="K633" s="1" t="s">
        <v>1714</v>
      </c>
      <c r="L633" s="1" t="s">
        <v>1719</v>
      </c>
      <c r="M633" s="9">
        <v>2</v>
      </c>
      <c r="N633" s="35" t="s">
        <v>1568</v>
      </c>
      <c r="O633" s="24">
        <v>0</v>
      </c>
      <c r="P633" s="2" cm="1">
        <f t="array" ref="P633">_xlfn.XLOOKUP(TRIM(B633),TRIM('[1]wc-product-export-16-3-2026-177'!$A:$A),'[1]wc-product-export-16-3-2026-177'!$D:$D,0,0)</f>
        <v>0</v>
      </c>
      <c r="Q633" s="66" cm="1">
        <f t="array" ref="Q633">_xlfn.LET(_xlpm.items,TRIM(_xlfn.TEXTSPLIT($N633,",")),_xlpm.codes,TRIM($B$3:$B$650),_xlpm.qty,$O$3:$O$650,_xlpm.setMask,ISNUMBER(MATCH(_xlpm.codes,_xlpm.items,0)),_xlpm.knifeType,IF(ISNUMBER(SEARCH("fine",$H633)),"15",IF(ISNUMBER(SEARCH("serr",$H633)),"20","")),_xlpm.knifeStock,IFERROR(MIN(IF(_xlpm.setMask*(RIGHT(_xlpm.codes,2)=_xlpm.knifeType),_xlpm.qty)),0),_xlpm.otherStock,IFERROR(MIN(IF(_xlpm.setMask*(RIGHT(_xlpm.codes,2)&lt;&gt;_xlpm.knifeType),_xlpm.qty)),0),IF(_xlpm.knifeStock&gt;=8,MIN(ROUNDDOWN(_xlpm.knifeStock/8,0),_xlpm.otherStock),0)+P633)</f>
        <v>0</v>
      </c>
      <c r="T633" t="str" cm="1">
        <f t="array" ref="T633">IFERROR(IF(D633="SET",_xlfn.TEXTJOIN(", ",TRUE,_xlfn._xlws.FILTER(TRANSPOSE(TRIM(_xlfn.TEXTSPLIT(N633,","))),COUNTIFS(B$3:B$650,TRANSPOSE(TRIM(_xlfn.TEXTSPLIT(N633,","))),O$3:O$650,"&lt;="&amp;$T$1))),""),"")</f>
        <v>79900, 79910, 79935, 79938, 79958, 79920</v>
      </c>
    </row>
    <row r="634" spans="1:20" ht="15.6" customHeight="1" x14ac:dyDescent="0.3">
      <c r="A634" s="1">
        <v>79998</v>
      </c>
      <c r="B634" s="55" t="s">
        <v>1153</v>
      </c>
      <c r="C634" s="1" t="s">
        <v>1260</v>
      </c>
      <c r="D634" s="1" t="s">
        <v>628</v>
      </c>
      <c r="E634" s="1" t="s">
        <v>686</v>
      </c>
      <c r="F634" s="9"/>
      <c r="G634" s="9"/>
      <c r="H634" s="16" t="s">
        <v>257</v>
      </c>
      <c r="I634" s="9" t="b">
        <f t="shared" si="15"/>
        <v>0</v>
      </c>
      <c r="J634" s="1" t="s">
        <v>404</v>
      </c>
      <c r="K634" s="1" t="s">
        <v>1714</v>
      </c>
      <c r="L634" s="1" t="s">
        <v>1719</v>
      </c>
      <c r="M634" s="9">
        <v>2</v>
      </c>
      <c r="N634" s="35" t="s">
        <v>1709</v>
      </c>
      <c r="O634" s="24">
        <v>0</v>
      </c>
      <c r="P634" s="2" cm="1">
        <f t="array" ref="P634">_xlfn.XLOOKUP(TRIM(B634),TRIM('[1]wc-product-export-16-3-2026-177'!$A:$A),'[1]wc-product-export-16-3-2026-177'!$D:$D,0,0)</f>
        <v>0</v>
      </c>
      <c r="Q634" s="66" cm="1">
        <f t="array" ref="Q634">_xlfn.LET(_xlpm.items,TRIM(_xlfn.TEXTSPLIT($N634,",")),_xlpm.codes,TRIM($B$3:$B$650),_xlpm.qty,$O$3:$O$650,_xlpm.setMask,ISNUMBER(MATCH(_xlpm.codes,_xlpm.items,0)),_xlpm.knifeType,IF(ISNUMBER(SEARCH("fine",$H634)),"15",IF(ISNUMBER(SEARCH("serr",$H634)),"20","")),_xlpm.knifeStock,IFERROR(MIN(IF(_xlpm.setMask*(RIGHT(_xlpm.codes,2)=_xlpm.knifeType),_xlpm.qty)),0),_xlpm.otherStock,IFERROR(MIN(IF(_xlpm.setMask*(RIGHT(_xlpm.codes,2)&lt;&gt;_xlpm.knifeType),_xlpm.qty)),0),IF(_xlpm.knifeStock&gt;=8,MIN(ROUNDDOWN(_xlpm.knifeStock/8,0),_xlpm.otherStock),0)+P634)</f>
        <v>0</v>
      </c>
      <c r="T634" t="str" cm="1">
        <f t="array" ref="T634">IFERROR(IF(D634="SET",_xlfn.TEXTJOIN(", ",TRUE,_xlfn._xlws.FILTER(TRANSPOSE(TRIM(_xlfn.TEXTSPLIT(N634,","))),COUNTIFS(B$3:B$650,TRANSPOSE(TRIM(_xlfn.TEXTSPLIT(N634,","))),O$3:O$650,"&lt;="&amp;$T$1))),""),"")</f>
        <v>79900, 79935, 79938, 79958, 79915, 79910</v>
      </c>
    </row>
    <row r="635" spans="1:20" ht="15.6" customHeight="1" x14ac:dyDescent="0.3">
      <c r="A635" s="1">
        <v>80323</v>
      </c>
      <c r="B635" s="1" t="s">
        <v>1155</v>
      </c>
      <c r="C635" s="1" t="s">
        <v>1259</v>
      </c>
      <c r="D635" s="1" t="s">
        <v>624</v>
      </c>
      <c r="E635" s="1" t="s">
        <v>623</v>
      </c>
      <c r="F635" s="9"/>
      <c r="G635" s="9"/>
      <c r="H635" s="53" t="s">
        <v>358</v>
      </c>
      <c r="I635" s="9" t="b">
        <f t="shared" si="15"/>
        <v>0</v>
      </c>
      <c r="J635" s="1" t="s">
        <v>405</v>
      </c>
      <c r="K635" s="1" t="s">
        <v>436</v>
      </c>
      <c r="L635" s="1" t="s">
        <v>436</v>
      </c>
      <c r="M635" s="9"/>
      <c r="N635" s="35"/>
      <c r="O635" s="2">
        <v>31</v>
      </c>
      <c r="P635" s="2" cm="1">
        <f t="array" ref="P635">_xlfn.XLOOKUP(TRIM(B635),TRIM('[1]wc-product-export-16-3-2026-177'!$A:$A),'[1]wc-product-export-16-3-2026-177'!$D:$D,0,0)</f>
        <v>0</v>
      </c>
      <c r="Q635" s="2" cm="1">
        <f t="array" ref="Q635">IF(TRIM($D635)="SET",IF($K635="Steak Set1",ROUNDDOWN(IFERROR(MIN(_xlfn._xlws.FILTER(O$3:O$650,ISNUMBER(MATCH(TRIM($B$3:$B$650),TRIM(_xlfn.TEXTSPLIT($N635,",")),0)))),0)/4,0)+P635,IF(IFERROR(MIN(_xlfn._xlws.FILTER(O$3:O$650,ISNUMBER(MATCH(TRIM($B$3:$B$650),TRIM(_xlfn.TEXTSPLIT($N635,",")),0)))),0)&gt;=$E$1,IFERROR(MIN(_xlfn._xlws.FILTER(O$3:O$650,ISNUMBER(MATCH(TRIM($B$3:$B$650),TRIM(_xlfn.TEXTSPLIT($N635,",")),0)))),0)+P635,P635)),IF(TRIM($D635)="EA",IF(TRIM($E635)="M",ROUNDUP(O635*0.85,0),IF(TRIM($E635)="P",O635,P635)),P635))</f>
        <v>31</v>
      </c>
      <c r="T635" t="str" cm="1">
        <f t="array" ref="T635">IFERROR(IF(D635="SET",_xlfn.TEXTJOIN(", ",TRUE,_xlfn._xlws.FILTER(TRANSPOSE(TRIM(_xlfn.TEXTSPLIT(N635,","))),COUNTIFS(B$3:B$650,TRANSPOSE(TRIM(_xlfn.TEXTSPLIT(N635,","))),O$3:O$650,"&lt;="&amp;$T$1))),""),"")</f>
        <v/>
      </c>
    </row>
    <row r="636" spans="1:20" ht="15.6" customHeight="1" x14ac:dyDescent="0.3">
      <c r="A636" s="1">
        <v>80416</v>
      </c>
      <c r="B636" s="1" t="s">
        <v>1156</v>
      </c>
      <c r="C636" s="1" t="s">
        <v>1259</v>
      </c>
      <c r="D636" s="1" t="s">
        <v>624</v>
      </c>
      <c r="E636" s="1" t="s">
        <v>623</v>
      </c>
      <c r="F636" s="9" t="s">
        <v>1688</v>
      </c>
      <c r="G636" s="9"/>
      <c r="H636" s="16" t="s">
        <v>359</v>
      </c>
      <c r="I636" s="9" t="b">
        <f t="shared" si="15"/>
        <v>0</v>
      </c>
      <c r="J636" s="1" t="s">
        <v>405</v>
      </c>
      <c r="K636" s="1" t="s">
        <v>436</v>
      </c>
      <c r="L636" s="1" t="s">
        <v>436</v>
      </c>
      <c r="M636" s="9"/>
      <c r="N636" s="35"/>
      <c r="O636" s="2">
        <v>32</v>
      </c>
      <c r="P636" s="2" cm="1">
        <f t="array" ref="P636">_xlfn.XLOOKUP(TRIM(B636),TRIM('[1]wc-product-export-16-3-2026-177'!$A:$A),'[1]wc-product-export-16-3-2026-177'!$D:$D,0,0)</f>
        <v>0</v>
      </c>
      <c r="Q636" s="2" cm="1">
        <f t="array" ref="Q636">IF(TRIM($D636)="SET",IF($K636="Steak Set1",ROUNDDOWN(IFERROR(MIN(_xlfn._xlws.FILTER(O$3:O$650,ISNUMBER(MATCH(TRIM($B$3:$B$650),TRIM(_xlfn.TEXTSPLIT($N636,",")),0)))),0)/4,0)+P636,IF(IFERROR(MIN(_xlfn._xlws.FILTER(O$3:O$650,ISNUMBER(MATCH(TRIM($B$3:$B$650),TRIM(_xlfn.TEXTSPLIT($N636,",")),0)))),0)&gt;=$E$1,IFERROR(MIN(_xlfn._xlws.FILTER(O$3:O$650,ISNUMBER(MATCH(TRIM($B$3:$B$650),TRIM(_xlfn.TEXTSPLIT($N636,",")),0)))),0)+P636,P636)),IF(TRIM($D636)="EA",IF(TRIM($E636)="M",ROUNDUP(O636*0.85,0),IF(TRIM($E636)="P",O636,P636)),P636))</f>
        <v>32</v>
      </c>
      <c r="T636" t="str" cm="1">
        <f t="array" ref="T636">IFERROR(IF(D636="SET",_xlfn.TEXTJOIN(", ",TRUE,_xlfn._xlws.FILTER(TRANSPOSE(TRIM(_xlfn.TEXTSPLIT(N636,","))),COUNTIFS(B$3:B$650,TRANSPOSE(TRIM(_xlfn.TEXTSPLIT(N636,","))),O$3:O$650,"&lt;="&amp;$T$1))),""),"")</f>
        <v/>
      </c>
    </row>
    <row r="637" spans="1:20" ht="15.6" customHeight="1" x14ac:dyDescent="0.3">
      <c r="A637" s="1">
        <v>80423</v>
      </c>
      <c r="B637" s="1" t="s">
        <v>1157</v>
      </c>
      <c r="C637" s="1" t="s">
        <v>1259</v>
      </c>
      <c r="D637" s="1" t="s">
        <v>624</v>
      </c>
      <c r="E637" s="1" t="s">
        <v>623</v>
      </c>
      <c r="F637" s="9" t="s">
        <v>1688</v>
      </c>
      <c r="G637" s="9"/>
      <c r="H637" s="16" t="s">
        <v>360</v>
      </c>
      <c r="I637" s="9" t="b">
        <f t="shared" si="15"/>
        <v>0</v>
      </c>
      <c r="J637" s="1" t="s">
        <v>405</v>
      </c>
      <c r="K637" s="1" t="s">
        <v>436</v>
      </c>
      <c r="L637" s="1" t="s">
        <v>436</v>
      </c>
      <c r="M637" s="9"/>
      <c r="N637" s="35"/>
      <c r="O637" s="2">
        <v>25</v>
      </c>
      <c r="P637" s="2" cm="1">
        <f t="array" ref="P637">_xlfn.XLOOKUP(TRIM(B637),TRIM('[1]wc-product-export-16-3-2026-177'!$A:$A),'[1]wc-product-export-16-3-2026-177'!$D:$D,0,0)</f>
        <v>0</v>
      </c>
      <c r="Q637" s="2" cm="1">
        <f t="array" ref="Q637">IF(TRIM($D637)="SET",IF($K637="Steak Set1",ROUNDDOWN(IFERROR(MIN(_xlfn._xlws.FILTER(O$3:O$650,ISNUMBER(MATCH(TRIM($B$3:$B$650),TRIM(_xlfn.TEXTSPLIT($N637,",")),0)))),0)/4,0)+P637,IF(IFERROR(MIN(_xlfn._xlws.FILTER(O$3:O$650,ISNUMBER(MATCH(TRIM($B$3:$B$650),TRIM(_xlfn.TEXTSPLIT($N637,",")),0)))),0)&gt;=$E$1,IFERROR(MIN(_xlfn._xlws.FILTER(O$3:O$650,ISNUMBER(MATCH(TRIM($B$3:$B$650),TRIM(_xlfn.TEXTSPLIT($N637,",")),0)))),0)+P637,P637)),IF(TRIM($D637)="EA",IF(TRIM($E637)="M",ROUNDUP(O637*0.85,0),IF(TRIM($E637)="P",O637,P637)),P637))</f>
        <v>25</v>
      </c>
      <c r="T637" t="str" cm="1">
        <f t="array" ref="T637">IFERROR(IF(D637="SET",_xlfn.TEXTJOIN(", ",TRUE,_xlfn._xlws.FILTER(TRANSPOSE(TRIM(_xlfn.TEXTSPLIT(N637,","))),COUNTIFS(B$3:B$650,TRANSPOSE(TRIM(_xlfn.TEXTSPLIT(N637,","))),O$3:O$650,"&lt;="&amp;$T$1))),""),"")</f>
        <v/>
      </c>
    </row>
    <row r="638" spans="1:20" ht="15.6" customHeight="1" x14ac:dyDescent="0.3">
      <c r="A638" s="1">
        <v>80516</v>
      </c>
      <c r="B638" s="1" t="s">
        <v>1158</v>
      </c>
      <c r="C638" s="1" t="s">
        <v>1259</v>
      </c>
      <c r="D638" s="1" t="s">
        <v>624</v>
      </c>
      <c r="E638" s="1" t="s">
        <v>623</v>
      </c>
      <c r="F638" s="9"/>
      <c r="G638" s="9"/>
      <c r="H638" s="16" t="s">
        <v>361</v>
      </c>
      <c r="I638" s="9" t="b">
        <f t="shared" si="15"/>
        <v>0</v>
      </c>
      <c r="J638" s="1" t="s">
        <v>405</v>
      </c>
      <c r="K638" s="1" t="s">
        <v>436</v>
      </c>
      <c r="L638" s="1" t="s">
        <v>436</v>
      </c>
      <c r="M638" s="9"/>
      <c r="N638" s="35"/>
      <c r="O638" s="2">
        <v>84</v>
      </c>
      <c r="P638" s="2" cm="1">
        <f t="array" ref="P638">_xlfn.XLOOKUP(TRIM(B638),TRIM('[1]wc-product-export-16-3-2026-177'!$A:$A),'[1]wc-product-export-16-3-2026-177'!$D:$D,0,0)</f>
        <v>0</v>
      </c>
      <c r="Q638" s="2" cm="1">
        <f t="array" ref="Q638">IF(TRIM($D638)="SET",IF($K638="Steak Set1",ROUNDDOWN(IFERROR(MIN(_xlfn._xlws.FILTER(O$3:O$650,ISNUMBER(MATCH(TRIM($B$3:$B$650),TRIM(_xlfn.TEXTSPLIT($N638,",")),0)))),0)/4,0)+P638,IF(IFERROR(MIN(_xlfn._xlws.FILTER(O$3:O$650,ISNUMBER(MATCH(TRIM($B$3:$B$650),TRIM(_xlfn.TEXTSPLIT($N638,",")),0)))),0)&gt;=$E$1,IFERROR(MIN(_xlfn._xlws.FILTER(O$3:O$650,ISNUMBER(MATCH(TRIM($B$3:$B$650),TRIM(_xlfn.TEXTSPLIT($N638,",")),0)))),0)+P638,P638)),IF(TRIM($D638)="EA",IF(TRIM($E638)="M",ROUNDUP(O638*0.85,0),IF(TRIM($E638)="P",O638,P638)),P638))</f>
        <v>84</v>
      </c>
      <c r="T638" t="str" cm="1">
        <f t="array" ref="T638">IFERROR(IF(D638="SET",_xlfn.TEXTJOIN(", ",TRUE,_xlfn._xlws.FILTER(TRANSPOSE(TRIM(_xlfn.TEXTSPLIT(N638,","))),COUNTIFS(B$3:B$650,TRANSPOSE(TRIM(_xlfn.TEXTSPLIT(N638,","))),O$3:O$650,"&lt;="&amp;$T$1))),""),"")</f>
        <v/>
      </c>
    </row>
    <row r="639" spans="1:20" ht="15.6" hidden="1" customHeight="1" x14ac:dyDescent="0.3">
      <c r="A639" s="1" t="s">
        <v>1453</v>
      </c>
      <c r="B639" s="1" t="s">
        <v>1453</v>
      </c>
      <c r="C639" s="1" t="s">
        <v>1259</v>
      </c>
      <c r="D639" s="14" t="s">
        <v>624</v>
      </c>
      <c r="E639" s="2" t="s">
        <v>686</v>
      </c>
      <c r="F639" s="9" t="s">
        <v>1608</v>
      </c>
      <c r="H639" s="16" t="s">
        <v>1504</v>
      </c>
      <c r="I639" s="9" t="b">
        <f t="shared" si="15"/>
        <v>0</v>
      </c>
      <c r="J639" s="1" t="s">
        <v>1529</v>
      </c>
      <c r="K639" s="1" t="s">
        <v>1529</v>
      </c>
      <c r="L639" s="1" t="s">
        <v>1529</v>
      </c>
      <c r="N639" s="35"/>
      <c r="O639" s="2" t="s">
        <v>458</v>
      </c>
      <c r="P639" s="2" cm="1">
        <f t="array" ref="P639">_xlfn.XLOOKUP(TRIM(B639),TRIM('[1]wc-product-export-16-3-2026-177'!$A:$A),'[1]wc-product-export-16-3-2026-177'!$D:$D,0,0)</f>
        <v>0</v>
      </c>
      <c r="Q639" s="2" t="e" cm="1">
        <f t="array" ref="Q639">IF(TRIM($D639)="SET",IF($K639="Steak Set1",ROUNDDOWN(IFERROR(MIN(_xlfn._xlws.FILTER(O$3:O$650,ISNUMBER(MATCH(TRIM($B$3:$B$650),TRIM(_xlfn.TEXTSPLIT($N639,",")),0)))),0)/4,0)+P639,IF(IFERROR(MIN(_xlfn._xlws.FILTER(O$3:O$650,ISNUMBER(MATCH(TRIM($B$3:$B$650),TRIM(_xlfn.TEXTSPLIT($N639,",")),0)))),0)&gt;=$E$1,IFERROR(MIN(_xlfn._xlws.FILTER(O$3:O$650,ISNUMBER(MATCH(TRIM($B$3:$B$650),TRIM(_xlfn.TEXTSPLIT($N639,",")),0)))),0)+P639,P639)),IF(TRIM($D639)="EA",IF(TRIM($E639)="M",ROUNDUP(O639*0.85,0),IF(TRIM($E639)="P",O639,P639)),P639))</f>
        <v>#VALUE!</v>
      </c>
      <c r="T639" t="str" cm="1">
        <f t="array" ref="T639">IFERROR(IF(D639="SET",_xlfn.TEXTJOIN(", ",TRUE,_xlfn._xlws.FILTER(TRANSPOSE(TRIM(_xlfn.TEXTSPLIT(N639,","))),COUNTIFS(B$3:B$650,TRANSPOSE(TRIM(_xlfn.TEXTSPLIT(N639,","))),O$3:O$650,"&lt;="&amp;$T$1))),""),"")</f>
        <v/>
      </c>
    </row>
    <row r="640" spans="1:20" ht="15.6" customHeight="1" x14ac:dyDescent="0.3">
      <c r="A640" s="1">
        <v>80616</v>
      </c>
      <c r="B640" s="1" t="s">
        <v>1241</v>
      </c>
      <c r="C640" s="1" t="s">
        <v>1259</v>
      </c>
      <c r="D640" s="1" t="s">
        <v>624</v>
      </c>
      <c r="E640" s="1" t="s">
        <v>623</v>
      </c>
      <c r="F640" s="9"/>
      <c r="G640" s="9"/>
      <c r="H640" s="16" t="s">
        <v>1242</v>
      </c>
      <c r="I640" s="9" t="b">
        <f t="shared" si="15"/>
        <v>0</v>
      </c>
      <c r="J640" s="1" t="s">
        <v>405</v>
      </c>
      <c r="K640" s="1" t="s">
        <v>436</v>
      </c>
      <c r="L640" s="1" t="s">
        <v>436</v>
      </c>
      <c r="M640" s="9"/>
      <c r="N640" s="35"/>
      <c r="O640" s="2">
        <v>36</v>
      </c>
      <c r="P640" s="2" cm="1">
        <f t="array" ref="P640">_xlfn.XLOOKUP(TRIM(B640),TRIM('[1]wc-product-export-16-3-2026-177'!$A:$A),'[1]wc-product-export-16-3-2026-177'!$D:$D,0,0)</f>
        <v>0</v>
      </c>
      <c r="Q640" s="2" cm="1">
        <f t="array" ref="Q640">IF(TRIM($D640)="SET",IF($K640="Steak Set1",ROUNDDOWN(IFERROR(MIN(_xlfn._xlws.FILTER(O$3:O$650,ISNUMBER(MATCH(TRIM($B$3:$B$650),TRIM(_xlfn.TEXTSPLIT($N640,",")),0)))),0)/4,0)+P640,IF(IFERROR(MIN(_xlfn._xlws.FILTER(O$3:O$650,ISNUMBER(MATCH(TRIM($B$3:$B$650),TRIM(_xlfn.TEXTSPLIT($N640,",")),0)))),0)&gt;=$E$1,IFERROR(MIN(_xlfn._xlws.FILTER(O$3:O$650,ISNUMBER(MATCH(TRIM($B$3:$B$650),TRIM(_xlfn.TEXTSPLIT($N640,",")),0)))),0)+P640,P640)),IF(TRIM($D640)="EA",IF(TRIM($E640)="M",ROUNDUP(O640*0.85,0),IF(TRIM($E640)="P",O640,P640)),P640))</f>
        <v>36</v>
      </c>
      <c r="T640" t="str" cm="1">
        <f t="array" ref="T640">IFERROR(IF(D640="SET",_xlfn.TEXTJOIN(", ",TRUE,_xlfn._xlws.FILTER(TRANSPOSE(TRIM(_xlfn.TEXTSPLIT(N640,","))),COUNTIFS(B$3:B$650,TRANSPOSE(TRIM(_xlfn.TEXTSPLIT(N640,","))),O$3:O$650,"&lt;="&amp;$T$1))),""),"")</f>
        <v/>
      </c>
    </row>
    <row r="641" spans="1:20" ht="15.6" customHeight="1" x14ac:dyDescent="0.3">
      <c r="A641" s="1">
        <v>80623</v>
      </c>
      <c r="B641" s="1" t="s">
        <v>1237</v>
      </c>
      <c r="C641" s="1" t="s">
        <v>1259</v>
      </c>
      <c r="D641" s="1" t="s">
        <v>624</v>
      </c>
      <c r="E641" s="1" t="s">
        <v>623</v>
      </c>
      <c r="F641" s="9"/>
      <c r="G641" s="9"/>
      <c r="H641" s="16" t="s">
        <v>1238</v>
      </c>
      <c r="I641" s="9" t="b">
        <f t="shared" si="15"/>
        <v>0</v>
      </c>
      <c r="J641" s="1" t="s">
        <v>405</v>
      </c>
      <c r="K641" s="1" t="s">
        <v>280</v>
      </c>
      <c r="L641" s="1" t="s">
        <v>436</v>
      </c>
      <c r="M641" s="9"/>
      <c r="N641" s="35"/>
      <c r="O641" s="2">
        <v>25</v>
      </c>
      <c r="P641" s="2" cm="1">
        <f t="array" ref="P641">_xlfn.XLOOKUP(TRIM(B641),TRIM('[1]wc-product-export-16-3-2026-177'!$A:$A),'[1]wc-product-export-16-3-2026-177'!$D:$D,0,0)</f>
        <v>0</v>
      </c>
      <c r="Q641" s="2" cm="1">
        <f t="array" ref="Q641">IF(TRIM($D641)="SET",IF($K641="Steak Set1",ROUNDDOWN(IFERROR(MIN(_xlfn._xlws.FILTER(O$3:O$650,ISNUMBER(MATCH(TRIM($B$3:$B$650),TRIM(_xlfn.TEXTSPLIT($N641,",")),0)))),0)/4,0)+P641,IF(IFERROR(MIN(_xlfn._xlws.FILTER(O$3:O$650,ISNUMBER(MATCH(TRIM($B$3:$B$650),TRIM(_xlfn.TEXTSPLIT($N641,",")),0)))),0)&gt;=$E$1,IFERROR(MIN(_xlfn._xlws.FILTER(O$3:O$650,ISNUMBER(MATCH(TRIM($B$3:$B$650),TRIM(_xlfn.TEXTSPLIT($N641,",")),0)))),0)+P641,P641)),IF(TRIM($D641)="EA",IF(TRIM($E641)="M",ROUNDUP(O641*0.85,0),IF(TRIM($E641)="P",O641,P641)),P641))</f>
        <v>25</v>
      </c>
      <c r="T641" t="str" cm="1">
        <f t="array" ref="T641">IFERROR(IF(D641="SET",_xlfn.TEXTJOIN(", ",TRUE,_xlfn._xlws.FILTER(TRANSPOSE(TRIM(_xlfn.TEXTSPLIT(N641,","))),COUNTIFS(B$3:B$650,TRANSPOSE(TRIM(_xlfn.TEXTSPLIT(N641,","))),O$3:O$650,"&lt;="&amp;$T$1))),""),"")</f>
        <v/>
      </c>
    </row>
    <row r="642" spans="1:20" ht="15.6" customHeight="1" x14ac:dyDescent="0.3">
      <c r="A642" s="1">
        <v>81217</v>
      </c>
      <c r="B642" s="1" t="s">
        <v>1160</v>
      </c>
      <c r="C642" s="1" t="s">
        <v>1259</v>
      </c>
      <c r="D642" s="1" t="s">
        <v>624</v>
      </c>
      <c r="E642" s="1" t="s">
        <v>623</v>
      </c>
      <c r="F642" s="9"/>
      <c r="G642" s="9"/>
      <c r="H642" s="16" t="s">
        <v>363</v>
      </c>
      <c r="I642" s="9" t="b">
        <f t="shared" si="15"/>
        <v>0</v>
      </c>
      <c r="J642" s="1" t="s">
        <v>405</v>
      </c>
      <c r="K642" s="1" t="s">
        <v>436</v>
      </c>
      <c r="L642" s="1" t="s">
        <v>436</v>
      </c>
      <c r="M642" s="9"/>
      <c r="N642" s="35"/>
      <c r="O642" s="2">
        <v>82</v>
      </c>
      <c r="P642" s="2" cm="1">
        <f t="array" ref="P642">_xlfn.XLOOKUP(TRIM(B642),TRIM('[1]wc-product-export-16-3-2026-177'!$A:$A),'[1]wc-product-export-16-3-2026-177'!$D:$D,0,0)</f>
        <v>0</v>
      </c>
      <c r="Q642" s="2" cm="1">
        <f t="array" ref="Q642">IF(TRIM($D642)="SET",IF($K642="Steak Set1",ROUNDDOWN(IFERROR(MIN(_xlfn._xlws.FILTER(O$3:O$650,ISNUMBER(MATCH(TRIM($B$3:$B$650),TRIM(_xlfn.TEXTSPLIT($N642,",")),0)))),0)/4,0)+P642,IF(IFERROR(MIN(_xlfn._xlws.FILTER(O$3:O$650,ISNUMBER(MATCH(TRIM($B$3:$B$650),TRIM(_xlfn.TEXTSPLIT($N642,",")),0)))),0)&gt;=$E$1,IFERROR(MIN(_xlfn._xlws.FILTER(O$3:O$650,ISNUMBER(MATCH(TRIM($B$3:$B$650),TRIM(_xlfn.TEXTSPLIT($N642,",")),0)))),0)+P642,P642)),IF(TRIM($D642)="EA",IF(TRIM($E642)="M",ROUNDUP(O642*0.85,0),IF(TRIM($E642)="P",O642,P642)),P642))</f>
        <v>82</v>
      </c>
      <c r="T642" t="str" cm="1">
        <f t="array" ref="T642">IFERROR(IF(D642="SET",_xlfn.TEXTJOIN(", ",TRUE,_xlfn._xlws.FILTER(TRANSPOSE(TRIM(_xlfn.TEXTSPLIT(N642,","))),COUNTIFS(B$3:B$650,TRANSPOSE(TRIM(_xlfn.TEXTSPLIT(N642,","))),O$3:O$650,"&lt;="&amp;$T$1))),""),"")</f>
        <v/>
      </c>
    </row>
    <row r="643" spans="1:20" ht="15.6" customHeight="1" x14ac:dyDescent="0.3">
      <c r="A643" s="1">
        <v>80316</v>
      </c>
      <c r="B643" s="50" t="s">
        <v>1154</v>
      </c>
      <c r="C643" s="1" t="s">
        <v>1259</v>
      </c>
      <c r="D643" s="1" t="s">
        <v>624</v>
      </c>
      <c r="E643" s="1" t="s">
        <v>623</v>
      </c>
      <c r="F643" s="9"/>
      <c r="G643" s="9"/>
      <c r="H643" s="16" t="s">
        <v>357</v>
      </c>
      <c r="I643" s="9" t="b">
        <f t="shared" si="15"/>
        <v>0</v>
      </c>
      <c r="J643" s="1" t="s">
        <v>405</v>
      </c>
      <c r="K643" s="1" t="s">
        <v>436</v>
      </c>
      <c r="L643" s="1" t="s">
        <v>436</v>
      </c>
      <c r="M643" s="9"/>
      <c r="N643" s="35"/>
      <c r="O643" s="2">
        <v>5</v>
      </c>
      <c r="P643" s="2" cm="1">
        <f t="array" ref="P643">_xlfn.XLOOKUP(TRIM(B643),TRIM('[1]wc-product-export-16-3-2026-177'!$A:$A),'[1]wc-product-export-16-3-2026-177'!$D:$D,0,0)</f>
        <v>0</v>
      </c>
      <c r="Q643" s="2" cm="1">
        <f t="array" ref="Q643">IF(TRIM($D643)="SET",IF($K643="Steak Set1",ROUNDDOWN(IFERROR(MIN(_xlfn._xlws.FILTER(O$3:O$650,ISNUMBER(MATCH(TRIM($B$3:$B$650),TRIM(_xlfn.TEXTSPLIT($N643,",")),0)))),0)/4,0)+P643,IF(IFERROR(MIN(_xlfn._xlws.FILTER(O$3:O$650,ISNUMBER(MATCH(TRIM($B$3:$B$650),TRIM(_xlfn.TEXTSPLIT($N643,",")),0)))),0)&gt;=$E$1,IFERROR(MIN(_xlfn._xlws.FILTER(O$3:O$650,ISNUMBER(MATCH(TRIM($B$3:$B$650),TRIM(_xlfn.TEXTSPLIT($N643,",")),0)))),0)+P643,P643)),IF(TRIM($D643)="EA",IF(TRIM($E643)="M",ROUNDUP(O643*0.85,0),IF(TRIM($E643)="P",O643,P643)),P643))</f>
        <v>5</v>
      </c>
      <c r="T643" t="str" cm="1">
        <f t="array" ref="T643">IFERROR(IF(D643="SET",_xlfn.TEXTJOIN(", ",TRUE,_xlfn._xlws.FILTER(TRANSPOSE(TRIM(_xlfn.TEXTSPLIT(N643,","))),COUNTIFS(B$3:B$650,TRANSPOSE(TRIM(_xlfn.TEXTSPLIT(N643,","))),O$3:O$650,"&lt;="&amp;$T$1))),""),"")</f>
        <v/>
      </c>
    </row>
    <row r="644" spans="1:20" ht="15.6" customHeight="1" x14ac:dyDescent="0.3">
      <c r="A644" s="1">
        <v>80523</v>
      </c>
      <c r="B644" s="50" t="s">
        <v>1159</v>
      </c>
      <c r="C644" s="1" t="s">
        <v>1259</v>
      </c>
      <c r="D644" s="1" t="s">
        <v>624</v>
      </c>
      <c r="E644" s="1" t="s">
        <v>623</v>
      </c>
      <c r="F644" s="9"/>
      <c r="G644" s="9"/>
      <c r="H644" s="16" t="s">
        <v>362</v>
      </c>
      <c r="I644" s="9" t="b">
        <f t="shared" si="15"/>
        <v>0</v>
      </c>
      <c r="J644" s="1" t="s">
        <v>405</v>
      </c>
      <c r="K644" s="1" t="s">
        <v>436</v>
      </c>
      <c r="L644" s="1" t="s">
        <v>436</v>
      </c>
      <c r="M644" s="9"/>
      <c r="N644" s="35"/>
      <c r="O644" s="2">
        <v>101</v>
      </c>
      <c r="P644" s="2" cm="1">
        <f t="array" ref="P644">_xlfn.XLOOKUP(TRIM(B644),TRIM('[1]wc-product-export-16-3-2026-177'!$A:$A),'[1]wc-product-export-16-3-2026-177'!$D:$D,0,0)</f>
        <v>0</v>
      </c>
      <c r="Q644" s="2" cm="1">
        <f t="array" ref="Q644">IF(TRIM($D644)="SET",IF($K644="Steak Set1",ROUNDDOWN(IFERROR(MIN(_xlfn._xlws.FILTER(O$3:O$650,ISNUMBER(MATCH(TRIM($B$3:$B$650),TRIM(_xlfn.TEXTSPLIT($N644,",")),0)))),0)/4,0)+P644,IF(IFERROR(MIN(_xlfn._xlws.FILTER(O$3:O$650,ISNUMBER(MATCH(TRIM($B$3:$B$650),TRIM(_xlfn.TEXTSPLIT($N644,",")),0)))),0)&gt;=$E$1,IFERROR(MIN(_xlfn._xlws.FILTER(O$3:O$650,ISNUMBER(MATCH(TRIM($B$3:$B$650),TRIM(_xlfn.TEXTSPLIT($N644,",")),0)))),0)+P644,P644)),IF(TRIM($D644)="EA",IF(TRIM($E644)="M",ROUNDUP(O644*0.85,0),IF(TRIM($E644)="P",O644,P644)),P644))</f>
        <v>101</v>
      </c>
      <c r="T644" t="str" cm="1">
        <f t="array" ref="T644">IFERROR(IF(D644="SET",_xlfn.TEXTJOIN(", ",TRUE,_xlfn._xlws.FILTER(TRANSPOSE(TRIM(_xlfn.TEXTSPLIT(N644,","))),COUNTIFS(B$3:B$650,TRANSPOSE(TRIM(_xlfn.TEXTSPLIT(N644,","))),O$3:O$650,"&lt;="&amp;$T$1))),""),"")</f>
        <v/>
      </c>
    </row>
    <row r="645" spans="1:20" ht="15.6" customHeight="1" x14ac:dyDescent="0.3">
      <c r="A645" s="1">
        <v>82510</v>
      </c>
      <c r="B645" s="1" t="s">
        <v>1163</v>
      </c>
      <c r="C645" s="1" t="s">
        <v>1259</v>
      </c>
      <c r="D645" s="1" t="s">
        <v>624</v>
      </c>
      <c r="E645" s="1" t="s">
        <v>623</v>
      </c>
      <c r="F645" s="9"/>
      <c r="G645" s="9"/>
      <c r="H645" s="16" t="s">
        <v>366</v>
      </c>
      <c r="I645" s="9" t="b">
        <f t="shared" si="15"/>
        <v>0</v>
      </c>
      <c r="J645" s="1" t="s">
        <v>405</v>
      </c>
      <c r="K645" s="1" t="s">
        <v>436</v>
      </c>
      <c r="L645" s="1" t="s">
        <v>436</v>
      </c>
      <c r="M645" s="9"/>
      <c r="N645" s="35"/>
      <c r="O645" s="2">
        <v>45</v>
      </c>
      <c r="P645" s="2" cm="1">
        <f t="array" ref="P645">_xlfn.XLOOKUP(TRIM(B645),TRIM('[1]wc-product-export-16-3-2026-177'!$A:$A),'[1]wc-product-export-16-3-2026-177'!$D:$D,0,0)</f>
        <v>0</v>
      </c>
      <c r="Q645" s="2" cm="1">
        <f t="array" ref="Q645">IF(TRIM($D645)="SET",IF($K645="Steak Set1",ROUNDDOWN(IFERROR(MIN(_xlfn._xlws.FILTER(O$3:O$650,ISNUMBER(MATCH(TRIM($B$3:$B$650),TRIM(_xlfn.TEXTSPLIT($N645,",")),0)))),0)/4,0)+P645,IF(IFERROR(MIN(_xlfn._xlws.FILTER(O$3:O$650,ISNUMBER(MATCH(TRIM($B$3:$B$650),TRIM(_xlfn.TEXTSPLIT($N645,",")),0)))),0)&gt;=$E$1,IFERROR(MIN(_xlfn._xlws.FILTER(O$3:O$650,ISNUMBER(MATCH(TRIM($B$3:$B$650),TRIM(_xlfn.TEXTSPLIT($N645,",")),0)))),0)+P645,P645)),IF(TRIM($D645)="EA",IF(TRIM($E645)="M",ROUNDUP(O645*0.85,0),IF(TRIM($E645)="P",O645,P645)),P645))</f>
        <v>45</v>
      </c>
      <c r="T645" t="str" cm="1">
        <f t="array" ref="T645">IFERROR(IF(D645="SET",_xlfn.TEXTJOIN(", ",TRUE,_xlfn._xlws.FILTER(TRANSPOSE(TRIM(_xlfn.TEXTSPLIT(N645,","))),COUNTIFS(B$3:B$650,TRANSPOSE(TRIM(_xlfn.TEXTSPLIT(N645,","))),O$3:O$650,"&lt;="&amp;$T$1))),""),"")</f>
        <v/>
      </c>
    </row>
    <row r="646" spans="1:20" ht="15.6" customHeight="1" x14ac:dyDescent="0.3">
      <c r="A646" s="1">
        <v>82518</v>
      </c>
      <c r="B646" s="1" t="s">
        <v>1164</v>
      </c>
      <c r="C646" s="1" t="s">
        <v>1259</v>
      </c>
      <c r="D646" s="1" t="s">
        <v>624</v>
      </c>
      <c r="E646" s="1" t="s">
        <v>623</v>
      </c>
      <c r="F646" s="9"/>
      <c r="G646" s="9"/>
      <c r="H646" s="49" t="s">
        <v>367</v>
      </c>
      <c r="I646" s="9" t="b">
        <f t="shared" si="15"/>
        <v>0</v>
      </c>
      <c r="J646" s="1" t="s">
        <v>405</v>
      </c>
      <c r="K646" s="1" t="s">
        <v>437</v>
      </c>
      <c r="L646" s="1" t="s">
        <v>437</v>
      </c>
      <c r="M646" s="9"/>
      <c r="N646" s="35"/>
      <c r="O646" s="2">
        <v>79</v>
      </c>
      <c r="P646" s="2" cm="1">
        <f t="array" ref="P646">_xlfn.XLOOKUP(TRIM(B646),TRIM('[1]wc-product-export-16-3-2026-177'!$A:$A),'[1]wc-product-export-16-3-2026-177'!$D:$D,0,0)</f>
        <v>0</v>
      </c>
      <c r="Q646" s="2" cm="1">
        <f t="array" ref="Q646">IF(TRIM($D646)="SET",IF($K646="Steak Set1",ROUNDDOWN(IFERROR(MIN(_xlfn._xlws.FILTER(O$3:O$650,ISNUMBER(MATCH(TRIM($B$3:$B$650),TRIM(_xlfn.TEXTSPLIT($N646,",")),0)))),0)/4,0)+P646,IF(IFERROR(MIN(_xlfn._xlws.FILTER(O$3:O$650,ISNUMBER(MATCH(TRIM($B$3:$B$650),TRIM(_xlfn.TEXTSPLIT($N646,",")),0)))),0)&gt;=$E$1,IFERROR(MIN(_xlfn._xlws.FILTER(O$3:O$650,ISNUMBER(MATCH(TRIM($B$3:$B$650),TRIM(_xlfn.TEXTSPLIT($N646,",")),0)))),0)+P646,P646)),IF(TRIM($D646)="EA",IF(TRIM($E646)="M",ROUNDUP(O646*0.85,0),IF(TRIM($E646)="P",O646,P646)),P646))</f>
        <v>79</v>
      </c>
      <c r="T646" t="str" cm="1">
        <f t="array" ref="T646">IFERROR(IF(D646="SET",_xlfn.TEXTJOIN(", ",TRUE,_xlfn._xlws.FILTER(TRANSPOSE(TRIM(_xlfn.TEXTSPLIT(N646,","))),COUNTIFS(B$3:B$650,TRANSPOSE(TRIM(_xlfn.TEXTSPLIT(N646,","))),O$3:O$650,"&lt;="&amp;$T$1))),""),"")</f>
        <v/>
      </c>
    </row>
    <row r="647" spans="1:20" ht="15.6" hidden="1" customHeight="1" x14ac:dyDescent="0.3">
      <c r="A647" s="1" t="s">
        <v>1455</v>
      </c>
      <c r="B647" s="1" t="s">
        <v>1455</v>
      </c>
      <c r="C647" s="1" t="s">
        <v>1259</v>
      </c>
      <c r="D647" s="14" t="s">
        <v>624</v>
      </c>
      <c r="E647" s="2" t="s">
        <v>686</v>
      </c>
      <c r="F647" s="9" t="s">
        <v>1608</v>
      </c>
      <c r="H647" s="16" t="s">
        <v>1506</v>
      </c>
      <c r="I647" s="9" t="b">
        <f t="shared" si="15"/>
        <v>0</v>
      </c>
      <c r="J647" s="1" t="s">
        <v>1529</v>
      </c>
      <c r="K647" s="1" t="s">
        <v>1529</v>
      </c>
      <c r="L647" s="1" t="s">
        <v>1529</v>
      </c>
      <c r="N647" s="35"/>
      <c r="O647" s="2" t="s">
        <v>458</v>
      </c>
      <c r="P647" s="2" cm="1">
        <f t="array" ref="P647">_xlfn.XLOOKUP(TRIM(B647),TRIM('[1]wc-product-export-16-3-2026-177'!$A:$A),'[1]wc-product-export-16-3-2026-177'!$D:$D,0,0)</f>
        <v>0</v>
      </c>
      <c r="Q647" s="2" t="e" cm="1">
        <f t="array" ref="Q647">IF(TRIM($D647)="SET",IF($K647="Steak Set1",ROUNDDOWN(IFERROR(MIN(_xlfn._xlws.FILTER(O$3:O$650,ISNUMBER(MATCH(TRIM($B$3:$B$650),TRIM(_xlfn.TEXTSPLIT($N647,",")),0)))),0)/4,0)+P647,IF(IFERROR(MIN(_xlfn._xlws.FILTER(O$3:O$650,ISNUMBER(MATCH(TRIM($B$3:$B$650),TRIM(_xlfn.TEXTSPLIT($N647,",")),0)))),0)&gt;=$E$1,IFERROR(MIN(_xlfn._xlws.FILTER(O$3:O$650,ISNUMBER(MATCH(TRIM($B$3:$B$650),TRIM(_xlfn.TEXTSPLIT($N647,",")),0)))),0)+P647,P647)),IF(TRIM($D647)="EA",IF(TRIM($E647)="M",ROUNDUP(O647*0.85,0),IF(TRIM($E647)="P",O647,P647)),P647))</f>
        <v>#VALUE!</v>
      </c>
      <c r="T647" t="str" cm="1">
        <f t="array" ref="T647">IFERROR(IF(D647="SET",_xlfn.TEXTJOIN(", ",TRUE,_xlfn._xlws.FILTER(TRANSPOSE(TRIM(_xlfn.TEXTSPLIT(N647,","))),COUNTIFS(B$3:B$650,TRANSPOSE(TRIM(_xlfn.TEXTSPLIT(N647,","))),O$3:O$650,"&lt;="&amp;$T$1))),""),"")</f>
        <v/>
      </c>
    </row>
    <row r="648" spans="1:20" ht="15.6" customHeight="1" x14ac:dyDescent="0.3">
      <c r="A648" s="1">
        <v>82318</v>
      </c>
      <c r="B648" s="50" t="s">
        <v>1161</v>
      </c>
      <c r="C648" s="1" t="s">
        <v>1259</v>
      </c>
      <c r="D648" s="1" t="s">
        <v>624</v>
      </c>
      <c r="E648" s="1" t="s">
        <v>623</v>
      </c>
      <c r="F648" s="9"/>
      <c r="G648" s="9"/>
      <c r="H648" s="16" t="s">
        <v>364</v>
      </c>
      <c r="I648" s="9" t="b">
        <f t="shared" ref="I648:I649" si="16">ISNUMBER(SEARCH($I$2,H648))</f>
        <v>0</v>
      </c>
      <c r="J648" s="1" t="s">
        <v>405</v>
      </c>
      <c r="K648" s="1" t="s">
        <v>437</v>
      </c>
      <c r="L648" s="1" t="s">
        <v>437</v>
      </c>
      <c r="M648" s="9"/>
      <c r="N648" s="35"/>
      <c r="O648" s="2">
        <v>40</v>
      </c>
      <c r="P648" s="2" cm="1">
        <f t="array" ref="P648">_xlfn.XLOOKUP(TRIM(B648),TRIM('[1]wc-product-export-16-3-2026-177'!$A:$A),'[1]wc-product-export-16-3-2026-177'!$D:$D,0,0)</f>
        <v>0</v>
      </c>
      <c r="Q648" s="2" cm="1">
        <f t="array" ref="Q648">IF(TRIM($D648)="SET",IF($K648="Steak Set1",ROUNDDOWN(IFERROR(MIN(_xlfn._xlws.FILTER(O$3:O$650,ISNUMBER(MATCH(TRIM($B$3:$B$650),TRIM(_xlfn.TEXTSPLIT($N648,",")),0)))),0)/4,0)+P648,IF(IFERROR(MIN(_xlfn._xlws.FILTER(O$3:O$650,ISNUMBER(MATCH(TRIM($B$3:$B$650),TRIM(_xlfn.TEXTSPLIT($N648,",")),0)))),0)&gt;=$E$1,IFERROR(MIN(_xlfn._xlws.FILTER(O$3:O$650,ISNUMBER(MATCH(TRIM($B$3:$B$650),TRIM(_xlfn.TEXTSPLIT($N648,",")),0)))),0)+P648,P648)),IF(TRIM($D648)="EA",IF(TRIM($E648)="M",ROUNDUP(O648*0.85,0),IF(TRIM($E648)="P",O648,P648)),P648))</f>
        <v>40</v>
      </c>
      <c r="T648" t="str" cm="1">
        <f t="array" ref="T648">IFERROR(IF(D648="SET",_xlfn.TEXTJOIN(", ",TRUE,_xlfn._xlws.FILTER(TRANSPOSE(TRIM(_xlfn.TEXTSPLIT(N648,","))),COUNTIFS(B$3:B$650,TRANSPOSE(TRIM(_xlfn.TEXTSPLIT(N648,","))),O$3:O$650,"&lt;="&amp;$T$1))),""),"")</f>
        <v/>
      </c>
    </row>
    <row r="649" spans="1:20" ht="15.6" hidden="1" customHeight="1" x14ac:dyDescent="0.3">
      <c r="A649" s="1" t="s">
        <v>1473</v>
      </c>
      <c r="B649" s="1" t="s">
        <v>1473</v>
      </c>
      <c r="C649" s="1" t="s">
        <v>1259</v>
      </c>
      <c r="D649" s="14" t="s">
        <v>624</v>
      </c>
      <c r="E649" s="2" t="s">
        <v>686</v>
      </c>
      <c r="F649" s="9" t="s">
        <v>1608</v>
      </c>
      <c r="H649" s="16" t="s">
        <v>1524</v>
      </c>
      <c r="I649" s="9" t="b">
        <f t="shared" si="16"/>
        <v>0</v>
      </c>
      <c r="J649" s="1" t="s">
        <v>1529</v>
      </c>
      <c r="K649" s="1" t="s">
        <v>1529</v>
      </c>
      <c r="L649" s="1" t="s">
        <v>1529</v>
      </c>
      <c r="N649" s="35"/>
      <c r="O649" s="2" t="s">
        <v>458</v>
      </c>
      <c r="P649" s="2" cm="1">
        <f t="array" ref="P649">_xlfn.XLOOKUP(TRIM(B649),TRIM('[1]wc-product-export-16-3-2026-177'!$A:$A),'[1]wc-product-export-16-3-2026-177'!$D:$D,0,0)</f>
        <v>0</v>
      </c>
      <c r="Q649" s="2" t="e" cm="1">
        <f t="array" ref="Q649">IF(TRIM($D649)="SET",IF($K649="Steak Set1",ROUNDDOWN(IFERROR(MIN(_xlfn._xlws.FILTER(O$3:O$650,ISNUMBER(MATCH(TRIM($B$3:$B$650),TRIM(_xlfn.TEXTSPLIT($N649,",")),0)))),0)/4,0)+P649,IF(IFERROR(MIN(_xlfn._xlws.FILTER(O$3:O$650,ISNUMBER(MATCH(TRIM($B$3:$B$650),TRIM(_xlfn.TEXTSPLIT($N649,",")),0)))),0)&gt;=$E$1,IFERROR(MIN(_xlfn._xlws.FILTER(O$3:O$650,ISNUMBER(MATCH(TRIM($B$3:$B$650),TRIM(_xlfn.TEXTSPLIT($N649,",")),0)))),0)+P649,P649)),IF(TRIM($D649)="EA",IF(TRIM($E649)="M",ROUNDUP(O649*0.85,0),IF(TRIM($E649)="P",O649,P649)),P649))</f>
        <v>#VALUE!</v>
      </c>
      <c r="T649" t="str" cm="1">
        <f t="array" ref="T649">IFERROR(IF(D649="SET",_xlfn.TEXTJOIN(", ",TRUE,_xlfn._xlws.FILTER(TRANSPOSE(TRIM(_xlfn.TEXTSPLIT(N649,","))),COUNTIFS(B$3:B$650,TRANSPOSE(TRIM(_xlfn.TEXTSPLIT(N649,","))),O$3:O$650,"&lt;="&amp;$T$1))),""),"")</f>
        <v/>
      </c>
    </row>
    <row r="650" spans="1:20" ht="15.6" customHeight="1" x14ac:dyDescent="0.3">
      <c r="A650" s="1">
        <v>82418</v>
      </c>
      <c r="B650" s="50" t="s">
        <v>1162</v>
      </c>
      <c r="C650" s="1" t="s">
        <v>1259</v>
      </c>
      <c r="D650" s="1" t="s">
        <v>624</v>
      </c>
      <c r="E650" s="1" t="s">
        <v>623</v>
      </c>
      <c r="F650" s="9"/>
      <c r="G650" s="9"/>
      <c r="H650" s="16" t="s">
        <v>365</v>
      </c>
      <c r="I650" s="9" t="b">
        <f t="shared" ref="I650" si="17">ISNUMBER(SEARCH($I$2,H650))</f>
        <v>0</v>
      </c>
      <c r="J650" s="1" t="s">
        <v>405</v>
      </c>
      <c r="K650" s="1" t="s">
        <v>437</v>
      </c>
      <c r="L650" s="1" t="s">
        <v>437</v>
      </c>
      <c r="M650" s="9"/>
      <c r="N650" s="35"/>
      <c r="O650" s="2">
        <v>26</v>
      </c>
      <c r="P650" s="2" cm="1">
        <f t="array" ref="P650">_xlfn.XLOOKUP(TRIM(B650),TRIM('[1]wc-product-export-16-3-2026-177'!$A:$A),'[1]wc-product-export-16-3-2026-177'!$D:$D,0,0)</f>
        <v>0</v>
      </c>
      <c r="Q650" s="2" cm="1">
        <f t="array" ref="Q650">IF(TRIM($D650)="SET",IF($K650="Steak Set1",ROUNDDOWN(IFERROR(MIN(_xlfn._xlws.FILTER(O$3:O$650,ISNUMBER(MATCH(TRIM($B$3:$B$650),TRIM(_xlfn.TEXTSPLIT($N650,",")),0)))),0)/4,0)+P650,IF(IFERROR(MIN(_xlfn._xlws.FILTER(O$3:O$650,ISNUMBER(MATCH(TRIM($B$3:$B$650),TRIM(_xlfn.TEXTSPLIT($N650,",")),0)))),0)&gt;=$E$1,IFERROR(MIN(_xlfn._xlws.FILTER(O$3:O$650,ISNUMBER(MATCH(TRIM($B$3:$B$650),TRIM(_xlfn.TEXTSPLIT($N650,",")),0)))),0)+P650,P650)),IF(TRIM($D650)="EA",IF(TRIM($E650)="M",ROUNDUP(O650*0.85,0),IF(TRIM($E650)="P",O650,P650)),P650))</f>
        <v>26</v>
      </c>
      <c r="T650" t="str" cm="1">
        <f t="array" ref="T650">IFERROR(IF(D650="SET",_xlfn.TEXTJOIN(", ",TRUE,_xlfn._xlws.FILTER(TRANSPOSE(TRIM(_xlfn.TEXTSPLIT(N650,","))),COUNTIFS(B$3:B$650,TRANSPOSE(TRIM(_xlfn.TEXTSPLIT(N650,","))),O$3:O$650,"&lt;="&amp;$T$1))),""),"")</f>
        <v/>
      </c>
    </row>
  </sheetData>
  <autoFilter ref="A2:T650" xr:uid="{7526929F-CD89-4B69-BA7F-1152B2D4F9CC}">
    <filterColumn colId="16">
      <filters blank="1">
        <filter val="0"/>
        <filter val="1"/>
        <filter val="10"/>
        <filter val="101"/>
        <filter val="11"/>
        <filter val="110"/>
        <filter val="111"/>
        <filter val="113"/>
        <filter val="116"/>
        <filter val="117"/>
        <filter val="118"/>
        <filter val="12"/>
        <filter val="122"/>
        <filter val="125"/>
        <filter val="126"/>
        <filter val="128"/>
        <filter val="13"/>
        <filter val="130"/>
        <filter val="132"/>
        <filter val="135"/>
        <filter val="14"/>
        <filter val="145"/>
        <filter val="15"/>
        <filter val="152"/>
        <filter val="157"/>
        <filter val="159"/>
        <filter val="16"/>
        <filter val="164"/>
        <filter val="166"/>
        <filter val="168"/>
        <filter val="17"/>
        <filter val="171"/>
        <filter val="174"/>
        <filter val="176"/>
        <filter val="1793"/>
        <filter val="18"/>
        <filter val="180"/>
        <filter val="181"/>
        <filter val="186"/>
        <filter val="19"/>
        <filter val="2"/>
        <filter val="20"/>
        <filter val="21"/>
        <filter val="212"/>
        <filter val="22"/>
        <filter val="23"/>
        <filter val="231"/>
        <filter val="24"/>
        <filter val="242"/>
        <filter val="25"/>
        <filter val="252"/>
        <filter val="26"/>
        <filter val="264"/>
        <filter val="27"/>
        <filter val="28"/>
        <filter val="284"/>
        <filter val="29"/>
        <filter val="3"/>
        <filter val="30"/>
        <filter val="304"/>
        <filter val="308"/>
        <filter val="31"/>
        <filter val="32"/>
        <filter val="33"/>
        <filter val="34"/>
        <filter val="35"/>
        <filter val="354"/>
        <filter val="355"/>
        <filter val="357"/>
        <filter val="36"/>
        <filter val="362"/>
        <filter val="364"/>
        <filter val="37"/>
        <filter val="379"/>
        <filter val="38"/>
        <filter val="39"/>
        <filter val="4"/>
        <filter val="40"/>
        <filter val="41"/>
        <filter val="42"/>
        <filter val="422"/>
        <filter val="43"/>
        <filter val="44"/>
        <filter val="45"/>
        <filter val="459"/>
        <filter val="46"/>
        <filter val="465"/>
        <filter val="5"/>
        <filter val="50"/>
        <filter val="507"/>
        <filter val="51"/>
        <filter val="523"/>
        <filter val="53"/>
        <filter val="54"/>
        <filter val="55"/>
        <filter val="56"/>
        <filter val="564"/>
        <filter val="57"/>
        <filter val="578"/>
        <filter val="58"/>
        <filter val="59"/>
        <filter val="6"/>
        <filter val="600"/>
        <filter val="61"/>
        <filter val="619"/>
        <filter val="62"/>
        <filter val="65"/>
        <filter val="656"/>
        <filter val="66"/>
        <filter val="678"/>
        <filter val="68"/>
        <filter val="7"/>
        <filter val="72"/>
        <filter val="74"/>
        <filter val="759"/>
        <filter val="760"/>
        <filter val="78"/>
        <filter val="79"/>
        <filter val="8"/>
        <filter val="80"/>
        <filter val="82"/>
        <filter val="83"/>
        <filter val="84"/>
        <filter val="856"/>
        <filter val="88"/>
        <filter val="886"/>
        <filter val="89"/>
        <filter val="9"/>
        <filter val="90"/>
        <filter val="91"/>
        <filter val="94"/>
        <filter val="95"/>
        <filter val="96"/>
        <filter val="99"/>
      </filters>
    </filterColumn>
  </autoFilter>
  <phoneticPr fontId="3" type="noConversion"/>
  <conditionalFormatting sqref="A4">
    <cfRule type="duplicateValues" dxfId="36" priority="1"/>
    <cfRule type="duplicateValues" dxfId="35" priority="2"/>
  </conditionalFormatting>
  <conditionalFormatting sqref="A43">
    <cfRule type="duplicateValues" dxfId="34" priority="28"/>
  </conditionalFormatting>
  <conditionalFormatting sqref="A58:A62">
    <cfRule type="duplicateValues" dxfId="33" priority="27"/>
  </conditionalFormatting>
  <conditionalFormatting sqref="A83">
    <cfRule type="duplicateValues" dxfId="32" priority="16"/>
  </conditionalFormatting>
  <conditionalFormatting sqref="A107">
    <cfRule type="duplicateValues" dxfId="31" priority="26"/>
  </conditionalFormatting>
  <conditionalFormatting sqref="A113">
    <cfRule type="duplicateValues" dxfId="30" priority="25"/>
  </conditionalFormatting>
  <conditionalFormatting sqref="A123:A128">
    <cfRule type="duplicateValues" dxfId="29" priority="24"/>
  </conditionalFormatting>
  <conditionalFormatting sqref="A182">
    <cfRule type="duplicateValues" dxfId="28" priority="23"/>
  </conditionalFormatting>
  <conditionalFormatting sqref="A197:A205">
    <cfRule type="duplicateValues" dxfId="27" priority="22"/>
  </conditionalFormatting>
  <conditionalFormatting sqref="A211">
    <cfRule type="duplicateValues" dxfId="26" priority="3"/>
    <cfRule type="duplicateValues" dxfId="25" priority="4"/>
  </conditionalFormatting>
  <conditionalFormatting sqref="A281">
    <cfRule type="duplicateValues" dxfId="24" priority="21"/>
  </conditionalFormatting>
  <conditionalFormatting sqref="A296">
    <cfRule type="duplicateValues" dxfId="23" priority="5"/>
    <cfRule type="duplicateValues" dxfId="22" priority="6"/>
  </conditionalFormatting>
  <conditionalFormatting sqref="A334">
    <cfRule type="duplicateValues" dxfId="21" priority="20"/>
  </conditionalFormatting>
  <conditionalFormatting sqref="A389">
    <cfRule type="duplicateValues" dxfId="20" priority="7"/>
    <cfRule type="duplicateValues" dxfId="19" priority="8"/>
  </conditionalFormatting>
  <conditionalFormatting sqref="A412:A413">
    <cfRule type="duplicateValues" dxfId="18" priority="19"/>
  </conditionalFormatting>
  <conditionalFormatting sqref="A443">
    <cfRule type="duplicateValues" dxfId="17" priority="9"/>
    <cfRule type="duplicateValues" dxfId="16" priority="10"/>
  </conditionalFormatting>
  <conditionalFormatting sqref="A477">
    <cfRule type="duplicateValues" dxfId="15" priority="11"/>
    <cfRule type="duplicateValues" dxfId="14" priority="12"/>
  </conditionalFormatting>
  <conditionalFormatting sqref="A484:A485">
    <cfRule type="duplicateValues" dxfId="13" priority="13"/>
    <cfRule type="duplicateValues" dxfId="12" priority="14"/>
  </conditionalFormatting>
  <conditionalFormatting sqref="A573:A598">
    <cfRule type="duplicateValues" dxfId="11" priority="18"/>
  </conditionalFormatting>
  <conditionalFormatting sqref="A606:A631">
    <cfRule type="duplicateValues" dxfId="10" priority="17"/>
  </conditionalFormatting>
  <conditionalFormatting sqref="B1:B1048576">
    <cfRule type="duplicateValues" dxfId="9" priority="15"/>
  </conditionalFormatting>
  <conditionalFormatting sqref="B3:B636">
    <cfRule type="duplicateValues" dxfId="8" priority="75"/>
  </conditionalFormatting>
  <printOptions horizontalCentered="1"/>
  <pageMargins left="0.7" right="0.7" top="0.75" bottom="0.75" header="0.3" footer="0.3"/>
  <pageSetup scale="55" fitToHeight="0" orientation="portrait" r:id="rId1"/>
  <headerFooter>
    <oddHeader xml:space="preserve">&amp;C&amp;"-,Bold"DAILY INVENTORY
&amp;D
</oddHead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B43A5-FDB7-4FB1-8A7F-E8B8E4984270}">
  <dimension ref="A1:J44"/>
  <sheetViews>
    <sheetView topLeftCell="A19" workbookViewId="0">
      <selection sqref="A1:E44"/>
    </sheetView>
  </sheetViews>
  <sheetFormatPr defaultColWidth="9.109375" defaultRowHeight="13.2" x14ac:dyDescent="0.3"/>
  <cols>
    <col min="1" max="1" width="9.109375" style="34"/>
    <col min="2" max="2" width="34.33203125" style="34" customWidth="1"/>
    <col min="3" max="3" width="17.109375" style="43" bestFit="1" customWidth="1"/>
    <col min="4" max="4" width="12.88671875" style="43" bestFit="1" customWidth="1"/>
    <col min="5" max="16384" width="9.109375" style="34"/>
  </cols>
  <sheetData>
    <row r="1" spans="1:10" x14ac:dyDescent="0.3">
      <c r="A1" s="48" t="s">
        <v>1685</v>
      </c>
    </row>
    <row r="2" spans="1:10" x14ac:dyDescent="0.3">
      <c r="D2" s="44"/>
    </row>
    <row r="3" spans="1:10" x14ac:dyDescent="0.3">
      <c r="A3" s="42" t="s">
        <v>241</v>
      </c>
      <c r="B3" s="42" t="s">
        <v>0</v>
      </c>
      <c r="C3" s="42" t="s">
        <v>1686</v>
      </c>
      <c r="D3" s="47" t="s">
        <v>1684</v>
      </c>
      <c r="E3" s="47" t="s">
        <v>1687</v>
      </c>
    </row>
    <row r="4" spans="1:10" x14ac:dyDescent="0.3">
      <c r="A4" s="41" t="s">
        <v>668</v>
      </c>
      <c r="B4" s="41" t="s">
        <v>221</v>
      </c>
      <c r="C4" s="45">
        <v>840</v>
      </c>
      <c r="D4" s="46">
        <v>100</v>
      </c>
      <c r="E4" s="46">
        <v>940</v>
      </c>
      <c r="I4" s="34">
        <v>10110</v>
      </c>
      <c r="J4" s="34">
        <v>2573</v>
      </c>
    </row>
    <row r="5" spans="1:10" x14ac:dyDescent="0.3">
      <c r="A5" s="41" t="s">
        <v>669</v>
      </c>
      <c r="B5" s="41" t="s">
        <v>355</v>
      </c>
      <c r="C5" s="45">
        <v>3120</v>
      </c>
      <c r="D5" s="46">
        <v>80</v>
      </c>
      <c r="E5" s="46">
        <v>3200</v>
      </c>
      <c r="I5" s="34">
        <v>10111</v>
      </c>
      <c r="J5" s="34">
        <v>106</v>
      </c>
    </row>
    <row r="6" spans="1:10" x14ac:dyDescent="0.3">
      <c r="A6" s="41" t="s">
        <v>670</v>
      </c>
      <c r="B6" s="41" t="s">
        <v>217</v>
      </c>
      <c r="C6" s="45">
        <v>960</v>
      </c>
      <c r="D6" s="46">
        <v>45</v>
      </c>
      <c r="E6" s="46">
        <v>1005</v>
      </c>
      <c r="I6" s="34">
        <v>10112</v>
      </c>
      <c r="J6" s="34">
        <v>4287</v>
      </c>
    </row>
    <row r="7" spans="1:10" x14ac:dyDescent="0.3">
      <c r="A7" s="41" t="s">
        <v>672</v>
      </c>
      <c r="B7" s="41" t="s">
        <v>406</v>
      </c>
      <c r="C7" s="45">
        <v>820</v>
      </c>
      <c r="D7" s="46">
        <v>130</v>
      </c>
      <c r="E7" s="46">
        <v>950</v>
      </c>
      <c r="I7" s="34">
        <v>10113</v>
      </c>
      <c r="J7" s="34">
        <v>5144</v>
      </c>
    </row>
    <row r="8" spans="1:10" x14ac:dyDescent="0.3">
      <c r="A8" s="41" t="s">
        <v>1239</v>
      </c>
      <c r="B8" s="41" t="s">
        <v>1240</v>
      </c>
      <c r="C8" s="45">
        <v>1540</v>
      </c>
      <c r="D8" s="46">
        <v>40</v>
      </c>
      <c r="E8" s="46">
        <v>1580</v>
      </c>
    </row>
    <row r="9" spans="1:10" x14ac:dyDescent="0.3">
      <c r="A9" s="41" t="s">
        <v>673</v>
      </c>
      <c r="B9" s="41" t="s">
        <v>226</v>
      </c>
      <c r="C9" s="45">
        <v>2000</v>
      </c>
      <c r="D9" s="46">
        <v>70</v>
      </c>
      <c r="E9" s="46">
        <v>2070</v>
      </c>
    </row>
    <row r="10" spans="1:10" x14ac:dyDescent="0.3">
      <c r="A10" s="41" t="s">
        <v>646</v>
      </c>
      <c r="B10" s="41" t="s">
        <v>205</v>
      </c>
      <c r="C10" s="45">
        <v>1800</v>
      </c>
      <c r="D10" s="46">
        <v>30</v>
      </c>
      <c r="E10" s="46">
        <v>1830</v>
      </c>
    </row>
    <row r="11" spans="1:10" x14ac:dyDescent="0.3">
      <c r="A11" s="41" t="s">
        <v>647</v>
      </c>
      <c r="B11" s="41" t="s">
        <v>206</v>
      </c>
      <c r="C11" s="45">
        <v>60</v>
      </c>
      <c r="D11" s="46">
        <v>50</v>
      </c>
      <c r="E11" s="46">
        <v>110</v>
      </c>
    </row>
    <row r="12" spans="1:10" x14ac:dyDescent="0.3">
      <c r="A12" s="41" t="s">
        <v>648</v>
      </c>
      <c r="B12" s="41" t="s">
        <v>208</v>
      </c>
      <c r="C12" s="45">
        <v>1620</v>
      </c>
      <c r="D12" s="46">
        <v>12</v>
      </c>
      <c r="E12" s="46">
        <v>1632</v>
      </c>
    </row>
    <row r="13" spans="1:10" x14ac:dyDescent="0.3">
      <c r="A13" s="41" t="s">
        <v>649</v>
      </c>
      <c r="B13" s="41" t="s">
        <v>207</v>
      </c>
      <c r="C13" s="45">
        <v>1000</v>
      </c>
      <c r="D13" s="46">
        <v>10</v>
      </c>
      <c r="E13" s="46">
        <v>1010</v>
      </c>
    </row>
    <row r="14" spans="1:10" x14ac:dyDescent="0.3">
      <c r="A14" s="41" t="s">
        <v>674</v>
      </c>
      <c r="B14" s="41" t="s">
        <v>223</v>
      </c>
      <c r="C14" s="45">
        <v>360</v>
      </c>
      <c r="D14" s="46">
        <v>70</v>
      </c>
      <c r="E14" s="46">
        <v>430</v>
      </c>
    </row>
    <row r="15" spans="1:10" x14ac:dyDescent="0.3">
      <c r="A15" s="41" t="s">
        <v>663</v>
      </c>
      <c r="B15" s="41" t="s">
        <v>421</v>
      </c>
      <c r="C15" s="45">
        <v>1080</v>
      </c>
      <c r="D15" s="46">
        <v>60</v>
      </c>
      <c r="E15" s="46">
        <v>1140</v>
      </c>
    </row>
    <row r="16" spans="1:10" x14ac:dyDescent="0.3">
      <c r="A16" s="41" t="s">
        <v>664</v>
      </c>
      <c r="B16" s="41" t="s">
        <v>422</v>
      </c>
      <c r="C16" s="45">
        <v>960</v>
      </c>
      <c r="D16" s="46">
        <v>150</v>
      </c>
      <c r="E16" s="46">
        <v>1110</v>
      </c>
    </row>
    <row r="17" spans="1:5" x14ac:dyDescent="0.3">
      <c r="A17" s="41" t="s">
        <v>665</v>
      </c>
      <c r="B17" s="41" t="s">
        <v>216</v>
      </c>
      <c r="C17" s="45">
        <v>1440</v>
      </c>
      <c r="D17" s="46">
        <v>66</v>
      </c>
      <c r="E17" s="46">
        <v>1506</v>
      </c>
    </row>
    <row r="18" spans="1:5" x14ac:dyDescent="0.3">
      <c r="A18" s="41" t="s">
        <v>666</v>
      </c>
      <c r="B18" s="41" t="s">
        <v>214</v>
      </c>
      <c r="C18" s="45">
        <v>1560</v>
      </c>
      <c r="D18" s="46">
        <v>120</v>
      </c>
      <c r="E18" s="46">
        <v>1680</v>
      </c>
    </row>
    <row r="19" spans="1:5" x14ac:dyDescent="0.3">
      <c r="A19" s="41" t="s">
        <v>675</v>
      </c>
      <c r="B19" s="41" t="s">
        <v>220</v>
      </c>
      <c r="C19" s="45">
        <v>240</v>
      </c>
      <c r="D19" s="46">
        <v>60</v>
      </c>
      <c r="E19" s="46">
        <v>300</v>
      </c>
    </row>
    <row r="20" spans="1:5" x14ac:dyDescent="0.3">
      <c r="A20" s="41" t="s">
        <v>676</v>
      </c>
      <c r="B20" s="41" t="s">
        <v>224</v>
      </c>
      <c r="C20" s="45">
        <v>240</v>
      </c>
      <c r="D20" s="46">
        <v>60</v>
      </c>
      <c r="E20" s="46">
        <v>300</v>
      </c>
    </row>
    <row r="21" spans="1:5" x14ac:dyDescent="0.3">
      <c r="A21" s="41" t="s">
        <v>677</v>
      </c>
      <c r="B21" s="41" t="s">
        <v>218</v>
      </c>
      <c r="C21" s="45">
        <v>720</v>
      </c>
      <c r="D21" s="46">
        <v>40</v>
      </c>
      <c r="E21" s="46">
        <v>760</v>
      </c>
    </row>
    <row r="22" spans="1:5" x14ac:dyDescent="0.3">
      <c r="A22" s="41" t="s">
        <v>678</v>
      </c>
      <c r="B22" s="41" t="s">
        <v>222</v>
      </c>
      <c r="C22" s="45">
        <v>360</v>
      </c>
      <c r="D22" s="46">
        <v>80</v>
      </c>
      <c r="E22" s="46">
        <v>440</v>
      </c>
    </row>
    <row r="23" spans="1:5" x14ac:dyDescent="0.3">
      <c r="A23" s="41" t="s">
        <v>679</v>
      </c>
      <c r="B23" s="41" t="s">
        <v>225</v>
      </c>
      <c r="C23" s="45">
        <v>1080</v>
      </c>
      <c r="D23" s="46">
        <v>70</v>
      </c>
      <c r="E23" s="46">
        <v>1150</v>
      </c>
    </row>
    <row r="24" spans="1:5" x14ac:dyDescent="0.3">
      <c r="A24" s="41" t="s">
        <v>655</v>
      </c>
      <c r="B24" s="41" t="s">
        <v>423</v>
      </c>
      <c r="C24" s="45">
        <v>240</v>
      </c>
      <c r="D24" s="46">
        <v>80</v>
      </c>
      <c r="E24" s="46">
        <v>320</v>
      </c>
    </row>
    <row r="25" spans="1:5" x14ac:dyDescent="0.3">
      <c r="A25" s="41" t="s">
        <v>656</v>
      </c>
      <c r="B25" s="41" t="s">
        <v>424</v>
      </c>
      <c r="C25" s="45">
        <v>100</v>
      </c>
      <c r="D25" s="46">
        <v>50</v>
      </c>
      <c r="E25" s="46">
        <v>150</v>
      </c>
    </row>
    <row r="26" spans="1:5" x14ac:dyDescent="0.3">
      <c r="A26" s="41" t="s">
        <v>657</v>
      </c>
      <c r="B26" s="41" t="s">
        <v>425</v>
      </c>
      <c r="C26" s="45">
        <v>4000</v>
      </c>
      <c r="D26" s="46">
        <v>70</v>
      </c>
      <c r="E26" s="46">
        <v>4000</v>
      </c>
    </row>
    <row r="27" spans="1:5" x14ac:dyDescent="0.3">
      <c r="A27" s="41" t="s">
        <v>658</v>
      </c>
      <c r="B27" s="41" t="s">
        <v>430</v>
      </c>
      <c r="C27" s="45">
        <v>480</v>
      </c>
      <c r="D27" s="46">
        <v>80</v>
      </c>
      <c r="E27" s="46">
        <v>560</v>
      </c>
    </row>
    <row r="28" spans="1:5" x14ac:dyDescent="0.3">
      <c r="A28" s="41" t="s">
        <v>659</v>
      </c>
      <c r="B28" s="41" t="s">
        <v>426</v>
      </c>
      <c r="C28" s="45">
        <v>960</v>
      </c>
      <c r="D28" s="46">
        <v>60</v>
      </c>
      <c r="E28" s="46">
        <v>1020</v>
      </c>
    </row>
    <row r="29" spans="1:5" x14ac:dyDescent="0.3">
      <c r="A29" s="41" t="s">
        <v>659</v>
      </c>
      <c r="B29" s="41" t="s">
        <v>426</v>
      </c>
      <c r="C29" s="45">
        <v>120</v>
      </c>
      <c r="D29" s="46">
        <v>60</v>
      </c>
      <c r="E29" s="46">
        <v>180</v>
      </c>
    </row>
    <row r="30" spans="1:5" x14ac:dyDescent="0.3">
      <c r="A30" s="41" t="s">
        <v>660</v>
      </c>
      <c r="B30" s="41" t="s">
        <v>427</v>
      </c>
      <c r="C30" s="45">
        <v>240</v>
      </c>
      <c r="D30" s="46">
        <v>9</v>
      </c>
      <c r="E30" s="46">
        <v>249</v>
      </c>
    </row>
    <row r="31" spans="1:5" x14ac:dyDescent="0.3">
      <c r="A31" s="41" t="s">
        <v>1243</v>
      </c>
      <c r="B31" s="41" t="s">
        <v>1244</v>
      </c>
      <c r="C31" s="45">
        <v>120</v>
      </c>
      <c r="D31" s="46">
        <v>42</v>
      </c>
      <c r="E31" s="46">
        <v>162</v>
      </c>
    </row>
    <row r="32" spans="1:5" x14ac:dyDescent="0.3">
      <c r="A32" s="41" t="s">
        <v>662</v>
      </c>
      <c r="B32" s="41" t="s">
        <v>429</v>
      </c>
      <c r="C32" s="45">
        <v>3120</v>
      </c>
      <c r="D32" s="46">
        <v>9</v>
      </c>
      <c r="E32" s="46">
        <v>3129</v>
      </c>
    </row>
    <row r="33" spans="1:5" x14ac:dyDescent="0.3">
      <c r="A33" s="41" t="s">
        <v>650</v>
      </c>
      <c r="B33" s="41" t="s">
        <v>211</v>
      </c>
      <c r="C33" s="45">
        <v>120</v>
      </c>
      <c r="D33" s="46">
        <v>40</v>
      </c>
      <c r="E33" s="46">
        <v>160</v>
      </c>
    </row>
    <row r="34" spans="1:5" x14ac:dyDescent="0.3">
      <c r="A34" s="41" t="s">
        <v>652</v>
      </c>
      <c r="B34" s="41" t="s">
        <v>212</v>
      </c>
      <c r="C34" s="45">
        <v>240</v>
      </c>
      <c r="D34" s="46">
        <v>91</v>
      </c>
      <c r="E34" s="46">
        <v>331</v>
      </c>
    </row>
    <row r="35" spans="1:5" x14ac:dyDescent="0.3">
      <c r="A35" s="41" t="s">
        <v>653</v>
      </c>
      <c r="B35" s="41" t="s">
        <v>209</v>
      </c>
      <c r="C35" s="45">
        <v>1080</v>
      </c>
      <c r="D35" s="46">
        <v>120</v>
      </c>
      <c r="E35" s="46">
        <v>1200</v>
      </c>
    </row>
    <row r="36" spans="1:5" x14ac:dyDescent="0.3">
      <c r="A36" s="41" t="s">
        <v>654</v>
      </c>
      <c r="B36" s="41" t="s">
        <v>210</v>
      </c>
      <c r="C36" s="45">
        <v>1320</v>
      </c>
      <c r="D36" s="46">
        <v>100</v>
      </c>
      <c r="E36" s="46">
        <v>1420</v>
      </c>
    </row>
    <row r="37" spans="1:5" x14ac:dyDescent="0.3">
      <c r="A37" s="41" t="s">
        <v>671</v>
      </c>
      <c r="B37" s="41" t="s">
        <v>219</v>
      </c>
      <c r="C37" s="45">
        <v>120</v>
      </c>
      <c r="D37" s="46">
        <v>80</v>
      </c>
      <c r="E37" s="46">
        <v>200</v>
      </c>
    </row>
    <row r="38" spans="1:5" x14ac:dyDescent="0.3">
      <c r="A38" s="41" t="s">
        <v>667</v>
      </c>
      <c r="B38" s="41" t="s">
        <v>215</v>
      </c>
      <c r="C38" s="45">
        <v>120</v>
      </c>
      <c r="D38" s="46">
        <v>70</v>
      </c>
      <c r="E38" s="46">
        <v>190</v>
      </c>
    </row>
    <row r="39" spans="1:5" x14ac:dyDescent="0.3">
      <c r="A39" s="41" t="s">
        <v>651</v>
      </c>
      <c r="B39" s="41" t="s">
        <v>213</v>
      </c>
      <c r="C39" s="46">
        <v>360</v>
      </c>
      <c r="D39" s="46">
        <v>95</v>
      </c>
      <c r="E39" s="46">
        <v>455</v>
      </c>
    </row>
    <row r="41" spans="1:5" x14ac:dyDescent="0.3">
      <c r="A41" s="34">
        <v>10110</v>
      </c>
      <c r="B41" s="34">
        <v>2573</v>
      </c>
    </row>
    <row r="42" spans="1:5" x14ac:dyDescent="0.3">
      <c r="A42" s="34">
        <v>10111</v>
      </c>
      <c r="B42" s="34">
        <v>106</v>
      </c>
    </row>
    <row r="43" spans="1:5" x14ac:dyDescent="0.3">
      <c r="A43" s="34">
        <v>10112</v>
      </c>
      <c r="B43" s="34">
        <v>4287</v>
      </c>
    </row>
    <row r="44" spans="1:5" x14ac:dyDescent="0.3">
      <c r="A44" s="34">
        <v>10113</v>
      </c>
      <c r="B44" s="34">
        <v>5144</v>
      </c>
    </row>
  </sheetData>
  <autoFilter ref="A3:E39" xr:uid="{3F8B43A5-FDB7-4FB1-8A7F-E8B8E4984270}"/>
  <pageMargins left="0.7" right="0.7" top="0.75" bottom="0.75" header="0.3" footer="0.3"/>
  <pageSetup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C2036-D572-44EA-BBF1-2E423D18329E}">
  <sheetPr>
    <tabColor rgb="FF7030A0"/>
  </sheetPr>
  <dimension ref="A1:H40"/>
  <sheetViews>
    <sheetView workbookViewId="0">
      <selection activeCell="D2" sqref="D2"/>
    </sheetView>
  </sheetViews>
  <sheetFormatPr defaultRowHeight="14.4" x14ac:dyDescent="0.3"/>
  <cols>
    <col min="1" max="1" width="21.44140625" style="23" bestFit="1" customWidth="1"/>
    <col min="2" max="2" width="14.109375" style="2" customWidth="1"/>
    <col min="3" max="3" width="12" style="2" bestFit="1" customWidth="1"/>
    <col min="4" max="4" width="10.6640625" bestFit="1" customWidth="1"/>
    <col min="5" max="8" width="9.6640625" hidden="1" customWidth="1"/>
  </cols>
  <sheetData>
    <row r="1" spans="1:8" ht="16.5" customHeight="1" x14ac:dyDescent="0.3">
      <c r="A1" s="57" t="s">
        <v>1406</v>
      </c>
      <c r="B1" s="57"/>
    </row>
    <row r="2" spans="1:8" x14ac:dyDescent="0.3">
      <c r="A2" s="24" t="s">
        <v>393</v>
      </c>
      <c r="B2" s="24" t="s">
        <v>1403</v>
      </c>
      <c r="C2" s="24" t="s">
        <v>1404</v>
      </c>
      <c r="D2" s="25">
        <v>46090</v>
      </c>
      <c r="E2" s="25">
        <v>46091</v>
      </c>
      <c r="F2" s="25">
        <v>46092</v>
      </c>
      <c r="G2" s="25">
        <v>46093</v>
      </c>
      <c r="H2" s="25">
        <v>46094</v>
      </c>
    </row>
    <row r="3" spans="1:8" x14ac:dyDescent="0.3">
      <c r="A3" s="22" t="s">
        <v>402</v>
      </c>
      <c r="B3" s="24" t="s">
        <v>624</v>
      </c>
      <c r="C3" s="24">
        <f>COUNTIFS(INVENTORY!D:D,B3,INVENTORY!J:J,'IN STOCK%'!A3)</f>
        <v>24</v>
      </c>
      <c r="D3" s="28">
        <f>IFERROR(IF(COUNTIFS(INVENTORY!$J:$J,$A3,INVENTORY!$D:$D,$B3, INVENTORY!Q:Q,"&gt;0")/$C3=1,"",COUNTIFS(INVENTORY!$J:$J,$A3,INVENTORY!$D:$D,$B3,INVENTORY!Q:Q,"&gt;0")/$C3),"N/A")</f>
        <v>0.83333333333333337</v>
      </c>
      <c r="E3" s="28" t="str">
        <f>IFERROR(IF(COUNTIFS(INVENTORY!$J:$J,$A3,INVENTORY!$D:$D,$B3, INVENTORY!#REF!,"&gt;0")/$C3=1,"",COUNTIFS(INVENTORY!$J:$J,$A3,INVENTORY!$D:$D,$B3,INVENTORY!#REF!,"&gt;0")/$C3),"N/A")</f>
        <v>N/A</v>
      </c>
      <c r="F3" s="28" t="str">
        <f>IFERROR(IF(COUNTIFS(INVENTORY!$J:$J,$A3,INVENTORY!$D:$D,$B3, INVENTORY!#REF!,"&gt;0")/$C3=1,"",COUNTIFS(INVENTORY!$J:$J,$A3,INVENTORY!$D:$D,$B3,INVENTORY!#REF!,"&gt;0")/$C3),"N/A")</f>
        <v>N/A</v>
      </c>
      <c r="G3" s="28" t="str">
        <f>IFERROR(IF(COUNTIFS(INVENTORY!$J:$J,$A3,INVENTORY!$D:$D,$B3, INVENTORY!#REF!,"&gt;0")/$C3=1,"",COUNTIFS(INVENTORY!$J:$J,$A3,INVENTORY!$D:$D,$B3,INVENTORY!#REF!,"&gt;0")/$C3),"N/A")</f>
        <v>N/A</v>
      </c>
      <c r="H3" s="28" t="str">
        <f>IFERROR(IF(COUNTIFS(INVENTORY!$J:$J,$A3,INVENTORY!$D:$D,$B3, INVENTORY!#REF!,"&gt;0")/$C3=1,"",COUNTIFS(INVENTORY!$J:$J,$A3,INVENTORY!$D:$D,$B3,INVENTORY!#REF!,"&gt;0")/$C3),"N/A")</f>
        <v>N/A</v>
      </c>
    </row>
    <row r="4" spans="1:8" x14ac:dyDescent="0.3">
      <c r="A4" s="22" t="s">
        <v>403</v>
      </c>
      <c r="B4" s="24" t="s">
        <v>624</v>
      </c>
      <c r="C4" s="24">
        <f>COUNTIFS(INVENTORY!D:D,B4,INVENTORY!J:J,'IN STOCK%'!A4)</f>
        <v>24</v>
      </c>
      <c r="D4" s="28">
        <f>IFERROR(IF(COUNTIFS(INVENTORY!$J:$J,$A4,INVENTORY!$D:$D,$B4, INVENTORY!Q:Q,"&gt;0")/$C4=1,"",COUNTIFS(INVENTORY!$J:$J,$A4,INVENTORY!$D:$D,$B4,INVENTORY!Q:Q,"&gt;0")/$C4),"N/A")</f>
        <v>0.58333333333333337</v>
      </c>
      <c r="E4" s="28" t="str">
        <f>IFERROR(IF(COUNTIFS(INVENTORY!$J:$J,$A4,INVENTORY!$D:$D,$B4, INVENTORY!#REF!,"&gt;0")/$C4=1,"",COUNTIFS(INVENTORY!$J:$J,$A4,INVENTORY!$D:$D,$B4,INVENTORY!#REF!,"&gt;0")/$C4),"N/A")</f>
        <v>N/A</v>
      </c>
      <c r="F4" s="28" t="str">
        <f>IFERROR(IF(COUNTIFS(INVENTORY!$J:$J,$A4,INVENTORY!$D:$D,$B4, INVENTORY!#REF!,"&gt;0")/$C4=1,"",COUNTIFS(INVENTORY!$J:$J,$A4,INVENTORY!$D:$D,$B4,INVENTORY!#REF!,"&gt;0")/$C4),"N/A")</f>
        <v>N/A</v>
      </c>
      <c r="G4" s="28" t="str">
        <f>IFERROR(IF(COUNTIFS(INVENTORY!$J:$J,$A4,INVENTORY!$D:$D,$B4, INVENTORY!#REF!,"&gt;0")/$C4=1,"",COUNTIFS(INVENTORY!$J:$J,$A4,INVENTORY!$D:$D,$B4,INVENTORY!#REF!,"&gt;0")/$C4),"N/A")</f>
        <v>N/A</v>
      </c>
      <c r="H4" s="28" t="str">
        <f>IFERROR(IF(COUNTIFS(INVENTORY!$J:$J,$A4,INVENTORY!$D:$D,$B4, INVENTORY!#REF!,"&gt;0")/$C4=1,"",COUNTIFS(INVENTORY!$J:$J,$A4,INVENTORY!$D:$D,$B4,INVENTORY!#REF!,"&gt;0")/$C4),"N/A")</f>
        <v>N/A</v>
      </c>
    </row>
    <row r="5" spans="1:8" x14ac:dyDescent="0.3">
      <c r="A5" s="22" t="s">
        <v>404</v>
      </c>
      <c r="B5" s="24" t="s">
        <v>624</v>
      </c>
      <c r="C5" s="24">
        <f>COUNTIFS(INVENTORY!D:D,B5,INVENTORY!J:J,'IN STOCK%'!A5)</f>
        <v>24</v>
      </c>
      <c r="D5" s="28">
        <f>IFERROR(IF(COUNTIFS(INVENTORY!$J:$J,$A5,INVENTORY!$D:$D,$B5, INVENTORY!Q:Q,"&gt;0")/$C5=1,"",COUNTIFS(INVENTORY!$J:$J,$A5,INVENTORY!$D:$D,$B5,INVENTORY!Q:Q,"&gt;0")/$C5),"N/A")</f>
        <v>0.75</v>
      </c>
      <c r="E5" s="28" t="str">
        <f>IFERROR(IF(COUNTIFS(INVENTORY!$J:$J,$A5,INVENTORY!$D:$D,$B5, INVENTORY!#REF!,"&gt;0")/$C5=1,"",COUNTIFS(INVENTORY!$J:$J,$A5,INVENTORY!$D:$D,$B5,INVENTORY!#REF!,"&gt;0")/$C5),"N/A")</f>
        <v>N/A</v>
      </c>
      <c r="F5" s="28" t="str">
        <f>IFERROR(IF(COUNTIFS(INVENTORY!$J:$J,$A5,INVENTORY!$D:$D,$B5, INVENTORY!#REF!,"&gt;0")/$C5=1,"",COUNTIFS(INVENTORY!$J:$J,$A5,INVENTORY!$D:$D,$B5,INVENTORY!#REF!,"&gt;0")/$C5),"N/A")</f>
        <v>N/A</v>
      </c>
      <c r="G5" s="28" t="str">
        <f>IFERROR(IF(COUNTIFS(INVENTORY!$J:$J,$A5,INVENTORY!$D:$D,$B5, INVENTORY!#REF!,"&gt;0")/$C5=1,"",COUNTIFS(INVENTORY!$J:$J,$A5,INVENTORY!$D:$D,$B5,INVENTORY!#REF!,"&gt;0")/$C5),"N/A")</f>
        <v>N/A</v>
      </c>
      <c r="H5" s="28" t="str">
        <f>IFERROR(IF(COUNTIFS(INVENTORY!$J:$J,$A5,INVENTORY!$D:$D,$B5, INVENTORY!#REF!,"&gt;0")/$C5=1,"",COUNTIFS(INVENTORY!$J:$J,$A5,INVENTORY!$D:$D,$B5,INVENTORY!#REF!,"&gt;0")/$C5),"N/A")</f>
        <v>N/A</v>
      </c>
    </row>
    <row r="6" spans="1:8" x14ac:dyDescent="0.3">
      <c r="A6" s="22" t="s">
        <v>398</v>
      </c>
      <c r="B6" s="24" t="s">
        <v>624</v>
      </c>
      <c r="C6" s="24">
        <f>COUNTIFS(INVENTORY!D:D,B6,INVENTORY!J:J,'IN STOCK%'!A6)</f>
        <v>24</v>
      </c>
      <c r="D6" s="28">
        <f>IFERROR(IF(COUNTIFS(INVENTORY!$J:$J,$A6,INVENTORY!$D:$D,$B6, INVENTORY!Q:Q,"&gt;0")/$C6=1,"",COUNTIFS(INVENTORY!$J:$J,$A6,INVENTORY!$D:$D,$B6,INVENTORY!Q:Q,"&gt;0")/$C6),"N/A")</f>
        <v>0.91666666666666663</v>
      </c>
      <c r="E6" s="28" t="str">
        <f>IFERROR(IF(COUNTIFS(INVENTORY!$J:$J,$A6,INVENTORY!$D:$D,$B6, INVENTORY!#REF!,"&gt;0")/$C6=1,"",COUNTIFS(INVENTORY!$J:$J,$A6,INVENTORY!$D:$D,$B6,INVENTORY!#REF!,"&gt;0")/$C6),"N/A")</f>
        <v>N/A</v>
      </c>
      <c r="F6" s="28" t="str">
        <f>IFERROR(IF(COUNTIFS(INVENTORY!$J:$J,$A6,INVENTORY!$D:$D,$B6, INVENTORY!#REF!,"&gt;0")/$C6=1,"",COUNTIFS(INVENTORY!$J:$J,$A6,INVENTORY!$D:$D,$B6,INVENTORY!#REF!,"&gt;0")/$C6),"N/A")</f>
        <v>N/A</v>
      </c>
      <c r="G6" s="28" t="str">
        <f>IFERROR(IF(COUNTIFS(INVENTORY!$J:$J,$A6,INVENTORY!$D:$D,$B6, INVENTORY!#REF!,"&gt;0")/$C6=1,"",COUNTIFS(INVENTORY!$J:$J,$A6,INVENTORY!$D:$D,$B6,INVENTORY!#REF!,"&gt;0")/$C6),"N/A")</f>
        <v>N/A</v>
      </c>
      <c r="H6" s="28" t="str">
        <f>IFERROR(IF(COUNTIFS(INVENTORY!$J:$J,$A6,INVENTORY!$D:$D,$B6, INVENTORY!#REF!,"&gt;0")/$C6=1,"",COUNTIFS(INVENTORY!$J:$J,$A6,INVENTORY!$D:$D,$B6,INVENTORY!#REF!,"&gt;0")/$C6),"N/A")</f>
        <v>N/A</v>
      </c>
    </row>
    <row r="7" spans="1:8" x14ac:dyDescent="0.3">
      <c r="A7" s="22" t="s">
        <v>399</v>
      </c>
      <c r="B7" s="24" t="s">
        <v>624</v>
      </c>
      <c r="C7" s="24">
        <f>COUNTIFS(INVENTORY!D:D,B7,INVENTORY!J:J,'IN STOCK%'!A7)</f>
        <v>24</v>
      </c>
      <c r="D7" s="28">
        <f>IFERROR(IF(COUNTIFS(INVENTORY!$J:$J,$A7,INVENTORY!$D:$D,$B7, INVENTORY!Q:Q,"&gt;0")/$C7=1,"",COUNTIFS(INVENTORY!$J:$J,$A7,INVENTORY!$D:$D,$B7,INVENTORY!Q:Q,"&gt;0")/$C7),"N/A")</f>
        <v>0.79166666666666663</v>
      </c>
      <c r="E7" s="28" t="str">
        <f>IFERROR(IF(COUNTIFS(INVENTORY!$J:$J,$A7,INVENTORY!$D:$D,$B7, INVENTORY!#REF!,"&gt;0")/$C7=1,"",COUNTIFS(INVENTORY!$J:$J,$A7,INVENTORY!$D:$D,$B7,INVENTORY!#REF!,"&gt;0")/$C7),"N/A")</f>
        <v>N/A</v>
      </c>
      <c r="F7" s="28" t="str">
        <f>IFERROR(IF(COUNTIFS(INVENTORY!$J:$J,$A7,INVENTORY!$D:$D,$B7, INVENTORY!#REF!,"&gt;0")/$C7=1,"",COUNTIFS(INVENTORY!$J:$J,$A7,INVENTORY!$D:$D,$B7,INVENTORY!#REF!,"&gt;0")/$C7),"N/A")</f>
        <v>N/A</v>
      </c>
      <c r="G7" s="28" t="str">
        <f>IFERROR(IF(COUNTIFS(INVENTORY!$J:$J,$A7,INVENTORY!$D:$D,$B7, INVENTORY!#REF!,"&gt;0")/$C7=1,"",COUNTIFS(INVENTORY!$J:$J,$A7,INVENTORY!$D:$D,$B7,INVENTORY!#REF!,"&gt;0")/$C7),"N/A")</f>
        <v>N/A</v>
      </c>
      <c r="H7" s="28" t="str">
        <f>IFERROR(IF(COUNTIFS(INVENTORY!$J:$J,$A7,INVENTORY!$D:$D,$B7, INVENTORY!#REF!,"&gt;0")/$C7=1,"",COUNTIFS(INVENTORY!$J:$J,$A7,INVENTORY!$D:$D,$B7,INVENTORY!#REF!,"&gt;0")/$C7),"N/A")</f>
        <v>N/A</v>
      </c>
    </row>
    <row r="8" spans="1:8" x14ac:dyDescent="0.3">
      <c r="A8" s="22" t="s">
        <v>396</v>
      </c>
      <c r="B8" s="24" t="s">
        <v>624</v>
      </c>
      <c r="C8" s="24">
        <f>COUNTIFS(INVENTORY!D:D,B8,INVENTORY!J:J,'IN STOCK%'!A8)</f>
        <v>6</v>
      </c>
      <c r="D8" s="28" t="str">
        <f>IFERROR(IF(COUNTIFS(INVENTORY!$J:$J,$A8,INVENTORY!$D:$D,$B8, INVENTORY!Q:Q,"&gt;0")/$C8=1,"",COUNTIFS(INVENTORY!$J:$J,$A8,INVENTORY!$D:$D,$B8,INVENTORY!Q:Q,"&gt;0")/$C8),"N/A")</f>
        <v/>
      </c>
      <c r="E8" s="28" t="str">
        <f>IFERROR(IF(COUNTIFS(INVENTORY!$J:$J,$A8,INVENTORY!$D:$D,$B8, INVENTORY!#REF!,"&gt;0")/$C8=1,"",COUNTIFS(INVENTORY!$J:$J,$A8,INVENTORY!$D:$D,$B8,INVENTORY!#REF!,"&gt;0")/$C8),"N/A")</f>
        <v>N/A</v>
      </c>
      <c r="F8" s="28" t="str">
        <f>IFERROR(IF(COUNTIFS(INVENTORY!$J:$J,$A8,INVENTORY!$D:$D,$B8, INVENTORY!#REF!,"&gt;0")/$C8=1,"",COUNTIFS(INVENTORY!$J:$J,$A8,INVENTORY!$D:$D,$B8,INVENTORY!#REF!,"&gt;0")/$C8),"N/A")</f>
        <v>N/A</v>
      </c>
      <c r="G8" s="28" t="str">
        <f>IFERROR(IF(COUNTIFS(INVENTORY!$J:$J,$A8,INVENTORY!$D:$D,$B8, INVENTORY!#REF!,"&gt;0")/$C8=1,"",COUNTIFS(INVENTORY!$J:$J,$A8,INVENTORY!$D:$D,$B8,INVENTORY!#REF!,"&gt;0")/$C8),"N/A")</f>
        <v>N/A</v>
      </c>
      <c r="H8" s="28" t="str">
        <f>IFERROR(IF(COUNTIFS(INVENTORY!$J:$J,$A8,INVENTORY!$D:$D,$B8, INVENTORY!#REF!,"&gt;0")/$C8=1,"",COUNTIFS(INVENTORY!$J:$J,$A8,INVENTORY!$D:$D,$B8,INVENTORY!#REF!,"&gt;0")/$C8),"N/A")</f>
        <v>N/A</v>
      </c>
    </row>
    <row r="9" spans="1:8" x14ac:dyDescent="0.3">
      <c r="A9" s="22" t="s">
        <v>397</v>
      </c>
      <c r="B9" s="24" t="s">
        <v>624</v>
      </c>
      <c r="C9" s="24">
        <f>COUNTIFS(INVENTORY!D:D,B9,INVENTORY!J:J,'IN STOCK%'!A9)</f>
        <v>5</v>
      </c>
      <c r="D9" s="28" t="str">
        <f>IFERROR(IF(COUNTIFS(INVENTORY!$J:$J,$A9,INVENTORY!$D:$D,$B9, INVENTORY!Q:Q,"&gt;0")/$C9=1,"",COUNTIFS(INVENTORY!$J:$J,$A9,INVENTORY!$D:$D,$B9,INVENTORY!Q:Q,"&gt;0")/$C9),"N/A")</f>
        <v/>
      </c>
      <c r="E9" s="28" t="str">
        <f>IFERROR(IF(COUNTIFS(INVENTORY!$J:$J,$A9,INVENTORY!$D:$D,$B9, INVENTORY!#REF!,"&gt;0")/$C9=1,"",COUNTIFS(INVENTORY!$J:$J,$A9,INVENTORY!$D:$D,$B9,INVENTORY!#REF!,"&gt;0")/$C9),"N/A")</f>
        <v>N/A</v>
      </c>
      <c r="F9" s="28" t="str">
        <f>IFERROR(IF(COUNTIFS(INVENTORY!$J:$J,$A9,INVENTORY!$D:$D,$B9, INVENTORY!#REF!,"&gt;0")/$C9=1,"",COUNTIFS(INVENTORY!$J:$J,$A9,INVENTORY!$D:$D,$B9,INVENTORY!#REF!,"&gt;0")/$C9),"N/A")</f>
        <v>N/A</v>
      </c>
      <c r="G9" s="28" t="str">
        <f>IFERROR(IF(COUNTIFS(INVENTORY!$J:$J,$A9,INVENTORY!$D:$D,$B9, INVENTORY!#REF!,"&gt;0")/$C9=1,"",COUNTIFS(INVENTORY!$J:$J,$A9,INVENTORY!$D:$D,$B9,INVENTORY!#REF!,"&gt;0")/$C9),"N/A")</f>
        <v>N/A</v>
      </c>
      <c r="H9" s="28" t="str">
        <f>IFERROR(IF(COUNTIFS(INVENTORY!$J:$J,$A9,INVENTORY!$D:$D,$B9, INVENTORY!#REF!,"&gt;0")/$C9=1,"",COUNTIFS(INVENTORY!$J:$J,$A9,INVENTORY!$D:$D,$B9,INVENTORY!#REF!,"&gt;0")/$C9),"N/A")</f>
        <v>N/A</v>
      </c>
    </row>
    <row r="10" spans="1:8" x14ac:dyDescent="0.3">
      <c r="A10" s="22" t="s">
        <v>401</v>
      </c>
      <c r="B10" s="24" t="s">
        <v>624</v>
      </c>
      <c r="C10" s="24">
        <v>5</v>
      </c>
      <c r="D10" s="28">
        <f>IFERROR(IF(COUNTIFS(INVENTORY!$J:$J,$A10,INVENTORY!$D:$D,$B10, INVENTORY!Q:Q,"&gt;0")/$C10=1,"",COUNTIFS(INVENTORY!$J:$J,$A10,INVENTORY!$D:$D,$B10,INVENTORY!Q:Q,"&gt;0")/$C10),"N/A")</f>
        <v>0.6</v>
      </c>
      <c r="E10" s="28" t="str">
        <f>IFERROR(IF(COUNTIFS(INVENTORY!$J:$J,$A10,INVENTORY!$D:$D,$B10, INVENTORY!#REF!,"&gt;0")/$C10=1,"",COUNTIFS(INVENTORY!$J:$J,$A10,INVENTORY!$D:$D,$B10,INVENTORY!#REF!,"&gt;0")/$C10),"N/A")</f>
        <v>N/A</v>
      </c>
      <c r="F10" s="28" t="str">
        <f>IFERROR(IF(COUNTIFS(INVENTORY!$J:$J,$A10,INVENTORY!$D:$D,$B10, INVENTORY!#REF!,"&gt;0")/$C10=1,"",COUNTIFS(INVENTORY!$J:$J,$A10,INVENTORY!$D:$D,$B10,INVENTORY!#REF!,"&gt;0")/$C10),"N/A")</f>
        <v>N/A</v>
      </c>
      <c r="G10" s="28" t="str">
        <f>IFERROR(IF(COUNTIFS(INVENTORY!$J:$J,$A10,INVENTORY!$D:$D,$B10, INVENTORY!#REF!,"&gt;0")/$C10=1,"",COUNTIFS(INVENTORY!$J:$J,$A10,INVENTORY!$D:$D,$B10,INVENTORY!#REF!,"&gt;0")/$C10),"N/A")</f>
        <v>N/A</v>
      </c>
      <c r="H10" s="28" t="str">
        <f>IFERROR(IF(COUNTIFS(INVENTORY!$J:$J,$A10,INVENTORY!$D:$D,$B10, INVENTORY!#REF!,"&gt;0")/$C10=1,"",COUNTIFS(INVENTORY!$J:$J,$A10,INVENTORY!$D:$D,$B10,INVENTORY!#REF!,"&gt;0")/$C10),"N/A")</f>
        <v>N/A</v>
      </c>
    </row>
    <row r="11" spans="1:8" x14ac:dyDescent="0.3">
      <c r="A11" s="22" t="s">
        <v>400</v>
      </c>
      <c r="B11" s="24" t="s">
        <v>624</v>
      </c>
      <c r="C11" s="24">
        <f>COUNTIFS(INVENTORY!D:D,B11,INVENTORY!J:J,'IN STOCK%'!A11)</f>
        <v>20</v>
      </c>
      <c r="D11" s="28">
        <f>IFERROR(IF(COUNTIFS(INVENTORY!$J:$J,$A11,INVENTORY!$D:$D,$B11, INVENTORY!Q:Q,"&gt;0")/$C11=1,"",COUNTIFS(INVENTORY!$J:$J,$A11,INVENTORY!$D:$D,$B11,INVENTORY!Q:Q,"&gt;0")/$C11),"N/A")</f>
        <v>0.75</v>
      </c>
      <c r="E11" s="28" t="str">
        <f>IFERROR(IF(COUNTIFS(INVENTORY!$J:$J,$A11,INVENTORY!$D:$D,$B11, INVENTORY!#REF!,"&gt;0")/$C11=1,"",COUNTIFS(INVENTORY!$J:$J,$A11,INVENTORY!$D:$D,$B11,INVENTORY!#REF!,"&gt;0")/$C11),"N/A")</f>
        <v>N/A</v>
      </c>
      <c r="F11" s="28" t="str">
        <f>IFERROR(IF(COUNTIFS(INVENTORY!$J:$J,$A11,INVENTORY!$D:$D,$B11, INVENTORY!#REF!,"&gt;0")/$C11=1,"",COUNTIFS(INVENTORY!$J:$J,$A11,INVENTORY!$D:$D,$B11,INVENTORY!#REF!,"&gt;0")/$C11),"N/A")</f>
        <v>N/A</v>
      </c>
      <c r="G11" s="28" t="str">
        <f>IFERROR(IF(COUNTIFS(INVENTORY!$J:$J,$A11,INVENTORY!$D:$D,$B11, INVENTORY!#REF!,"&gt;0")/$C11=1,"",COUNTIFS(INVENTORY!$J:$J,$A11,INVENTORY!$D:$D,$B11,INVENTORY!#REF!,"&gt;0")/$C11),"N/A")</f>
        <v>N/A</v>
      </c>
      <c r="H11" s="28" t="str">
        <f>IFERROR(IF(COUNTIFS(INVENTORY!$J:$J,$A11,INVENTORY!$D:$D,$B11, INVENTORY!#REF!,"&gt;0")/$C11=1,"",COUNTIFS(INVENTORY!$J:$J,$A11,INVENTORY!$D:$D,$B11,INVENTORY!#REF!,"&gt;0")/$C11),"N/A")</f>
        <v>N/A</v>
      </c>
    </row>
    <row r="12" spans="1:8" x14ac:dyDescent="0.3">
      <c r="A12" s="22" t="s">
        <v>408</v>
      </c>
      <c r="B12" s="24" t="s">
        <v>624</v>
      </c>
      <c r="C12" s="24">
        <v>29</v>
      </c>
      <c r="D12" s="28">
        <f>IFERROR(IF(COUNTIFS(INVENTORY!$J:$J,$A12,INVENTORY!$D:$D,$B12, INVENTORY!Q:Q,"&gt;0")/$C12=1,"",COUNTIFS(INVENTORY!$J:$J,$A12,INVENTORY!$D:$D,$B12,INVENTORY!Q:Q,"&gt;0")/$C12),"N/A")</f>
        <v>0.89655172413793105</v>
      </c>
      <c r="E12" s="28" t="str">
        <f>IFERROR(IF(COUNTIFS(INVENTORY!$J:$J,$A12,INVENTORY!$D:$D,$B12, INVENTORY!#REF!,"&gt;0")/$C12=1,"",COUNTIFS(INVENTORY!$J:$J,$A12,INVENTORY!$D:$D,$B12,INVENTORY!#REF!,"&gt;0")/$C12),"N/A")</f>
        <v>N/A</v>
      </c>
      <c r="F12" s="28" t="str">
        <f>IFERROR(IF(COUNTIFS(INVENTORY!$J:$J,$A12,INVENTORY!$D:$D,$B12, INVENTORY!#REF!,"&gt;0")/$C12=1,"",COUNTIFS(INVENTORY!$J:$J,$A12,INVENTORY!$D:$D,$B12,INVENTORY!#REF!,"&gt;0")/$C12),"N/A")</f>
        <v>N/A</v>
      </c>
      <c r="G12" s="28" t="str">
        <f>IFERROR(IF(COUNTIFS(INVENTORY!$J:$J,$A12,INVENTORY!$D:$D,$B12, INVENTORY!#REF!,"&gt;0")/$C12=1,"",COUNTIFS(INVENTORY!$J:$J,$A12,INVENTORY!$D:$D,$B12,INVENTORY!#REF!,"&gt;0")/$C12),"N/A")</f>
        <v>N/A</v>
      </c>
      <c r="H12" s="28" t="str">
        <f>IFERROR(IF(COUNTIFS(INVENTORY!$J:$J,$A12,INVENTORY!$D:$D,$B12, INVENTORY!#REF!,"&gt;0")/$C12=1,"",COUNTIFS(INVENTORY!$J:$J,$A12,INVENTORY!$D:$D,$B12,INVENTORY!#REF!,"&gt;0")/$C12),"N/A")</f>
        <v>N/A</v>
      </c>
    </row>
    <row r="13" spans="1:8" x14ac:dyDescent="0.3">
      <c r="A13" s="22" t="s">
        <v>409</v>
      </c>
      <c r="B13" s="24" t="s">
        <v>624</v>
      </c>
      <c r="C13" s="24">
        <f>COUNTIFS(INVENTORY!D:D,B13,INVENTORY!J:J,'IN STOCK%'!A13)</f>
        <v>20</v>
      </c>
      <c r="D13" s="28" t="str">
        <f>IFERROR(IF(COUNTIFS(INVENTORY!$J:$J,$A13,INVENTORY!$D:$D,$B13, INVENTORY!Q:Q,"&gt;0")/$C13=1,"",COUNTIFS(INVENTORY!$J:$J,$A13,INVENTORY!$D:$D,$B13,INVENTORY!Q:Q,"&gt;0")/$C13),"N/A")</f>
        <v/>
      </c>
      <c r="E13" s="28" t="str">
        <f>IFERROR(IF(COUNTIFS(INVENTORY!$J:$J,$A13,INVENTORY!$D:$D,$B13, INVENTORY!#REF!,"&gt;0")/$C13=1,"",COUNTIFS(INVENTORY!$J:$J,$A13,INVENTORY!$D:$D,$B13,INVENTORY!#REF!,"&gt;0")/$C13),"N/A")</f>
        <v>N/A</v>
      </c>
      <c r="F13" s="28" t="str">
        <f>IFERROR(IF(COUNTIFS(INVENTORY!$J:$J,$A13,INVENTORY!$D:$D,$B13, INVENTORY!#REF!,"&gt;0")/$C13=1,"",COUNTIFS(INVENTORY!$J:$J,$A13,INVENTORY!$D:$D,$B13,INVENTORY!#REF!,"&gt;0")/$C13),"N/A")</f>
        <v>N/A</v>
      </c>
      <c r="G13" s="28" t="str">
        <f>IFERROR(IF(COUNTIFS(INVENTORY!$J:$J,$A13,INVENTORY!$D:$D,$B13, INVENTORY!#REF!,"&gt;0")/$C13=1,"",COUNTIFS(INVENTORY!$J:$J,$A13,INVENTORY!$D:$D,$B13,INVENTORY!#REF!,"&gt;0")/$C13),"N/A")</f>
        <v>N/A</v>
      </c>
      <c r="H13" s="28" t="str">
        <f>IFERROR(IF(COUNTIFS(INVENTORY!$J:$J,$A13,INVENTORY!$D:$D,$B13, INVENTORY!#REF!,"&gt;0")/$C13=1,"",COUNTIFS(INVENTORY!$J:$J,$A13,INVENTORY!$D:$D,$B13,INVENTORY!#REF!,"&gt;0")/$C13),"N/A")</f>
        <v>N/A</v>
      </c>
    </row>
    <row r="14" spans="1:8" x14ac:dyDescent="0.3">
      <c r="A14" s="22" t="s">
        <v>405</v>
      </c>
      <c r="B14" s="24" t="s">
        <v>624</v>
      </c>
      <c r="C14" s="24">
        <v>27</v>
      </c>
      <c r="D14" s="28" t="str">
        <f>IFERROR(IF(COUNTIFS(INVENTORY!$J:$J,$A14,INVENTORY!$D:$D,$B14, INVENTORY!Q:Q,"&gt;0")/$C14=1,"",COUNTIFS(INVENTORY!$J:$J,$A14,INVENTORY!$D:$D,$B14,INVENTORY!Q:Q,"&gt;0")/$C14),"N/A")</f>
        <v/>
      </c>
      <c r="E14" s="28" t="str">
        <f>IFERROR(IF(COUNTIFS(INVENTORY!$J:$J,$A14,INVENTORY!$D:$D,$B14, INVENTORY!#REF!,"&gt;0")/$C14=1,"",COUNTIFS(INVENTORY!$J:$J,$A14,INVENTORY!$D:$D,$B14,INVENTORY!#REF!,"&gt;0")/$C14),"N/A")</f>
        <v>N/A</v>
      </c>
      <c r="F14" s="28" t="str">
        <f>IFERROR(IF(COUNTIFS(INVENTORY!$J:$J,$A14,INVENTORY!$D:$D,$B14, INVENTORY!#REF!,"&gt;0")/$C14=1,"",COUNTIFS(INVENTORY!$J:$J,$A14,INVENTORY!$D:$D,$B14,INVENTORY!#REF!,"&gt;0")/$C14),"N/A")</f>
        <v>N/A</v>
      </c>
      <c r="G14" s="28" t="str">
        <f>IFERROR(IF(COUNTIFS(INVENTORY!$J:$J,$A14,INVENTORY!$D:$D,$B14, INVENTORY!#REF!,"&gt;0")/$C14=1,"",COUNTIFS(INVENTORY!$J:$J,$A14,INVENTORY!$D:$D,$B14,INVENTORY!#REF!,"&gt;0")/$C14),"N/A")</f>
        <v>N/A</v>
      </c>
      <c r="H14" s="28" t="str">
        <f>IFERROR(IF(COUNTIFS(INVENTORY!$J:$J,$A14,INVENTORY!$D:$D,$B14, INVENTORY!#REF!,"&gt;0")/$C14=1,"",COUNTIFS(INVENTORY!$J:$J,$A14,INVENTORY!$D:$D,$B14,INVENTORY!#REF!,"&gt;0")/$C14),"N/A")</f>
        <v>N/A</v>
      </c>
    </row>
    <row r="15" spans="1:8" x14ac:dyDescent="0.3">
      <c r="A15" s="22" t="s">
        <v>119</v>
      </c>
      <c r="B15" s="24" t="s">
        <v>624</v>
      </c>
      <c r="C15" s="24">
        <f>COUNTIFS(INVENTORY!D:D,B15,INVENTORY!J:J,'IN STOCK%'!A15)</f>
        <v>47</v>
      </c>
      <c r="D15" s="28">
        <f>IFERROR(IF(COUNTIFS(INVENTORY!$J:$J,$A15,INVENTORY!$D:$D,$B15, INVENTORY!Q:Q,"&gt;0")/$C15=1,"",COUNTIFS(INVENTORY!$J:$J,$A15,INVENTORY!$D:$D,$B15,INVENTORY!Q:Q,"&gt;0")/$C15),"N/A")</f>
        <v>0.78723404255319152</v>
      </c>
      <c r="E15" s="28" t="str">
        <f>IFERROR(IF(COUNTIFS(INVENTORY!$J:$J,$A15,INVENTORY!$D:$D,$B15, INVENTORY!#REF!,"&gt;0")/$C15=1,"",COUNTIFS(INVENTORY!$J:$J,$A15,INVENTORY!$D:$D,$B15,INVENTORY!#REF!,"&gt;0")/$C15),"N/A")</f>
        <v>N/A</v>
      </c>
      <c r="F15" s="28" t="str">
        <f>IFERROR(IF(COUNTIFS(INVENTORY!$J:$J,$A15,INVENTORY!$D:$D,$B15, INVENTORY!#REF!,"&gt;0")/$C15=1,"",COUNTIFS(INVENTORY!$J:$J,$A15,INVENTORY!$D:$D,$B15,INVENTORY!#REF!,"&gt;0")/$C15),"N/A")</f>
        <v>N/A</v>
      </c>
      <c r="G15" s="28" t="str">
        <f>IFERROR(IF(COUNTIFS(INVENTORY!$J:$J,$A15,INVENTORY!$D:$D,$B15, INVENTORY!#REF!,"&gt;0")/$C15=1,"",COUNTIFS(INVENTORY!$J:$J,$A15,INVENTORY!$D:$D,$B15,INVENTORY!#REF!,"&gt;0")/$C15),"N/A")</f>
        <v>N/A</v>
      </c>
      <c r="H15" s="28" t="str">
        <f>IFERROR(IF(COUNTIFS(INVENTORY!$J:$J,$A15,INVENTORY!$D:$D,$B15, INVENTORY!#REF!,"&gt;0")/$C15=1,"",COUNTIFS(INVENTORY!$J:$J,$A15,INVENTORY!$D:$D,$B15,INVENTORY!#REF!,"&gt;0")/$C15),"N/A")</f>
        <v>N/A</v>
      </c>
    </row>
    <row r="16" spans="1:8" x14ac:dyDescent="0.3">
      <c r="A16" s="22" t="s">
        <v>1670</v>
      </c>
      <c r="B16" s="24" t="s">
        <v>624</v>
      </c>
      <c r="C16" s="24">
        <f>COUNTIFS(INVENTORY!D:D,B16,INVENTORY!J:J,'IN STOCK%'!A16)</f>
        <v>20</v>
      </c>
      <c r="D16" s="28" t="str">
        <f>IFERROR(IF(COUNTIFS(INVENTORY!$J:$J,$A16,INVENTORY!$D:$D,$B16, INVENTORY!Q:Q,"&gt;0")/$C16=1,"",COUNTIFS(INVENTORY!$J:$J,$A16,INVENTORY!$D:$D,$B16,INVENTORY!Q:Q,"&gt;0")/$C16),"N/A")</f>
        <v/>
      </c>
      <c r="E16" s="28" t="str">
        <f>IFERROR(IF(COUNTIFS(INVENTORY!$J:$J,$A16,INVENTORY!$D:$D,$B16, INVENTORY!#REF!,"&gt;0")/$C16=1,"",COUNTIFS(INVENTORY!$J:$J,$A16,INVENTORY!$D:$D,$B16,INVENTORY!#REF!,"&gt;0")/$C16),"N/A")</f>
        <v>N/A</v>
      </c>
      <c r="F16" s="28" t="str">
        <f>IFERROR(IF(COUNTIFS(INVENTORY!$J:$J,$A16,INVENTORY!$D:$D,$B16, INVENTORY!#REF!,"&gt;0")/$C16=1,"",COUNTIFS(INVENTORY!$J:$J,$A16,INVENTORY!$D:$D,$B16,INVENTORY!#REF!,"&gt;0")/$C16),"N/A")</f>
        <v>N/A</v>
      </c>
      <c r="G16" s="28" t="str">
        <f>IFERROR(IF(COUNTIFS(INVENTORY!$J:$J,$A16,INVENTORY!$D:$D,$B16, INVENTORY!#REF!,"&gt;0")/$C16=1,"",COUNTIFS(INVENTORY!$J:$J,$A16,INVENTORY!$D:$D,$B16,INVENTORY!#REF!,"&gt;0")/$C16),"N/A")</f>
        <v>N/A</v>
      </c>
      <c r="H16" s="28" t="str">
        <f>IFERROR(IF(COUNTIFS(INVENTORY!$J:$J,$A16,INVENTORY!$D:$D,$B16, INVENTORY!#REF!,"&gt;0")/$C16=1,"",COUNTIFS(INVENTORY!$J:$J,$A16,INVENTORY!$D:$D,$B16,INVENTORY!#REF!,"&gt;0")/$C16),"N/A")</f>
        <v>N/A</v>
      </c>
    </row>
    <row r="17" spans="1:8" x14ac:dyDescent="0.3">
      <c r="A17" s="22" t="s">
        <v>407</v>
      </c>
      <c r="B17" s="24" t="s">
        <v>624</v>
      </c>
      <c r="C17" s="24">
        <f>COUNTIFS(INVENTORY!D:D,B17,INVENTORY!J:J,'IN STOCK%'!A17)</f>
        <v>6</v>
      </c>
      <c r="D17" s="28">
        <f>IFERROR(IF(COUNTIFS(INVENTORY!$J:$J,$A17,INVENTORY!$D:$D,$B17, INVENTORY!Q:Q,"&gt;0")/$C17=1,"",COUNTIFS(INVENTORY!$J:$J,$A17,INVENTORY!$D:$D,$B17,INVENTORY!Q:Q,"&gt;0")/$C17),"N/A")</f>
        <v>0.66666666666666663</v>
      </c>
      <c r="E17" s="28" t="str">
        <f>IFERROR(IF(COUNTIFS(INVENTORY!$J:$J,$A17,INVENTORY!$D:$D,$B17, INVENTORY!#REF!,"&gt;0")/$C17=1,"",COUNTIFS(INVENTORY!$J:$J,$A17,INVENTORY!$D:$D,$B17,INVENTORY!#REF!,"&gt;0")/$C17),"N/A")</f>
        <v>N/A</v>
      </c>
      <c r="F17" s="28" t="str">
        <f>IFERROR(IF(COUNTIFS(INVENTORY!$J:$J,$A17,INVENTORY!$D:$D,$B17, INVENTORY!#REF!,"&gt;0")/$C17=1,"",COUNTIFS(INVENTORY!$J:$J,$A17,INVENTORY!$D:$D,$B17,INVENTORY!#REF!,"&gt;0")/$C17),"N/A")</f>
        <v>N/A</v>
      </c>
      <c r="G17" s="28" t="str">
        <f>IFERROR(IF(COUNTIFS(INVENTORY!$J:$J,$A17,INVENTORY!$D:$D,$B17, INVENTORY!#REF!,"&gt;0")/$C17=1,"",COUNTIFS(INVENTORY!$J:$J,$A17,INVENTORY!$D:$D,$B17,INVENTORY!#REF!,"&gt;0")/$C17),"N/A")</f>
        <v>N/A</v>
      </c>
      <c r="H17" s="28" t="str">
        <f>IFERROR(IF(COUNTIFS(INVENTORY!$J:$J,$A17,INVENTORY!$D:$D,$B17, INVENTORY!#REF!,"&gt;0")/$C17=1,"",COUNTIFS(INVENTORY!$J:$J,$A17,INVENTORY!$D:$D,$B17,INVENTORY!#REF!,"&gt;0")/$C17),"N/A")</f>
        <v>N/A</v>
      </c>
    </row>
    <row r="18" spans="1:8" x14ac:dyDescent="0.3">
      <c r="A18" s="22" t="s">
        <v>459</v>
      </c>
      <c r="B18" s="24" t="s">
        <v>624</v>
      </c>
      <c r="C18" s="24">
        <f>COUNTIFS(INVENTORY!D:D,B18,INVENTORY!J:J,'IN STOCK%'!A18)</f>
        <v>5</v>
      </c>
      <c r="D18" s="28">
        <f>IFERROR(IF(COUNTIFS(INVENTORY!$J:$J,$A18,INVENTORY!$D:$D,$B18, INVENTORY!Q:Q,"&gt;0")/$C18=1,"",COUNTIFS(INVENTORY!$J:$J,$A18,INVENTORY!$D:$D,$B18,INVENTORY!Q:Q,"&gt;0")/$C18),"N/A")</f>
        <v>0</v>
      </c>
      <c r="E18" s="28" t="str">
        <f>IFERROR(IF(COUNTIFS(INVENTORY!$J:$J,$A18,INVENTORY!$D:$D,$B18, INVENTORY!#REF!,"&gt;0")/$C18=1,"",COUNTIFS(INVENTORY!$J:$J,$A18,INVENTORY!$D:$D,$B18,INVENTORY!#REF!,"&gt;0")/$C18),"N/A")</f>
        <v>N/A</v>
      </c>
      <c r="F18" s="28" t="str">
        <f>IFERROR(IF(COUNTIFS(INVENTORY!$J:$J,$A18,INVENTORY!$D:$D,$B18, INVENTORY!#REF!,"&gt;0")/$C18=1,"",COUNTIFS(INVENTORY!$J:$J,$A18,INVENTORY!$D:$D,$B18,INVENTORY!#REF!,"&gt;0")/$C18),"N/A")</f>
        <v>N/A</v>
      </c>
      <c r="G18" s="28" t="str">
        <f>IFERROR(IF(COUNTIFS(INVENTORY!$J:$J,$A18,INVENTORY!$D:$D,$B18, INVENTORY!#REF!,"&gt;0")/$C18=1,"",COUNTIFS(INVENTORY!$J:$J,$A18,INVENTORY!$D:$D,$B18,INVENTORY!#REF!,"&gt;0")/$C18),"N/A")</f>
        <v>N/A</v>
      </c>
      <c r="H18" s="28" t="str">
        <f>IFERROR(IF(COUNTIFS(INVENTORY!$J:$J,$A18,INVENTORY!$D:$D,$B18, INVENTORY!#REF!,"&gt;0")/$C18=1,"",COUNTIFS(INVENTORY!$J:$J,$A18,INVENTORY!$D:$D,$B18,INVENTORY!#REF!,"&gt;0")/$C18),"N/A")</f>
        <v>N/A</v>
      </c>
    </row>
    <row r="19" spans="1:8" x14ac:dyDescent="0.3">
      <c r="A19" s="22" t="s">
        <v>394</v>
      </c>
      <c r="B19" s="24" t="s">
        <v>624</v>
      </c>
      <c r="C19" s="24">
        <v>35</v>
      </c>
      <c r="D19" s="28">
        <f>IFERROR(IF(COUNTIFS(INVENTORY!$J:$J,$A19,INVENTORY!$D:$D,$B19, INVENTORY!Q:Q,"&gt;0")/$C19=1,"",COUNTIFS(INVENTORY!$J:$J,$A19,INVENTORY!$D:$D,$B19,INVENTORY!Q:Q,"&gt;0")/$C19),"N/A")</f>
        <v>0.97142857142857142</v>
      </c>
      <c r="E19" s="28" t="str">
        <f>IFERROR(IF(COUNTIFS(INVENTORY!$J:$J,$A19,INVENTORY!$D:$D,$B19, INVENTORY!#REF!,"&gt;0")/$C19=1,"",COUNTIFS(INVENTORY!$J:$J,$A19,INVENTORY!$D:$D,$B19,INVENTORY!#REF!,"&gt;0")/$C19),"N/A")</f>
        <v>N/A</v>
      </c>
      <c r="F19" s="28" t="str">
        <f>IFERROR(IF(COUNTIFS(INVENTORY!$J:$J,$A19,INVENTORY!$D:$D,$B19, INVENTORY!#REF!,"&gt;0")/$C19=1,"",COUNTIFS(INVENTORY!$J:$J,$A19,INVENTORY!$D:$D,$B19,INVENTORY!#REF!,"&gt;0")/$C19),"N/A")</f>
        <v>N/A</v>
      </c>
      <c r="G19" s="28" t="str">
        <f>IFERROR(IF(COUNTIFS(INVENTORY!$J:$J,$A19,INVENTORY!$D:$D,$B19, INVENTORY!#REF!,"&gt;0")/$C19=1,"",COUNTIFS(INVENTORY!$J:$J,$A19,INVENTORY!$D:$D,$B19,INVENTORY!#REF!,"&gt;0")/$C19),"N/A")</f>
        <v>N/A</v>
      </c>
      <c r="H19" s="28" t="str">
        <f>IFERROR(IF(COUNTIFS(INVENTORY!$J:$J,$A19,INVENTORY!$D:$D,$B19, INVENTORY!#REF!,"&gt;0")/$C19=1,"",COUNTIFS(INVENTORY!$J:$J,$A19,INVENTORY!$D:$D,$B19,INVENTORY!#REF!,"&gt;0")/$C19),"N/A")</f>
        <v>N/A</v>
      </c>
    </row>
    <row r="20" spans="1:8" x14ac:dyDescent="0.3">
      <c r="A20" s="22" t="s">
        <v>395</v>
      </c>
      <c r="B20" s="24" t="s">
        <v>624</v>
      </c>
      <c r="C20" s="24">
        <v>10</v>
      </c>
      <c r="D20" s="28" t="str">
        <f>IFERROR(IF(COUNTIFS(INVENTORY!$J:$J,$A20,INVENTORY!$D:$D,$B20, INVENTORY!Q:Q,"&gt;0")/$C20=1,"",COUNTIFS(INVENTORY!$J:$J,$A20,INVENTORY!$D:$D,$B20,INVENTORY!Q:Q,"&gt;0")/$C20),"N/A")</f>
        <v/>
      </c>
      <c r="E20" s="28" t="str">
        <f>IFERROR(IF(COUNTIFS(INVENTORY!$J:$J,$A20,INVENTORY!$D:$D,$B20, INVENTORY!#REF!,"&gt;0")/$C20=1,"",COUNTIFS(INVENTORY!$J:$J,$A20,INVENTORY!$D:$D,$B20,INVENTORY!#REF!,"&gt;0")/$C20),"N/A")</f>
        <v>N/A</v>
      </c>
      <c r="F20" s="28" t="str">
        <f>IFERROR(IF(COUNTIFS(INVENTORY!$J:$J,$A20,INVENTORY!$D:$D,$B20, INVENTORY!#REF!,"&gt;0")/$C20=1,"",COUNTIFS(INVENTORY!$J:$J,$A20,INVENTORY!$D:$D,$B20,INVENTORY!#REF!,"&gt;0")/$C20),"N/A")</f>
        <v>N/A</v>
      </c>
      <c r="G20" s="28" t="str">
        <f>IFERROR(IF(COUNTIFS(INVENTORY!$J:$J,$A20,INVENTORY!$D:$D,$B20, INVENTORY!#REF!,"&gt;0")/$C20=1,"",COUNTIFS(INVENTORY!$J:$J,$A20,INVENTORY!$D:$D,$B20,INVENTORY!#REF!,"&gt;0")/$C20),"N/A")</f>
        <v>N/A</v>
      </c>
      <c r="H20" s="28" t="str">
        <f>IFERROR(IF(COUNTIFS(INVENTORY!$J:$J,$A20,INVENTORY!$D:$D,$B20, INVENTORY!#REF!,"&gt;0")/$C20=1,"",COUNTIFS(INVENTORY!$J:$J,$A20,INVENTORY!$D:$D,$B20,INVENTORY!#REF!,"&gt;0")/$C20),"N/A")</f>
        <v>N/A</v>
      </c>
    </row>
    <row r="21" spans="1:8" x14ac:dyDescent="0.3">
      <c r="A21" s="22" t="s">
        <v>402</v>
      </c>
      <c r="B21" s="24" t="s">
        <v>628</v>
      </c>
      <c r="C21" s="24">
        <v>29</v>
      </c>
      <c r="D21" s="28">
        <f>IFERROR(IF(COUNTIFS(INVENTORY!$J:$J,$A21,INVENTORY!$D:$D,$B21, INVENTORY!Q:Q,"&gt;0")/$C21=1,"",COUNTIFS(INVENTORY!$J:$J,$A21,INVENTORY!$D:$D,$B21,INVENTORY!Q:Q,"&gt;0")/$C21),"N/A")</f>
        <v>0.75862068965517238</v>
      </c>
      <c r="E21" s="28" t="str">
        <f>IFERROR(IF(COUNTIFS(INVENTORY!$J:$J,$A21,INVENTORY!$D:$D,$B21, INVENTORY!#REF!,"&gt;0")/$C21=1,"",COUNTIFS(INVENTORY!$J:$J,$A21,INVENTORY!$D:$D,$B21,INVENTORY!#REF!,"&gt;0")/$C21),"N/A")</f>
        <v>N/A</v>
      </c>
      <c r="F21" s="28" t="str">
        <f>IFERROR(IF(COUNTIFS(INVENTORY!$J:$J,$A21,INVENTORY!$D:$D,$B21, INVENTORY!#REF!,"&gt;0")/$C21=1,"",COUNTIFS(INVENTORY!$J:$J,$A21,INVENTORY!$D:$D,$B21,INVENTORY!#REF!,"&gt;0")/$C21),"N/A")</f>
        <v>N/A</v>
      </c>
      <c r="G21" s="28" t="str">
        <f>IFERROR(IF(COUNTIFS(INVENTORY!$J:$J,$A21,INVENTORY!$D:$D,$B21, INVENTORY!#REF!,"&gt;0")/$C21=1,"",COUNTIFS(INVENTORY!$J:$J,$A21,INVENTORY!$D:$D,$B21,INVENTORY!#REF!,"&gt;0")/$C21),"N/A")</f>
        <v>N/A</v>
      </c>
      <c r="H21" s="28" t="str">
        <f>IFERROR(IF(COUNTIFS(INVENTORY!$J:$J,$A21,INVENTORY!$D:$D,$B21, INVENTORY!#REF!,"&gt;0")/$C21=1,"",COUNTIFS(INVENTORY!$J:$J,$A21,INVENTORY!$D:$D,$B21,INVENTORY!#REF!,"&gt;0")/$C21),"N/A")</f>
        <v>N/A</v>
      </c>
    </row>
    <row r="22" spans="1:8" x14ac:dyDescent="0.3">
      <c r="A22" s="22" t="s">
        <v>403</v>
      </c>
      <c r="B22" s="24" t="s">
        <v>628</v>
      </c>
      <c r="C22" s="24">
        <v>29</v>
      </c>
      <c r="D22" s="28">
        <f>IFERROR(IF(COUNTIFS(INVENTORY!$J:$J,$A22,INVENTORY!$D:$D,$B22, INVENTORY!Q:Q,"&gt;0")/$C22=1,"",COUNTIFS(INVENTORY!$J:$J,$A22,INVENTORY!$D:$D,$B22,INVENTORY!Q:Q,"&gt;0")/$C22),"N/A")</f>
        <v>0.13793103448275862</v>
      </c>
      <c r="E22" s="28" t="str">
        <f>IFERROR(IF(COUNTIFS(INVENTORY!$J:$J,$A22,INVENTORY!$D:$D,$B22, INVENTORY!#REF!,"&gt;0")/$C22=1,"",COUNTIFS(INVENTORY!$J:$J,$A22,INVENTORY!$D:$D,$B22,INVENTORY!#REF!,"&gt;0")/$C22),"N/A")</f>
        <v>N/A</v>
      </c>
      <c r="F22" s="28" t="str">
        <f>IFERROR(IF(COUNTIFS(INVENTORY!$J:$J,$A22,INVENTORY!$D:$D,$B22, INVENTORY!#REF!,"&gt;0")/$C22=1,"",COUNTIFS(INVENTORY!$J:$J,$A22,INVENTORY!$D:$D,$B22,INVENTORY!#REF!,"&gt;0")/$C22),"N/A")</f>
        <v>N/A</v>
      </c>
      <c r="G22" s="28" t="str">
        <f>IFERROR(IF(COUNTIFS(INVENTORY!$J:$J,$A22,INVENTORY!$D:$D,$B22, INVENTORY!#REF!,"&gt;0")/$C22=1,"",COUNTIFS(INVENTORY!$J:$J,$A22,INVENTORY!$D:$D,$B22,INVENTORY!#REF!,"&gt;0")/$C22),"N/A")</f>
        <v>N/A</v>
      </c>
      <c r="H22" s="28" t="str">
        <f>IFERROR(IF(COUNTIFS(INVENTORY!$J:$J,$A22,INVENTORY!$D:$D,$B22, INVENTORY!#REF!,"&gt;0")/$C22=1,"",COUNTIFS(INVENTORY!$J:$J,$A22,INVENTORY!$D:$D,$B22,INVENTORY!#REF!,"&gt;0")/$C22),"N/A")</f>
        <v>N/A</v>
      </c>
    </row>
    <row r="23" spans="1:8" x14ac:dyDescent="0.3">
      <c r="A23" s="22" t="s">
        <v>404</v>
      </c>
      <c r="B23" s="24" t="s">
        <v>628</v>
      </c>
      <c r="C23" s="24">
        <v>29</v>
      </c>
      <c r="D23" s="28">
        <f>IFERROR(IF(COUNTIFS(INVENTORY!$J:$J,$A23,INVENTORY!$D:$D,$B23, INVENTORY!Q:Q,"&gt;0")/$C23=1,"",COUNTIFS(INVENTORY!$J:$J,$A23,INVENTORY!$D:$D,$B23,INVENTORY!Q:Q,"&gt;0")/$C23),"N/A")</f>
        <v>0.10344827586206896</v>
      </c>
      <c r="E23" s="28" t="str">
        <f>IFERROR(IF(COUNTIFS(INVENTORY!$J:$J,$A23,INVENTORY!$D:$D,$B23, INVENTORY!#REF!,"&gt;0")/$C23=1,"",COUNTIFS(INVENTORY!$J:$J,$A23,INVENTORY!$D:$D,$B23,INVENTORY!#REF!,"&gt;0")/$C23),"N/A")</f>
        <v>N/A</v>
      </c>
      <c r="F23" s="28" t="str">
        <f>IFERROR(IF(COUNTIFS(INVENTORY!$J:$J,$A23,INVENTORY!$D:$D,$B23, INVENTORY!#REF!,"&gt;0")/$C23=1,"",COUNTIFS(INVENTORY!$J:$J,$A23,INVENTORY!$D:$D,$B23,INVENTORY!#REF!,"&gt;0")/$C23),"N/A")</f>
        <v>N/A</v>
      </c>
      <c r="G23" s="28" t="str">
        <f>IFERROR(IF(COUNTIFS(INVENTORY!$J:$J,$A23,INVENTORY!$D:$D,$B23, INVENTORY!#REF!,"&gt;0")/$C23=1,"",COUNTIFS(INVENTORY!$J:$J,$A23,INVENTORY!$D:$D,$B23,INVENTORY!#REF!,"&gt;0")/$C23),"N/A")</f>
        <v>N/A</v>
      </c>
      <c r="H23" s="28" t="str">
        <f>IFERROR(IF(COUNTIFS(INVENTORY!$J:$J,$A23,INVENTORY!$D:$D,$B23, INVENTORY!#REF!,"&gt;0")/$C23=1,"",COUNTIFS(INVENTORY!$J:$J,$A23,INVENTORY!$D:$D,$B23,INVENTORY!#REF!,"&gt;0")/$C23),"N/A")</f>
        <v>N/A</v>
      </c>
    </row>
    <row r="24" spans="1:8" x14ac:dyDescent="0.3">
      <c r="A24" s="22" t="s">
        <v>398</v>
      </c>
      <c r="B24" s="24" t="s">
        <v>628</v>
      </c>
      <c r="C24" s="24">
        <v>29</v>
      </c>
      <c r="D24" s="28">
        <f>IFERROR(IF(COUNTIFS(INVENTORY!$J:$J,$A24,INVENTORY!$D:$D,$B24, INVENTORY!Q:Q,"&gt;0")/$C24=1,"",COUNTIFS(INVENTORY!$J:$J,$A24,INVENTORY!$D:$D,$B24,INVENTORY!Q:Q,"&gt;0")/$C24),"N/A")</f>
        <v>0.58620689655172409</v>
      </c>
      <c r="E24" s="28" t="str">
        <f>IFERROR(IF(COUNTIFS(INVENTORY!$J:$J,$A24,INVENTORY!$D:$D,$B24, INVENTORY!#REF!,"&gt;0")/$C24=1,"",COUNTIFS(INVENTORY!$J:$J,$A24,INVENTORY!$D:$D,$B24,INVENTORY!#REF!,"&gt;0")/$C24),"N/A")</f>
        <v>N/A</v>
      </c>
      <c r="F24" s="28" t="str">
        <f>IFERROR(IF(COUNTIFS(INVENTORY!$J:$J,$A24,INVENTORY!$D:$D,$B24, INVENTORY!#REF!,"&gt;0")/$C24=1,"",COUNTIFS(INVENTORY!$J:$J,$A24,INVENTORY!$D:$D,$B24,INVENTORY!#REF!,"&gt;0")/$C24),"N/A")</f>
        <v>N/A</v>
      </c>
      <c r="G24" s="28" t="str">
        <f>IFERROR(IF(COUNTIFS(INVENTORY!$J:$J,$A24,INVENTORY!$D:$D,$B24, INVENTORY!#REF!,"&gt;0")/$C24=1,"",COUNTIFS(INVENTORY!$J:$J,$A24,INVENTORY!$D:$D,$B24,INVENTORY!#REF!,"&gt;0")/$C24),"N/A")</f>
        <v>N/A</v>
      </c>
      <c r="H24" s="28" t="str">
        <f>IFERROR(IF(COUNTIFS(INVENTORY!$J:$J,$A24,INVENTORY!$D:$D,$B24, INVENTORY!#REF!,"&gt;0")/$C24=1,"",COUNTIFS(INVENTORY!$J:$J,$A24,INVENTORY!$D:$D,$B24,INVENTORY!#REF!,"&gt;0")/$C24),"N/A")</f>
        <v>N/A</v>
      </c>
    </row>
    <row r="25" spans="1:8" x14ac:dyDescent="0.3">
      <c r="A25" s="22" t="s">
        <v>399</v>
      </c>
      <c r="B25" s="24" t="s">
        <v>628</v>
      </c>
      <c r="C25" s="24">
        <v>29</v>
      </c>
      <c r="D25" s="28">
        <f>IFERROR(IF(COUNTIFS(INVENTORY!$J:$J,$A25,INVENTORY!$D:$D,$B25, INVENTORY!Q:Q,"&gt;0")/$C25=1,"",COUNTIFS(INVENTORY!$J:$J,$A25,INVENTORY!$D:$D,$B25,INVENTORY!Q:Q,"&gt;0")/$C25),"N/A")</f>
        <v>0.2413793103448276</v>
      </c>
      <c r="E25" s="28" t="str">
        <f>IFERROR(IF(COUNTIFS(INVENTORY!$J:$J,$A25,INVENTORY!$D:$D,$B25, INVENTORY!#REF!,"&gt;0")/$C25=1,"",COUNTIFS(INVENTORY!$J:$J,$A25,INVENTORY!$D:$D,$B25,INVENTORY!#REF!,"&gt;0")/$C25),"N/A")</f>
        <v>N/A</v>
      </c>
      <c r="F25" s="28" t="str">
        <f>IFERROR(IF(COUNTIFS(INVENTORY!$J:$J,$A25,INVENTORY!$D:$D,$B25, INVENTORY!#REF!,"&gt;0")/$C25=1,"",COUNTIFS(INVENTORY!$J:$J,$A25,INVENTORY!$D:$D,$B25,INVENTORY!#REF!,"&gt;0")/$C25),"N/A")</f>
        <v>N/A</v>
      </c>
      <c r="G25" s="28" t="str">
        <f>IFERROR(IF(COUNTIFS(INVENTORY!$J:$J,$A25,INVENTORY!$D:$D,$B25, INVENTORY!#REF!,"&gt;0")/$C25=1,"",COUNTIFS(INVENTORY!$J:$J,$A25,INVENTORY!$D:$D,$B25,INVENTORY!#REF!,"&gt;0")/$C25),"N/A")</f>
        <v>N/A</v>
      </c>
      <c r="H25" s="28" t="str">
        <f>IFERROR(IF(COUNTIFS(INVENTORY!$J:$J,$A25,INVENTORY!$D:$D,$B25, INVENTORY!#REF!,"&gt;0")/$C25=1,"",COUNTIFS(INVENTORY!$J:$J,$A25,INVENTORY!$D:$D,$B25,INVENTORY!#REF!,"&gt;0")/$C25),"N/A")</f>
        <v>N/A</v>
      </c>
    </row>
    <row r="26" spans="1:8" x14ac:dyDescent="0.3">
      <c r="A26" s="22" t="s">
        <v>396</v>
      </c>
      <c r="B26" s="24" t="s">
        <v>628</v>
      </c>
      <c r="C26" s="24">
        <f>COUNTIFS(INVENTORY!D:D,B26,INVENTORY!J:J,'IN STOCK%'!A26)</f>
        <v>3</v>
      </c>
      <c r="D26" s="28" t="str">
        <f>IFERROR(IF(COUNTIFS(INVENTORY!$J:$J,$A26,INVENTORY!$D:$D,$B26, INVENTORY!Q:Q,"&gt;0")/$C26=1,"",COUNTIFS(INVENTORY!$J:$J,$A26,INVENTORY!$D:$D,$B26,INVENTORY!Q:Q,"&gt;0")/$C26),"N/A")</f>
        <v/>
      </c>
      <c r="E26" s="28" t="str">
        <f>IFERROR(IF(COUNTIFS(INVENTORY!$J:$J,$A26,INVENTORY!$D:$D,$B26, INVENTORY!#REF!,"&gt;0")/$C26=1,"",COUNTIFS(INVENTORY!$J:$J,$A26,INVENTORY!$D:$D,$B26,INVENTORY!#REF!,"&gt;0")/$C26),"N/A")</f>
        <v>N/A</v>
      </c>
      <c r="F26" s="28" t="str">
        <f>IFERROR(IF(COUNTIFS(INVENTORY!$J:$J,$A26,INVENTORY!$D:$D,$B26, INVENTORY!#REF!,"&gt;0")/$C26=1,"",COUNTIFS(INVENTORY!$J:$J,$A26,INVENTORY!$D:$D,$B26,INVENTORY!#REF!,"&gt;0")/$C26),"N/A")</f>
        <v>N/A</v>
      </c>
      <c r="G26" s="28" t="str">
        <f>IFERROR(IF(COUNTIFS(INVENTORY!$J:$J,$A26,INVENTORY!$D:$D,$B26, INVENTORY!#REF!,"&gt;0")/$C26=1,"",COUNTIFS(INVENTORY!$J:$J,$A26,INVENTORY!$D:$D,$B26,INVENTORY!#REF!,"&gt;0")/$C26),"N/A")</f>
        <v>N/A</v>
      </c>
      <c r="H26" s="28" t="str">
        <f>IFERROR(IF(COUNTIFS(INVENTORY!$J:$J,$A26,INVENTORY!$D:$D,$B26, INVENTORY!#REF!,"&gt;0")/$C26=1,"",COUNTIFS(INVENTORY!$J:$J,$A26,INVENTORY!$D:$D,$B26,INVENTORY!#REF!,"&gt;0")/$C26),"N/A")</f>
        <v>N/A</v>
      </c>
    </row>
    <row r="27" spans="1:8" x14ac:dyDescent="0.3">
      <c r="A27" s="22" t="s">
        <v>397</v>
      </c>
      <c r="B27" s="24" t="s">
        <v>628</v>
      </c>
      <c r="C27" s="24">
        <f>COUNTIFS(INVENTORY!D:D,B27,INVENTORY!J:J,'IN STOCK%'!A27)</f>
        <v>2</v>
      </c>
      <c r="D27" s="28" t="str">
        <f>IFERROR(IF(COUNTIFS(INVENTORY!$J:$J,$A27,INVENTORY!$D:$D,$B27, INVENTORY!Q:Q,"&gt;0")/$C27=1,"",COUNTIFS(INVENTORY!$J:$J,$A27,INVENTORY!$D:$D,$B27,INVENTORY!Q:Q,"&gt;0")/$C27),"N/A")</f>
        <v/>
      </c>
      <c r="E27" s="28" t="str">
        <f>IFERROR(IF(COUNTIFS(INVENTORY!$J:$J,$A27,INVENTORY!$D:$D,$B27, INVENTORY!#REF!,"&gt;0")/$C27=1,"",COUNTIFS(INVENTORY!$J:$J,$A27,INVENTORY!$D:$D,$B27,INVENTORY!#REF!,"&gt;0")/$C27),"N/A")</f>
        <v>N/A</v>
      </c>
      <c r="F27" s="28" t="str">
        <f>IFERROR(IF(COUNTIFS(INVENTORY!$J:$J,$A27,INVENTORY!$D:$D,$B27, INVENTORY!#REF!,"&gt;0")/$C27=1,"",COUNTIFS(INVENTORY!$J:$J,$A27,INVENTORY!$D:$D,$B27,INVENTORY!#REF!,"&gt;0")/$C27),"N/A")</f>
        <v>N/A</v>
      </c>
      <c r="G27" s="28" t="str">
        <f>IFERROR(IF(COUNTIFS(INVENTORY!$J:$J,$A27,INVENTORY!$D:$D,$B27, INVENTORY!#REF!,"&gt;0")/$C27=1,"",COUNTIFS(INVENTORY!$J:$J,$A27,INVENTORY!$D:$D,$B27,INVENTORY!#REF!,"&gt;0")/$C27),"N/A")</f>
        <v>N/A</v>
      </c>
      <c r="H27" s="28" t="str">
        <f>IFERROR(IF(COUNTIFS(INVENTORY!$J:$J,$A27,INVENTORY!$D:$D,$B27, INVENTORY!#REF!,"&gt;0")/$C27=1,"",COUNTIFS(INVENTORY!$J:$J,$A27,INVENTORY!$D:$D,$B27,INVENTORY!#REF!,"&gt;0")/$C27),"N/A")</f>
        <v>N/A</v>
      </c>
    </row>
    <row r="28" spans="1:8" x14ac:dyDescent="0.3">
      <c r="A28" s="22" t="s">
        <v>401</v>
      </c>
      <c r="B28" s="24" t="s">
        <v>628</v>
      </c>
      <c r="C28" s="24">
        <v>2</v>
      </c>
      <c r="D28" s="28">
        <f>IFERROR(IF(COUNTIFS(INVENTORY!$J:$J,$A28,INVENTORY!$D:$D,$B28, INVENTORY!Q:Q,"&gt;0")/$C28=1,"",COUNTIFS(INVENTORY!$J:$J,$A28,INVENTORY!$D:$D,$B28,INVENTORY!Q:Q,"&gt;0")/$C28),"N/A")</f>
        <v>0</v>
      </c>
      <c r="E28" s="28" t="str">
        <f>IFERROR(IF(COUNTIFS(INVENTORY!$J:$J,$A28,INVENTORY!$D:$D,$B28, INVENTORY!#REF!,"&gt;0")/$C28=1,"",COUNTIFS(INVENTORY!$J:$J,$A28,INVENTORY!$D:$D,$B28,INVENTORY!#REF!,"&gt;0")/$C28),"N/A")</f>
        <v>N/A</v>
      </c>
      <c r="F28" s="28" t="str">
        <f>IFERROR(IF(COUNTIFS(INVENTORY!$J:$J,$A28,INVENTORY!$D:$D,$B28, INVENTORY!#REF!,"&gt;0")/$C28=1,"",COUNTIFS(INVENTORY!$J:$J,$A28,INVENTORY!$D:$D,$B28,INVENTORY!#REF!,"&gt;0")/$C28),"N/A")</f>
        <v>N/A</v>
      </c>
      <c r="G28" s="28" t="str">
        <f>IFERROR(IF(COUNTIFS(INVENTORY!$J:$J,$A28,INVENTORY!$D:$D,$B28, INVENTORY!#REF!,"&gt;0")/$C28=1,"",COUNTIFS(INVENTORY!$J:$J,$A28,INVENTORY!$D:$D,$B28,INVENTORY!#REF!,"&gt;0")/$C28),"N/A")</f>
        <v>N/A</v>
      </c>
      <c r="H28" s="28" t="str">
        <f>IFERROR(IF(COUNTIFS(INVENTORY!$J:$J,$A28,INVENTORY!$D:$D,$B28, INVENTORY!#REF!,"&gt;0")/$C28=1,"",COUNTIFS(INVENTORY!$J:$J,$A28,INVENTORY!$D:$D,$B28,INVENTORY!#REF!,"&gt;0")/$C28),"N/A")</f>
        <v>N/A</v>
      </c>
    </row>
    <row r="29" spans="1:8" x14ac:dyDescent="0.3">
      <c r="A29" s="22" t="s">
        <v>400</v>
      </c>
      <c r="B29" s="24" t="s">
        <v>628</v>
      </c>
      <c r="C29" s="24">
        <v>21</v>
      </c>
      <c r="D29" s="28">
        <f>IFERROR(IF(COUNTIFS(INVENTORY!$J:$J,$A29,INVENTORY!$D:$D,$B29, INVENTORY!Q:Q,"&gt;0")/$C29=1,"",COUNTIFS(INVENTORY!$J:$J,$A29,INVENTORY!$D:$D,$B29,INVENTORY!Q:Q,"&gt;0")/$C29),"N/A")</f>
        <v>0.90476190476190477</v>
      </c>
      <c r="E29" s="28" t="str">
        <f>IFERROR(IF(COUNTIFS(INVENTORY!$J:$J,$A29,INVENTORY!$D:$D,$B29, INVENTORY!#REF!,"&gt;0")/$C29=1,"",COUNTIFS(INVENTORY!$J:$J,$A29,INVENTORY!$D:$D,$B29,INVENTORY!#REF!,"&gt;0")/$C29),"N/A")</f>
        <v>N/A</v>
      </c>
      <c r="F29" s="28" t="str">
        <f>IFERROR(IF(COUNTIFS(INVENTORY!$J:$J,$A29,INVENTORY!$D:$D,$B29, INVENTORY!#REF!,"&gt;0")/$C29=1,"",COUNTIFS(INVENTORY!$J:$J,$A29,INVENTORY!$D:$D,$B29,INVENTORY!#REF!,"&gt;0")/$C29),"N/A")</f>
        <v>N/A</v>
      </c>
      <c r="G29" s="28" t="str">
        <f>IFERROR(IF(COUNTIFS(INVENTORY!$J:$J,$A29,INVENTORY!$D:$D,$B29, INVENTORY!#REF!,"&gt;0")/$C29=1,"",COUNTIFS(INVENTORY!$J:$J,$A29,INVENTORY!$D:$D,$B29,INVENTORY!#REF!,"&gt;0")/$C29),"N/A")</f>
        <v>N/A</v>
      </c>
      <c r="H29" s="28" t="str">
        <f>IFERROR(IF(COUNTIFS(INVENTORY!$J:$J,$A29,INVENTORY!$D:$D,$B29, INVENTORY!#REF!,"&gt;0")/$C29=1,"",COUNTIFS(INVENTORY!$J:$J,$A29,INVENTORY!$D:$D,$B29,INVENTORY!#REF!,"&gt;0")/$C29),"N/A")</f>
        <v>N/A</v>
      </c>
    </row>
    <row r="30" spans="1:8" x14ac:dyDescent="0.3">
      <c r="A30" s="22" t="s">
        <v>408</v>
      </c>
      <c r="B30" s="24" t="s">
        <v>628</v>
      </c>
      <c r="C30" s="24">
        <v>5</v>
      </c>
      <c r="D30" s="28" t="str">
        <f>IFERROR(IF(COUNTIFS(INVENTORY!$J:$J,$A30,INVENTORY!$D:$D,$B30, INVENTORY!Q:Q,"&gt;0")/$C30=1,"",COUNTIFS(INVENTORY!$J:$J,$A30,INVENTORY!$D:$D,$B30,INVENTORY!Q:Q,"&gt;0")/$C30),"N/A")</f>
        <v/>
      </c>
      <c r="E30" s="28" t="str">
        <f>IFERROR(IF(COUNTIFS(INVENTORY!$J:$J,$A30,INVENTORY!$D:$D,$B30, INVENTORY!#REF!,"&gt;0")/$C30=1,"",COUNTIFS(INVENTORY!$J:$J,$A30,INVENTORY!$D:$D,$B30,INVENTORY!#REF!,"&gt;0")/$C30),"N/A")</f>
        <v>N/A</v>
      </c>
      <c r="F30" s="28" t="str">
        <f>IFERROR(IF(COUNTIFS(INVENTORY!$J:$J,$A30,INVENTORY!$D:$D,$B30, INVENTORY!#REF!,"&gt;0")/$C30=1,"",COUNTIFS(INVENTORY!$J:$J,$A30,INVENTORY!$D:$D,$B30,INVENTORY!#REF!,"&gt;0")/$C30),"N/A")</f>
        <v>N/A</v>
      </c>
      <c r="G30" s="28" t="str">
        <f>IFERROR(IF(COUNTIFS(INVENTORY!$J:$J,$A30,INVENTORY!$D:$D,$B30, INVENTORY!#REF!,"&gt;0")/$C30=1,"",COUNTIFS(INVENTORY!$J:$J,$A30,INVENTORY!$D:$D,$B30,INVENTORY!#REF!,"&gt;0")/$C30),"N/A")</f>
        <v>N/A</v>
      </c>
      <c r="H30" s="28" t="str">
        <f>IFERROR(IF(COUNTIFS(INVENTORY!$J:$J,$A30,INVENTORY!$D:$D,$B30, INVENTORY!#REF!,"&gt;0")/$C30=1,"",COUNTIFS(INVENTORY!$J:$J,$A30,INVENTORY!$D:$D,$B30,INVENTORY!#REF!,"&gt;0")/$C30),"N/A")</f>
        <v>N/A</v>
      </c>
    </row>
    <row r="31" spans="1:8" x14ac:dyDescent="0.3">
      <c r="A31" s="22" t="s">
        <v>409</v>
      </c>
      <c r="B31" s="24" t="s">
        <v>628</v>
      </c>
      <c r="C31" s="24">
        <f>COUNTIFS(INVENTORY!D:D,B31,INVENTORY!J:J,'IN STOCK%'!A31)</f>
        <v>3</v>
      </c>
      <c r="D31" s="28" t="str">
        <f>IFERROR(IF(COUNTIFS(INVENTORY!$J:$J,$A31,INVENTORY!$D:$D,$B31, INVENTORY!Q:Q,"&gt;0")/$C31=1,"",COUNTIFS(INVENTORY!$J:$J,$A31,INVENTORY!$D:$D,$B31,INVENTORY!Q:Q,"&gt;0")/$C31),"N/A")</f>
        <v/>
      </c>
      <c r="E31" s="28" t="str">
        <f>IFERROR(IF(COUNTIFS(INVENTORY!$J:$J,$A31,INVENTORY!$D:$D,$B31, INVENTORY!#REF!,"&gt;0")/$C31=1,"",COUNTIFS(INVENTORY!$J:$J,$A31,INVENTORY!$D:$D,$B31,INVENTORY!#REF!,"&gt;0")/$C31),"N/A")</f>
        <v>N/A</v>
      </c>
      <c r="F31" s="28" t="str">
        <f>IFERROR(IF(COUNTIFS(INVENTORY!$J:$J,$A31,INVENTORY!$D:$D,$B31, INVENTORY!#REF!,"&gt;0")/$C31=1,"",COUNTIFS(INVENTORY!$J:$J,$A31,INVENTORY!$D:$D,$B31,INVENTORY!#REF!,"&gt;0")/$C31),"N/A")</f>
        <v>N/A</v>
      </c>
      <c r="G31" s="28" t="str">
        <f>IFERROR(IF(COUNTIFS(INVENTORY!$J:$J,$A31,INVENTORY!$D:$D,$B31, INVENTORY!#REF!,"&gt;0")/$C31=1,"",COUNTIFS(INVENTORY!$J:$J,$A31,INVENTORY!$D:$D,$B31,INVENTORY!#REF!,"&gt;0")/$C31),"N/A")</f>
        <v>N/A</v>
      </c>
      <c r="H31" s="28" t="str">
        <f>IFERROR(IF(COUNTIFS(INVENTORY!$J:$J,$A31,INVENTORY!$D:$D,$B31, INVENTORY!#REF!,"&gt;0")/$C31=1,"",COUNTIFS(INVENTORY!$J:$J,$A31,INVENTORY!$D:$D,$B31,INVENTORY!#REF!,"&gt;0")/$C31),"N/A")</f>
        <v>N/A</v>
      </c>
    </row>
    <row r="32" spans="1:8" x14ac:dyDescent="0.3">
      <c r="A32" s="22" t="s">
        <v>119</v>
      </c>
      <c r="B32" s="24" t="s">
        <v>628</v>
      </c>
      <c r="C32" s="24">
        <v>6</v>
      </c>
      <c r="D32" s="28" t="str">
        <f>IFERROR(IF(COUNTIFS(INVENTORY!$J:$J,$A32,INVENTORY!$D:$D,$B32, INVENTORY!Q:Q,"&gt;0")/$C32=1,"",COUNTIFS(INVENTORY!$J:$J,$A32,INVENTORY!$D:$D,$B32,INVENTORY!Q:Q,"&gt;0")/$C32),"N/A")</f>
        <v/>
      </c>
      <c r="E32" s="28" t="str">
        <f>IFERROR(IF(COUNTIFS(INVENTORY!$J:$J,$A32,INVENTORY!$D:$D,$B32, INVENTORY!#REF!,"&gt;0")/$C32=1,"",COUNTIFS(INVENTORY!$J:$J,$A32,INVENTORY!$D:$D,$B32,INVENTORY!#REF!,"&gt;0")/$C32),"N/A")</f>
        <v>N/A</v>
      </c>
      <c r="F32" s="28" t="str">
        <f>IFERROR(IF(COUNTIFS(INVENTORY!$J:$J,$A32,INVENTORY!$D:$D,$B32, INVENTORY!#REF!,"&gt;0")/$C32=1,"",COUNTIFS(INVENTORY!$J:$J,$A32,INVENTORY!$D:$D,$B32,INVENTORY!#REF!,"&gt;0")/$C32),"N/A")</f>
        <v>N/A</v>
      </c>
      <c r="G32" s="28" t="str">
        <f>IFERROR(IF(COUNTIFS(INVENTORY!$J:$J,$A32,INVENTORY!$D:$D,$B32, INVENTORY!#REF!,"&gt;0")/$C32=1,"",COUNTIFS(INVENTORY!$J:$J,$A32,INVENTORY!$D:$D,$B32,INVENTORY!#REF!,"&gt;0")/$C32),"N/A")</f>
        <v>N/A</v>
      </c>
      <c r="H32" s="28" t="str">
        <f>IFERROR(IF(COUNTIFS(INVENTORY!$J:$J,$A32,INVENTORY!$D:$D,$B32, INVENTORY!#REF!,"&gt;0")/$C32=1,"",COUNTIFS(INVENTORY!$J:$J,$A32,INVENTORY!$D:$D,$B32,INVENTORY!#REF!,"&gt;0")/$C32),"N/A")</f>
        <v>N/A</v>
      </c>
    </row>
    <row r="33" spans="1:8" x14ac:dyDescent="0.3">
      <c r="A33" s="22" t="s">
        <v>1670</v>
      </c>
      <c r="B33" s="24" t="s">
        <v>628</v>
      </c>
      <c r="C33" s="24">
        <f>COUNTIFS(INVENTORY!D:D,B33,INVENTORY!J:J,'IN STOCK%'!A33)</f>
        <v>21</v>
      </c>
      <c r="D33" s="28">
        <f>IFERROR(IF(COUNTIFS(INVENTORY!$J:$J,$A33,INVENTORY!$D:$D,$B33, INVENTORY!Q:Q,"&gt;0")/$C33=1,"",COUNTIFS(INVENTORY!$J:$J,$A33,INVENTORY!$D:$D,$B33,INVENTORY!Q:Q,"&gt;0")/$C33),"N/A")</f>
        <v>0.7142857142857143</v>
      </c>
      <c r="E33" s="28" t="str">
        <f>IFERROR(IF(COUNTIFS(INVENTORY!$J:$J,$A33,INVENTORY!$D:$D,$B33, INVENTORY!#REF!,"&gt;0")/$C33=1,"",COUNTIFS(INVENTORY!$J:$J,$A33,INVENTORY!$D:$D,$B33,INVENTORY!#REF!,"&gt;0")/$C33),"N/A")</f>
        <v>N/A</v>
      </c>
      <c r="F33" s="28" t="str">
        <f>IFERROR(IF(COUNTIFS(INVENTORY!$J:$J,$A33,INVENTORY!$D:$D,$B33, INVENTORY!#REF!,"&gt;0")/$C33=1,"",COUNTIFS(INVENTORY!$J:$J,$A33,INVENTORY!$D:$D,$B33,INVENTORY!#REF!,"&gt;0")/$C33),"N/A")</f>
        <v>N/A</v>
      </c>
      <c r="G33" s="28" t="str">
        <f>IFERROR(IF(COUNTIFS(INVENTORY!$J:$J,$A33,INVENTORY!$D:$D,$B33, INVENTORY!#REF!,"&gt;0")/$C33=1,"",COUNTIFS(INVENTORY!$J:$J,$A33,INVENTORY!$D:$D,$B33,INVENTORY!#REF!,"&gt;0")/$C33),"N/A")</f>
        <v>N/A</v>
      </c>
      <c r="H33" s="28" t="str">
        <f>IFERROR(IF(COUNTIFS(INVENTORY!$J:$J,$A33,INVENTORY!$D:$D,$B33, INVENTORY!#REF!,"&gt;0")/$C33=1,"",COUNTIFS(INVENTORY!$J:$J,$A33,INVENTORY!$D:$D,$B33,INVENTORY!#REF!,"&gt;0")/$C33),"N/A")</f>
        <v>N/A</v>
      </c>
    </row>
    <row r="35" spans="1:8" x14ac:dyDescent="0.3">
      <c r="A35" s="26" t="s">
        <v>1407</v>
      </c>
    </row>
    <row r="36" spans="1:8" x14ac:dyDescent="0.3">
      <c r="A36" s="26"/>
      <c r="B36" s="33">
        <v>1</v>
      </c>
    </row>
    <row r="37" spans="1:8" x14ac:dyDescent="0.3">
      <c r="A37" s="27" t="s">
        <v>1408</v>
      </c>
      <c r="B37" s="2" t="s">
        <v>1409</v>
      </c>
    </row>
    <row r="38" spans="1:8" x14ac:dyDescent="0.3">
      <c r="A38" s="32" t="s">
        <v>1531</v>
      </c>
      <c r="B38" s="2" t="s">
        <v>1412</v>
      </c>
    </row>
    <row r="39" spans="1:8" x14ac:dyDescent="0.3">
      <c r="A39" s="29" t="s">
        <v>1410</v>
      </c>
      <c r="B39" s="2" t="s">
        <v>1413</v>
      </c>
    </row>
    <row r="40" spans="1:8" x14ac:dyDescent="0.3">
      <c r="A40" s="30" t="s">
        <v>1411</v>
      </c>
      <c r="B40" s="2" t="s">
        <v>1414</v>
      </c>
    </row>
  </sheetData>
  <autoFilter ref="A2:C33" xr:uid="{958C2036-D572-44EA-BBF1-2E423D18329E}"/>
  <mergeCells count="1">
    <mergeCell ref="A1:B1"/>
  </mergeCells>
  <conditionalFormatting sqref="D3:H33 A37">
    <cfRule type="cellIs" dxfId="7" priority="13" operator="between">
      <formula>0</formula>
      <formula>0.69</formula>
    </cfRule>
    <cfRule type="cellIs" dxfId="6" priority="14" operator="between">
      <formula>0.7</formula>
      <formula>0.79999</formula>
    </cfRule>
    <cfRule type="cellIs" dxfId="5" priority="15" operator="between">
      <formula>0.8</formula>
      <formula>0.89999</formula>
    </cfRule>
    <cfRule type="cellIs" dxfId="4" priority="16" operator="between">
      <formula>0.9</formula>
      <formula>1</formula>
    </cfRule>
  </conditionalFormatting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34BB5-6CF8-445E-AEEE-E30693BF5D03}">
  <sheetPr>
    <tabColor rgb="FFFFCCFF"/>
  </sheetPr>
  <dimension ref="A1:H41"/>
  <sheetViews>
    <sheetView workbookViewId="0">
      <selection activeCell="G9" sqref="G9"/>
    </sheetView>
  </sheetViews>
  <sheetFormatPr defaultRowHeight="14.4" x14ac:dyDescent="0.3"/>
  <cols>
    <col min="1" max="1" width="21.44140625" style="23" bestFit="1" customWidth="1"/>
    <col min="2" max="2" width="14.109375" style="2" customWidth="1"/>
    <col min="3" max="3" width="12" style="2" bestFit="1" customWidth="1"/>
    <col min="4" max="8" width="10.6640625" bestFit="1" customWidth="1"/>
  </cols>
  <sheetData>
    <row r="1" spans="1:8" ht="16.5" customHeight="1" x14ac:dyDescent="0.3">
      <c r="A1" s="57" t="s">
        <v>1535</v>
      </c>
      <c r="B1" s="57"/>
    </row>
    <row r="2" spans="1:8" x14ac:dyDescent="0.3">
      <c r="A2" s="24" t="s">
        <v>393</v>
      </c>
      <c r="B2" s="24" t="s">
        <v>1403</v>
      </c>
      <c r="C2" s="24" t="s">
        <v>1404</v>
      </c>
      <c r="D2" s="25">
        <v>45947</v>
      </c>
      <c r="E2" s="25">
        <v>45950</v>
      </c>
      <c r="F2" s="25">
        <v>45951</v>
      </c>
      <c r="G2" s="25">
        <v>45952</v>
      </c>
      <c r="H2" s="25">
        <v>45953</v>
      </c>
    </row>
    <row r="3" spans="1:8" x14ac:dyDescent="0.3">
      <c r="A3" s="22" t="s">
        <v>402</v>
      </c>
      <c r="B3" s="24" t="s">
        <v>624</v>
      </c>
      <c r="C3" s="24">
        <v>24</v>
      </c>
      <c r="D3" s="28" t="str">
        <f>IFERROR(IF(COUNTIFS(INVENTORY!$J:$J,$A3,INVENTORY!$D:$D,$B3,INVENTORY!#REF!,"&gt;0")/$C3=1,"",1-COUNTIFS(INVENTORY!$J:$J,$A3,INVENTORY!$D:$D,$B3,INVENTORY!#REF!,"&gt;0")/$C3),"N/A")</f>
        <v>N/A</v>
      </c>
      <c r="E3" s="28">
        <v>8.333333333333337E-2</v>
      </c>
      <c r="F3" s="28">
        <v>8.333333333333337E-2</v>
      </c>
      <c r="G3" s="28">
        <v>4.166666666666663E-2</v>
      </c>
      <c r="H3" s="28" t="str">
        <f>IFERROR(IF(COUNTIFS(INVENTORY!$J:$J,$A3,INVENTORY!$D:$D,$B3,INVENTORY!#REF!,"&gt;0")/$C3=1,"",1-COUNTIFS(INVENTORY!$J:$J,$A3,INVENTORY!$D:$D,$B3,INVENTORY!#REF!,"&gt;0")/$C3),"N/A")</f>
        <v>N/A</v>
      </c>
    </row>
    <row r="4" spans="1:8" x14ac:dyDescent="0.3">
      <c r="A4" s="22" t="s">
        <v>403</v>
      </c>
      <c r="B4" s="24" t="s">
        <v>624</v>
      </c>
      <c r="C4" s="24">
        <v>24</v>
      </c>
      <c r="D4" s="28" t="str">
        <f>IFERROR(IF(COUNTIFS(INVENTORY!$J:$J,$A4,INVENTORY!$D:$D,$B4,INVENTORY!#REF!,"&gt;0")/$C4=1,"",1-COUNTIFS(INVENTORY!$J:$J,$A4,INVENTORY!$D:$D,$B4,INVENTORY!#REF!,"&gt;0")/$C4),"N/A")</f>
        <v>N/A</v>
      </c>
      <c r="E4" s="28">
        <v>4.166666666666663E-2</v>
      </c>
      <c r="F4" s="28">
        <v>4.166666666666663E-2</v>
      </c>
      <c r="G4" s="28">
        <v>4.166666666666663E-2</v>
      </c>
      <c r="H4" s="28" t="str">
        <f>IFERROR(IF(COUNTIFS(INVENTORY!$J:$J,$A4,INVENTORY!$D:$D,$B4,INVENTORY!#REF!,"&gt;0")/$C4=1,"",1-COUNTIFS(INVENTORY!$J:$J,$A4,INVENTORY!$D:$D,$B4,INVENTORY!#REF!,"&gt;0")/$C4),"N/A")</f>
        <v>N/A</v>
      </c>
    </row>
    <row r="5" spans="1:8" x14ac:dyDescent="0.3">
      <c r="A5" s="22" t="s">
        <v>404</v>
      </c>
      <c r="B5" s="24" t="s">
        <v>624</v>
      </c>
      <c r="C5" s="24">
        <v>24</v>
      </c>
      <c r="D5" s="28" t="str">
        <f>IFERROR(IF(COUNTIFS(INVENTORY!$J:$J,$A5,INVENTORY!$D:$D,$B5,INVENTORY!#REF!,"&gt;0")/$C5=1,"",1-COUNTIFS(INVENTORY!$J:$J,$A5,INVENTORY!$D:$D,$B5,INVENTORY!#REF!,"&gt;0")/$C5),"N/A")</f>
        <v>N/A</v>
      </c>
      <c r="E5" s="28">
        <v>4.166666666666663E-2</v>
      </c>
      <c r="F5" s="28">
        <v>4.166666666666663E-2</v>
      </c>
      <c r="G5" s="28">
        <v>4.166666666666663E-2</v>
      </c>
      <c r="H5" s="28" t="str">
        <f>IFERROR(IF(COUNTIFS(INVENTORY!$J:$J,$A5,INVENTORY!$D:$D,$B5,INVENTORY!#REF!,"&gt;0")/$C5=1,"",1-COUNTIFS(INVENTORY!$J:$J,$A5,INVENTORY!$D:$D,$B5,INVENTORY!#REF!,"&gt;0")/$C5),"N/A")</f>
        <v>N/A</v>
      </c>
    </row>
    <row r="6" spans="1:8" x14ac:dyDescent="0.3">
      <c r="A6" s="22" t="s">
        <v>398</v>
      </c>
      <c r="B6" s="24" t="s">
        <v>624</v>
      </c>
      <c r="C6" s="24">
        <v>24</v>
      </c>
      <c r="D6" s="28" t="str">
        <f>IFERROR(IF(COUNTIFS(INVENTORY!$J:$J,$A6,INVENTORY!$D:$D,$B6,INVENTORY!#REF!,"&gt;0")/$C6=1,"",1-COUNTIFS(INVENTORY!$J:$J,$A6,INVENTORY!$D:$D,$B6,INVENTORY!#REF!,"&gt;0")/$C6),"N/A")</f>
        <v>N/A</v>
      </c>
      <c r="E6" s="28">
        <v>4.166666666666663E-2</v>
      </c>
      <c r="F6" s="28">
        <v>4.166666666666663E-2</v>
      </c>
      <c r="G6" s="28">
        <v>4.166666666666663E-2</v>
      </c>
      <c r="H6" s="28" t="str">
        <f>IFERROR(IF(COUNTIFS(INVENTORY!$J:$J,$A6,INVENTORY!$D:$D,$B6,INVENTORY!#REF!,"&gt;0")/$C6=1,"",1-COUNTIFS(INVENTORY!$J:$J,$A6,INVENTORY!$D:$D,$B6,INVENTORY!#REF!,"&gt;0")/$C6),"N/A")</f>
        <v>N/A</v>
      </c>
    </row>
    <row r="7" spans="1:8" x14ac:dyDescent="0.3">
      <c r="A7" s="22" t="s">
        <v>399</v>
      </c>
      <c r="B7" s="24" t="s">
        <v>624</v>
      </c>
      <c r="C7" s="24">
        <v>24</v>
      </c>
      <c r="D7" s="28" t="str">
        <f>IFERROR(IF(COUNTIFS(INVENTORY!$J:$J,$A7,INVENTORY!$D:$D,$B7,INVENTORY!#REF!,"&gt;0")/$C7=1,"",1-COUNTIFS(INVENTORY!$J:$J,$A7,INVENTORY!$D:$D,$B7,INVENTORY!#REF!,"&gt;0")/$C7),"N/A")</f>
        <v>N/A</v>
      </c>
      <c r="E7" s="28" t="s">
        <v>1608</v>
      </c>
      <c r="F7" s="28" t="s">
        <v>1608</v>
      </c>
      <c r="G7" s="28" t="s">
        <v>1608</v>
      </c>
      <c r="H7" s="28" t="str">
        <f>IFERROR(IF(COUNTIFS(INVENTORY!$J:$J,$A7,INVENTORY!$D:$D,$B7,INVENTORY!#REF!,"&gt;0")/$C7=1,"",1-COUNTIFS(INVENTORY!$J:$J,$A7,INVENTORY!$D:$D,$B7,INVENTORY!#REF!,"&gt;0")/$C7),"N/A")</f>
        <v>N/A</v>
      </c>
    </row>
    <row r="8" spans="1:8" x14ac:dyDescent="0.3">
      <c r="A8" s="22" t="s">
        <v>396</v>
      </c>
      <c r="B8" s="24" t="s">
        <v>624</v>
      </c>
      <c r="C8" s="24">
        <v>6</v>
      </c>
      <c r="D8" s="28" t="str">
        <f>IFERROR(IF(COUNTIFS(INVENTORY!$J:$J,$A8,INVENTORY!$D:$D,$B8,INVENTORY!#REF!,"&gt;0")/$C8=1,"",1-COUNTIFS(INVENTORY!$J:$J,$A8,INVENTORY!$D:$D,$B8,INVENTORY!#REF!,"&gt;0")/$C8),"N/A")</f>
        <v>N/A</v>
      </c>
      <c r="E8" s="28" t="s">
        <v>1608</v>
      </c>
      <c r="F8" s="28" t="s">
        <v>1608</v>
      </c>
      <c r="G8" s="28" t="s">
        <v>1608</v>
      </c>
      <c r="H8" s="28" t="str">
        <f>IFERROR(IF(COUNTIFS(INVENTORY!$J:$J,$A8,INVENTORY!$D:$D,$B8,INVENTORY!#REF!,"&gt;0")/$C8=1,"",1-COUNTIFS(INVENTORY!$J:$J,$A8,INVENTORY!$D:$D,$B8,INVENTORY!#REF!,"&gt;0")/$C8),"N/A")</f>
        <v>N/A</v>
      </c>
    </row>
    <row r="9" spans="1:8" x14ac:dyDescent="0.3">
      <c r="A9" s="22" t="s">
        <v>397</v>
      </c>
      <c r="B9" s="24" t="s">
        <v>624</v>
      </c>
      <c r="C9" s="24">
        <v>5</v>
      </c>
      <c r="D9" s="28" t="str">
        <f>IFERROR(IF(COUNTIFS(INVENTORY!$J:$J,$A9,INVENTORY!$D:$D,$B9,INVENTORY!#REF!,"&gt;0")/$C9=1,"",1-COUNTIFS(INVENTORY!$J:$J,$A9,INVENTORY!$D:$D,$B9,INVENTORY!#REF!,"&gt;0")/$C9),"N/A")</f>
        <v>N/A</v>
      </c>
      <c r="E9" s="28" t="s">
        <v>1608</v>
      </c>
      <c r="F9" s="28" t="s">
        <v>1608</v>
      </c>
      <c r="G9" s="28" t="s">
        <v>1608</v>
      </c>
      <c r="H9" s="28" t="str">
        <f>IFERROR(IF(COUNTIFS(INVENTORY!$J:$J,$A9,INVENTORY!$D:$D,$B9,INVENTORY!#REF!,"&gt;0")/$C9=1,"",1-COUNTIFS(INVENTORY!$J:$J,$A9,INVENTORY!$D:$D,$B9,INVENTORY!#REF!,"&gt;0")/$C9),"N/A")</f>
        <v>N/A</v>
      </c>
    </row>
    <row r="10" spans="1:8" x14ac:dyDescent="0.3">
      <c r="A10" s="22" t="s">
        <v>401</v>
      </c>
      <c r="B10" s="24" t="s">
        <v>624</v>
      </c>
      <c r="C10" s="24">
        <v>10</v>
      </c>
      <c r="D10" s="28" t="str">
        <f>IFERROR(IF(COUNTIFS(INVENTORY!$J:$J,$A10,INVENTORY!$D:$D,$B10,INVENTORY!#REF!,"&gt;0")/$C10=1,"",1-COUNTIFS(INVENTORY!$J:$J,$A10,INVENTORY!$D:$D,$B10,INVENTORY!#REF!,"&gt;0")/$C10),"N/A")</f>
        <v>N/A</v>
      </c>
      <c r="E10" s="28">
        <v>0.7</v>
      </c>
      <c r="F10" s="28">
        <v>0.7</v>
      </c>
      <c r="G10" s="28">
        <v>0.7</v>
      </c>
      <c r="H10" s="28" t="str">
        <f>IFERROR(IF(COUNTIFS(INVENTORY!$J:$J,$A10,INVENTORY!$D:$D,$B10,INVENTORY!#REF!,"&gt;0")/$C10=1,"",1-COUNTIFS(INVENTORY!$J:$J,$A10,INVENTORY!$D:$D,$B10,INVENTORY!#REF!,"&gt;0")/$C10),"N/A")</f>
        <v>N/A</v>
      </c>
    </row>
    <row r="11" spans="1:8" x14ac:dyDescent="0.3">
      <c r="A11" s="22" t="s">
        <v>400</v>
      </c>
      <c r="B11" s="24" t="s">
        <v>624</v>
      </c>
      <c r="C11" s="24">
        <v>20</v>
      </c>
      <c r="D11" s="28" t="str">
        <f>IFERROR(IF(COUNTIFS(INVENTORY!$J:$J,$A11,INVENTORY!$D:$D,$B11,INVENTORY!#REF!,"&gt;0")/$C11=1,"",1-COUNTIFS(INVENTORY!$J:$J,$A11,INVENTORY!$D:$D,$B11,INVENTORY!#REF!,"&gt;0")/$C11),"N/A")</f>
        <v>N/A</v>
      </c>
      <c r="E11" s="28">
        <v>5.0000000000000044E-2</v>
      </c>
      <c r="F11" s="28" t="s">
        <v>1608</v>
      </c>
      <c r="G11" s="28">
        <v>5.0000000000000044E-2</v>
      </c>
      <c r="H11" s="28" t="str">
        <f>IFERROR(IF(COUNTIFS(INVENTORY!$J:$J,$A11,INVENTORY!$D:$D,$B11,INVENTORY!#REF!,"&gt;0")/$C11=1,"",1-COUNTIFS(INVENTORY!$J:$J,$A11,INVENTORY!$D:$D,$B11,INVENTORY!#REF!,"&gt;0")/$C11),"N/A")</f>
        <v>N/A</v>
      </c>
    </row>
    <row r="12" spans="1:8" x14ac:dyDescent="0.3">
      <c r="A12" s="22" t="s">
        <v>408</v>
      </c>
      <c r="B12" s="24" t="s">
        <v>624</v>
      </c>
      <c r="C12" s="24">
        <v>28</v>
      </c>
      <c r="D12" s="28" t="str">
        <f>IFERROR(IF(COUNTIFS(INVENTORY!$J:$J,$A12,INVENTORY!$D:$D,$B12,INVENTORY!#REF!,"&gt;0")/$C12=1,"",1-COUNTIFS(INVENTORY!$J:$J,$A12,INVENTORY!$D:$D,$B12,INVENTORY!#REF!,"&gt;0")/$C12),"N/A")</f>
        <v>N/A</v>
      </c>
      <c r="E12" s="28">
        <v>0.1785714285714286</v>
      </c>
      <c r="F12" s="28">
        <v>0.1785714285714286</v>
      </c>
      <c r="G12" s="28">
        <v>0.1785714285714286</v>
      </c>
      <c r="H12" s="28" t="str">
        <f>IFERROR(IF(COUNTIFS(INVENTORY!$J:$J,$A12,INVENTORY!$D:$D,$B12,INVENTORY!#REF!,"&gt;0")/$C12=1,"",1-COUNTIFS(INVENTORY!$J:$J,$A12,INVENTORY!$D:$D,$B12,INVENTORY!#REF!,"&gt;0")/$C12),"N/A")</f>
        <v>N/A</v>
      </c>
    </row>
    <row r="13" spans="1:8" x14ac:dyDescent="0.3">
      <c r="A13" s="22" t="s">
        <v>409</v>
      </c>
      <c r="B13" s="24" t="s">
        <v>624</v>
      </c>
      <c r="C13" s="24">
        <v>20</v>
      </c>
      <c r="D13" s="28" t="str">
        <f>IFERROR(IF(COUNTIFS(INVENTORY!$J:$J,$A13,INVENTORY!$D:$D,$B13,INVENTORY!#REF!,"&gt;0")/$C13=1,"",1-COUNTIFS(INVENTORY!$J:$J,$A13,INVENTORY!$D:$D,$B13,INVENTORY!#REF!,"&gt;0")/$C13),"N/A")</f>
        <v>N/A</v>
      </c>
      <c r="E13" s="28">
        <v>5.0000000000000044E-2</v>
      </c>
      <c r="F13" s="28" t="s">
        <v>1608</v>
      </c>
      <c r="G13" s="28" t="s">
        <v>1608</v>
      </c>
      <c r="H13" s="28" t="str">
        <f>IFERROR(IF(COUNTIFS(INVENTORY!$J:$J,$A13,INVENTORY!$D:$D,$B13,INVENTORY!#REF!,"&gt;0")/$C13=1,"",1-COUNTIFS(INVENTORY!$J:$J,$A13,INVENTORY!$D:$D,$B13,INVENTORY!#REF!,"&gt;0")/$C13),"N/A")</f>
        <v>N/A</v>
      </c>
    </row>
    <row r="14" spans="1:8" x14ac:dyDescent="0.3">
      <c r="A14" s="22" t="s">
        <v>405</v>
      </c>
      <c r="B14" s="24" t="s">
        <v>624</v>
      </c>
      <c r="C14" s="24">
        <v>30</v>
      </c>
      <c r="D14" s="28" t="str">
        <f>IFERROR(IF(COUNTIFS(INVENTORY!$J:$J,$A14,INVENTORY!$D:$D,$B14,INVENTORY!#REF!,"&gt;0")/$C14=1,"",1-COUNTIFS(INVENTORY!$J:$J,$A14,INVENTORY!$D:$D,$B14,INVENTORY!#REF!,"&gt;0")/$C14),"N/A")</f>
        <v>N/A</v>
      </c>
      <c r="E14" s="28">
        <v>3.3333333333333326E-2</v>
      </c>
      <c r="F14" s="28">
        <v>3.3333333333333326E-2</v>
      </c>
      <c r="G14" s="28">
        <v>3.3333333333333326E-2</v>
      </c>
      <c r="H14" s="28" t="str">
        <f>IFERROR(IF(COUNTIFS(INVENTORY!$J:$J,$A14,INVENTORY!$D:$D,$B14,INVENTORY!#REF!,"&gt;0")/$C14=1,"",1-COUNTIFS(INVENTORY!$J:$J,$A14,INVENTORY!$D:$D,$B14,INVENTORY!#REF!,"&gt;0")/$C14),"N/A")</f>
        <v>N/A</v>
      </c>
    </row>
    <row r="15" spans="1:8" x14ac:dyDescent="0.3">
      <c r="A15" s="22" t="s">
        <v>119</v>
      </c>
      <c r="B15" s="24" t="s">
        <v>624</v>
      </c>
      <c r="C15" s="24">
        <v>41</v>
      </c>
      <c r="D15" s="28" t="str">
        <f>IFERROR(IF(COUNTIFS(INVENTORY!$J:$J,$A15,INVENTORY!$D:$D,$B15,INVENTORY!#REF!,"&gt;0")/$C15=1,"",1-COUNTIFS(INVENTORY!$J:$J,$A15,INVENTORY!$D:$D,$B15,INVENTORY!#REF!,"&gt;0")/$C15),"N/A")</f>
        <v>N/A</v>
      </c>
      <c r="E15" s="28">
        <v>7.3170731707317027E-2</v>
      </c>
      <c r="F15" s="28">
        <v>7.3170731707317027E-2</v>
      </c>
      <c r="G15" s="28">
        <v>7.3170731707317027E-2</v>
      </c>
      <c r="H15" s="28" t="str">
        <f>IFERROR(IF(COUNTIFS(INVENTORY!$J:$J,$A15,INVENTORY!$D:$D,$B15,INVENTORY!#REF!,"&gt;0")/$C15=1,"",1-COUNTIFS(INVENTORY!$J:$J,$A15,INVENTORY!$D:$D,$B15,INVENTORY!#REF!,"&gt;0")/$C15),"N/A")</f>
        <v>N/A</v>
      </c>
    </row>
    <row r="16" spans="1:8" x14ac:dyDescent="0.3">
      <c r="A16" s="22" t="s">
        <v>1264</v>
      </c>
      <c r="B16" s="24" t="s">
        <v>624</v>
      </c>
      <c r="C16" s="24">
        <v>20</v>
      </c>
      <c r="D16" s="28" t="str">
        <f>IFERROR(IF(COUNTIFS(INVENTORY!$J:$J,$A16,INVENTORY!$D:$D,$B16,INVENTORY!#REF!,"&gt;0")/$C16=1,"",1-COUNTIFS(INVENTORY!$J:$J,$A16,INVENTORY!$D:$D,$B16,INVENTORY!#REF!,"&gt;0")/$C16),"N/A")</f>
        <v>N/A</v>
      </c>
      <c r="E16" s="28">
        <v>0.8</v>
      </c>
      <c r="F16" s="28">
        <v>0.8</v>
      </c>
      <c r="G16" s="28">
        <v>0.9</v>
      </c>
      <c r="H16" s="28" t="str">
        <f>IFERROR(IF(COUNTIFS(INVENTORY!$J:$J,$A16,INVENTORY!$D:$D,$B16,INVENTORY!#REF!,"&gt;0")/$C16=1,"",1-COUNTIFS(INVENTORY!$J:$J,$A16,INVENTORY!$D:$D,$B16,INVENTORY!#REF!,"&gt;0")/$C16),"N/A")</f>
        <v>N/A</v>
      </c>
    </row>
    <row r="17" spans="1:8" x14ac:dyDescent="0.3">
      <c r="A17" s="22" t="s">
        <v>407</v>
      </c>
      <c r="B17" s="24" t="s">
        <v>624</v>
      </c>
      <c r="C17" s="24">
        <v>6</v>
      </c>
      <c r="D17" s="28" t="str">
        <f>IFERROR(IF(COUNTIFS(INVENTORY!$J:$J,$A17,INVENTORY!$D:$D,$B17,INVENTORY!#REF!,"&gt;0")/$C17=1,"",1-COUNTIFS(INVENTORY!$J:$J,$A17,INVENTORY!$D:$D,$B17,INVENTORY!#REF!,"&gt;0")/$C17),"N/A")</f>
        <v>N/A</v>
      </c>
      <c r="E17" s="28" t="s">
        <v>1608</v>
      </c>
      <c r="F17" s="28" t="s">
        <v>1608</v>
      </c>
      <c r="G17" s="28" t="s">
        <v>1608</v>
      </c>
      <c r="H17" s="28" t="str">
        <f>IFERROR(IF(COUNTIFS(INVENTORY!$J:$J,$A17,INVENTORY!$D:$D,$B17,INVENTORY!#REF!,"&gt;0")/$C17=1,"",1-COUNTIFS(INVENTORY!$J:$J,$A17,INVENTORY!$D:$D,$B17,INVENTORY!#REF!,"&gt;0")/$C17),"N/A")</f>
        <v>N/A</v>
      </c>
    </row>
    <row r="18" spans="1:8" x14ac:dyDescent="0.3">
      <c r="A18" s="22" t="s">
        <v>459</v>
      </c>
      <c r="B18" s="24" t="s">
        <v>624</v>
      </c>
      <c r="C18" s="24">
        <v>5</v>
      </c>
      <c r="D18" s="28" t="str">
        <f>IFERROR(IF(COUNTIFS(INVENTORY!$J:$J,$A18,INVENTORY!$D:$D,$B18,INVENTORY!#REF!,"&gt;0")/$C18=1,"",1-COUNTIFS(INVENTORY!$J:$J,$A18,INVENTORY!$D:$D,$B18,INVENTORY!#REF!,"&gt;0")/$C18),"N/A")</f>
        <v>N/A</v>
      </c>
      <c r="E18" s="28" t="s">
        <v>1608</v>
      </c>
      <c r="F18" s="28" t="s">
        <v>1608</v>
      </c>
      <c r="G18" s="28" t="s">
        <v>1608</v>
      </c>
      <c r="H18" s="28" t="str">
        <f>IFERROR(IF(COUNTIFS(INVENTORY!$J:$J,$A18,INVENTORY!$D:$D,$B18,INVENTORY!#REF!,"&gt;0")/$C18=1,"",1-COUNTIFS(INVENTORY!$J:$J,$A18,INVENTORY!$D:$D,$B18,INVENTORY!#REF!,"&gt;0")/$C18),"N/A")</f>
        <v>N/A</v>
      </c>
    </row>
    <row r="19" spans="1:8" x14ac:dyDescent="0.3">
      <c r="A19" s="22" t="s">
        <v>394</v>
      </c>
      <c r="B19" s="24" t="s">
        <v>624</v>
      </c>
      <c r="C19" s="24">
        <v>36</v>
      </c>
      <c r="D19" s="28" t="str">
        <f>IFERROR(IF(COUNTIFS(INVENTORY!$J:$J,$A19,INVENTORY!$D:$D,$B19,INVENTORY!#REF!,"&gt;0")/$C19=1,"",1-COUNTIFS(INVENTORY!$J:$J,$A19,INVENTORY!$D:$D,$B19,INVENTORY!#REF!,"&gt;0")/$C19),"N/A")</f>
        <v>N/A</v>
      </c>
      <c r="E19" s="28">
        <v>5.555555555555558E-2</v>
      </c>
      <c r="F19" s="28">
        <v>5.555555555555558E-2</v>
      </c>
      <c r="G19" s="28">
        <v>5.555555555555558E-2</v>
      </c>
      <c r="H19" s="28" t="str">
        <f>IFERROR(IF(COUNTIFS(INVENTORY!$J:$J,$A19,INVENTORY!$D:$D,$B19,INVENTORY!#REF!,"&gt;0")/$C19=1,"",1-COUNTIFS(INVENTORY!$J:$J,$A19,INVENTORY!$D:$D,$B19,INVENTORY!#REF!,"&gt;0")/$C19),"N/A")</f>
        <v>N/A</v>
      </c>
    </row>
    <row r="20" spans="1:8" x14ac:dyDescent="0.3">
      <c r="A20" s="22" t="s">
        <v>395</v>
      </c>
      <c r="B20" s="24" t="s">
        <v>624</v>
      </c>
      <c r="C20" s="24">
        <v>11</v>
      </c>
      <c r="D20" s="28" t="str">
        <f>IFERROR(IF(COUNTIFS(INVENTORY!$J:$J,$A20,INVENTORY!$D:$D,$B20,INVENTORY!#REF!,"&gt;0")/$C20=1,"",1-COUNTIFS(INVENTORY!$J:$J,$A20,INVENTORY!$D:$D,$B20,INVENTORY!#REF!,"&gt;0")/$C20),"N/A")</f>
        <v>N/A</v>
      </c>
      <c r="E20" s="28" t="s">
        <v>1608</v>
      </c>
      <c r="F20" s="28" t="s">
        <v>1608</v>
      </c>
      <c r="G20" s="28" t="s">
        <v>1608</v>
      </c>
      <c r="H20" s="28" t="str">
        <f>IFERROR(IF(COUNTIFS(INVENTORY!$J:$J,$A20,INVENTORY!$D:$D,$B20,INVENTORY!#REF!,"&gt;0")/$C20=1,"",1-COUNTIFS(INVENTORY!$J:$J,$A20,INVENTORY!$D:$D,$B20,INVENTORY!#REF!,"&gt;0")/$C20),"N/A")</f>
        <v>N/A</v>
      </c>
    </row>
    <row r="21" spans="1:8" x14ac:dyDescent="0.3">
      <c r="A21" s="22" t="s">
        <v>402</v>
      </c>
      <c r="B21" s="24" t="s">
        <v>628</v>
      </c>
      <c r="C21" s="24">
        <v>29</v>
      </c>
      <c r="D21" s="28" t="str">
        <f>IFERROR(IF(COUNTIFS(INVENTORY!$J:$J,$A21,INVENTORY!$D:$D,$B21,INVENTORY!#REF!,"&gt;0")/$C21=1,"",1-COUNTIFS(INVENTORY!$J:$J,$A21,INVENTORY!$D:$D,$B21,INVENTORY!#REF!,"&gt;0")/$C21),"N/A")</f>
        <v>N/A</v>
      </c>
      <c r="E21" s="28">
        <v>0.55172413793103448</v>
      </c>
      <c r="F21" s="28">
        <v>0.41379310344827591</v>
      </c>
      <c r="G21" s="28">
        <v>0.55172413793103448</v>
      </c>
      <c r="H21" s="28" t="str">
        <f>IFERROR(IF(COUNTIFS(INVENTORY!$J:$J,$A21,INVENTORY!$D:$D,$B21,INVENTORY!#REF!,"&gt;0")/$C21=1,"",1-COUNTIFS(INVENTORY!$J:$J,$A21,INVENTORY!$D:$D,$B21,INVENTORY!#REF!,"&gt;0")/$C21),"N/A")</f>
        <v>N/A</v>
      </c>
    </row>
    <row r="22" spans="1:8" x14ac:dyDescent="0.3">
      <c r="A22" s="22" t="s">
        <v>403</v>
      </c>
      <c r="B22" s="24" t="s">
        <v>628</v>
      </c>
      <c r="C22" s="24">
        <v>29</v>
      </c>
      <c r="D22" s="28" t="str">
        <f>IFERROR(IF(COUNTIFS(INVENTORY!$J:$J,$A22,INVENTORY!$D:$D,$B22,INVENTORY!#REF!,"&gt;0")/$C22=1,"",1-COUNTIFS(INVENTORY!$J:$J,$A22,INVENTORY!$D:$D,$B22,INVENTORY!#REF!,"&gt;0")/$C22),"N/A")</f>
        <v>N/A</v>
      </c>
      <c r="E22" s="28">
        <v>0.27586206896551724</v>
      </c>
      <c r="F22" s="28">
        <v>0.75862068965517238</v>
      </c>
      <c r="G22" s="28">
        <v>0.72413793103448276</v>
      </c>
      <c r="H22" s="28" t="str">
        <f>IFERROR(IF(COUNTIFS(INVENTORY!$J:$J,$A22,INVENTORY!$D:$D,$B22,INVENTORY!#REF!,"&gt;0")/$C22=1,"",1-COUNTIFS(INVENTORY!$J:$J,$A22,INVENTORY!$D:$D,$B22,INVENTORY!#REF!,"&gt;0")/$C22),"N/A")</f>
        <v>N/A</v>
      </c>
    </row>
    <row r="23" spans="1:8" x14ac:dyDescent="0.3">
      <c r="A23" s="22" t="s">
        <v>404</v>
      </c>
      <c r="B23" s="24" t="s">
        <v>628</v>
      </c>
      <c r="C23" s="24">
        <v>29</v>
      </c>
      <c r="D23" s="28" t="str">
        <f>IFERROR(IF(COUNTIFS(INVENTORY!$J:$J,$A23,INVENTORY!$D:$D,$B23,INVENTORY!#REF!,"&gt;0")/$C23=1,"",1-COUNTIFS(INVENTORY!$J:$J,$A23,INVENTORY!$D:$D,$B23,INVENTORY!#REF!,"&gt;0")/$C23),"N/A")</f>
        <v>N/A</v>
      </c>
      <c r="E23" s="28">
        <v>0.51724137931034475</v>
      </c>
      <c r="F23" s="28">
        <v>0.7931034482758621</v>
      </c>
      <c r="G23" s="28">
        <v>0.7931034482758621</v>
      </c>
      <c r="H23" s="28" t="str">
        <f>IFERROR(IF(COUNTIFS(INVENTORY!$J:$J,$A23,INVENTORY!$D:$D,$B23,INVENTORY!#REF!,"&gt;0")/$C23=1,"",1-COUNTIFS(INVENTORY!$J:$J,$A23,INVENTORY!$D:$D,$B23,INVENTORY!#REF!,"&gt;0")/$C23),"N/A")</f>
        <v>N/A</v>
      </c>
    </row>
    <row r="24" spans="1:8" x14ac:dyDescent="0.3">
      <c r="A24" s="22" t="s">
        <v>398</v>
      </c>
      <c r="B24" s="24" t="s">
        <v>628</v>
      </c>
      <c r="C24" s="24">
        <v>29</v>
      </c>
      <c r="D24" s="28" t="str">
        <f>IFERROR(IF(COUNTIFS(INVENTORY!$J:$J,$A24,INVENTORY!$D:$D,$B24,INVENTORY!#REF!,"&gt;0")/$C24=1,"",1-COUNTIFS(INVENTORY!$J:$J,$A24,INVENTORY!$D:$D,$B24,INVENTORY!#REF!,"&gt;0")/$C24),"N/A")</f>
        <v>N/A</v>
      </c>
      <c r="E24" s="28">
        <v>0.27586206896551724</v>
      </c>
      <c r="F24" s="28" t="s">
        <v>1608</v>
      </c>
      <c r="G24" s="28">
        <v>0.27586206896551724</v>
      </c>
      <c r="H24" s="28" t="str">
        <f>IFERROR(IF(COUNTIFS(INVENTORY!$J:$J,$A24,INVENTORY!$D:$D,$B24,INVENTORY!#REF!,"&gt;0")/$C24=1,"",1-COUNTIFS(INVENTORY!$J:$J,$A24,INVENTORY!$D:$D,$B24,INVENTORY!#REF!,"&gt;0")/$C24),"N/A")</f>
        <v>N/A</v>
      </c>
    </row>
    <row r="25" spans="1:8" x14ac:dyDescent="0.3">
      <c r="A25" s="22" t="s">
        <v>399</v>
      </c>
      <c r="B25" s="24" t="s">
        <v>628</v>
      </c>
      <c r="C25" s="24">
        <v>29</v>
      </c>
      <c r="D25" s="28" t="str">
        <f>IFERROR(IF(COUNTIFS(INVENTORY!$J:$J,$A25,INVENTORY!$D:$D,$B25,INVENTORY!#REF!,"&gt;0")/$C25=1,"",1-COUNTIFS(INVENTORY!$J:$J,$A25,INVENTORY!$D:$D,$B25,INVENTORY!#REF!,"&gt;0")/$C25),"N/A")</f>
        <v>N/A</v>
      </c>
      <c r="E25" s="28">
        <v>0.34482758620689657</v>
      </c>
      <c r="F25" s="28">
        <v>0.44827586206896552</v>
      </c>
      <c r="G25" s="28">
        <v>0.55172413793103448</v>
      </c>
      <c r="H25" s="28" t="str">
        <f>IFERROR(IF(COUNTIFS(INVENTORY!$J:$J,$A25,INVENTORY!$D:$D,$B25,INVENTORY!#REF!,"&gt;0")/$C25=1,"",1-COUNTIFS(INVENTORY!$J:$J,$A25,INVENTORY!$D:$D,$B25,INVENTORY!#REF!,"&gt;0")/$C25),"N/A")</f>
        <v>N/A</v>
      </c>
    </row>
    <row r="26" spans="1:8" x14ac:dyDescent="0.3">
      <c r="A26" s="22" t="s">
        <v>396</v>
      </c>
      <c r="B26" s="24" t="s">
        <v>628</v>
      </c>
      <c r="C26" s="24">
        <v>3</v>
      </c>
      <c r="D26" s="28" t="str">
        <f>IFERROR(IF(COUNTIFS(INVENTORY!$J:$J,$A26,INVENTORY!$D:$D,$B26,INVENTORY!#REF!,"&gt;0")/$C26=1,"",1-COUNTIFS(INVENTORY!$J:$J,$A26,INVENTORY!$D:$D,$B26,INVENTORY!#REF!,"&gt;0")/$C26),"N/A")</f>
        <v>N/A</v>
      </c>
      <c r="E26" s="28">
        <v>0.33333333333333337</v>
      </c>
      <c r="F26" s="28" t="s">
        <v>1608</v>
      </c>
      <c r="G26" s="28" t="s">
        <v>1608</v>
      </c>
      <c r="H26" s="28" t="str">
        <f>IFERROR(IF(COUNTIFS(INVENTORY!$J:$J,$A26,INVENTORY!$D:$D,$B26,INVENTORY!#REF!,"&gt;0")/$C26=1,"",1-COUNTIFS(INVENTORY!$J:$J,$A26,INVENTORY!$D:$D,$B26,INVENTORY!#REF!,"&gt;0")/$C26),"N/A")</f>
        <v>N/A</v>
      </c>
    </row>
    <row r="27" spans="1:8" x14ac:dyDescent="0.3">
      <c r="A27" s="22" t="s">
        <v>397</v>
      </c>
      <c r="B27" s="24" t="s">
        <v>628</v>
      </c>
      <c r="C27" s="24">
        <v>2</v>
      </c>
      <c r="D27" s="28" t="str">
        <f>IFERROR(IF(COUNTIFS(INVENTORY!$J:$J,$A27,INVENTORY!$D:$D,$B27,INVENTORY!#REF!,"&gt;0")/$C27=1,"",1-COUNTIFS(INVENTORY!$J:$J,$A27,INVENTORY!$D:$D,$B27,INVENTORY!#REF!,"&gt;0")/$C27),"N/A")</f>
        <v>N/A</v>
      </c>
      <c r="E27" s="28" t="s">
        <v>1608</v>
      </c>
      <c r="F27" s="28" t="s">
        <v>1608</v>
      </c>
      <c r="G27" s="28" t="s">
        <v>1608</v>
      </c>
      <c r="H27" s="28" t="str">
        <f>IFERROR(IF(COUNTIFS(INVENTORY!$J:$J,$A27,INVENTORY!$D:$D,$B27,INVENTORY!#REF!,"&gt;0")/$C27=1,"",1-COUNTIFS(INVENTORY!$J:$J,$A27,INVENTORY!$D:$D,$B27,INVENTORY!#REF!,"&gt;0")/$C27),"N/A")</f>
        <v>N/A</v>
      </c>
    </row>
    <row r="28" spans="1:8" x14ac:dyDescent="0.3">
      <c r="A28" s="22" t="s">
        <v>401</v>
      </c>
      <c r="B28" s="24" t="s">
        <v>628</v>
      </c>
      <c r="C28" s="24">
        <v>4</v>
      </c>
      <c r="D28" s="28" t="str">
        <f>IFERROR(IF(COUNTIFS(INVENTORY!$J:$J,$A28,INVENTORY!$D:$D,$B28,INVENTORY!#REF!,"&gt;0")/$C28=1,"",1-COUNTIFS(INVENTORY!$J:$J,$A28,INVENTORY!$D:$D,$B28,INVENTORY!#REF!,"&gt;0")/$C28),"N/A")</f>
        <v>N/A</v>
      </c>
      <c r="E28" s="28">
        <v>0.75</v>
      </c>
      <c r="F28" s="28">
        <v>0.75</v>
      </c>
      <c r="G28" s="28">
        <v>0.75</v>
      </c>
      <c r="H28" s="28" t="str">
        <f>IFERROR(IF(COUNTIFS(INVENTORY!$J:$J,$A28,INVENTORY!$D:$D,$B28,INVENTORY!#REF!,"&gt;0")/$C28=1,"",1-COUNTIFS(INVENTORY!$J:$J,$A28,INVENTORY!$D:$D,$B28,INVENTORY!#REF!,"&gt;0")/$C28),"N/A")</f>
        <v>N/A</v>
      </c>
    </row>
    <row r="29" spans="1:8" x14ac:dyDescent="0.3">
      <c r="A29" s="22" t="s">
        <v>400</v>
      </c>
      <c r="B29" s="24" t="s">
        <v>628</v>
      </c>
      <c r="C29" s="24">
        <v>27</v>
      </c>
      <c r="D29" s="28" t="str">
        <f>IFERROR(IF(COUNTIFS(INVENTORY!$J:$J,$A29,INVENTORY!$D:$D,$B29,INVENTORY!#REF!,"&gt;0")/$C29=1,"",1-COUNTIFS(INVENTORY!$J:$J,$A29,INVENTORY!$D:$D,$B29,INVENTORY!#REF!,"&gt;0")/$C29),"N/A")</f>
        <v>N/A</v>
      </c>
      <c r="E29" s="28">
        <v>0.22222222222222221</v>
      </c>
      <c r="F29" s="28">
        <v>0.14814814814814814</v>
      </c>
      <c r="G29" s="28">
        <v>0.2592592592592593</v>
      </c>
      <c r="H29" s="28" t="str">
        <f>IFERROR(IF(COUNTIFS(INVENTORY!$J:$J,$A29,INVENTORY!$D:$D,$B29,INVENTORY!#REF!,"&gt;0")/$C29=1,"",1-COUNTIFS(INVENTORY!$J:$J,$A29,INVENTORY!$D:$D,$B29,INVENTORY!#REF!,"&gt;0")/$C29),"N/A")</f>
        <v>N/A</v>
      </c>
    </row>
    <row r="30" spans="1:8" x14ac:dyDescent="0.3">
      <c r="A30" s="22" t="s">
        <v>408</v>
      </c>
      <c r="B30" s="24" t="s">
        <v>628</v>
      </c>
      <c r="C30" s="24">
        <v>2</v>
      </c>
      <c r="D30" s="28" t="str">
        <f>IFERROR(IF(COUNTIFS(INVENTORY!$J:$J,$A30,INVENTORY!$D:$D,$B30,INVENTORY!#REF!,"&gt;0")/$C30=1,"",1-COUNTIFS(INVENTORY!$J:$J,$A30,INVENTORY!$D:$D,$B30,INVENTORY!#REF!,"&gt;0")/$C30),"N/A")</f>
        <v>N/A</v>
      </c>
      <c r="E30" s="28" t="s">
        <v>1608</v>
      </c>
      <c r="F30" s="28" t="s">
        <v>1608</v>
      </c>
      <c r="G30" s="28" t="s">
        <v>1608</v>
      </c>
      <c r="H30" s="28" t="str">
        <f>IFERROR(IF(COUNTIFS(INVENTORY!$J:$J,$A30,INVENTORY!$D:$D,$B30,INVENTORY!#REF!,"&gt;0")/$C30=1,"",1-COUNTIFS(INVENTORY!$J:$J,$A30,INVENTORY!$D:$D,$B30,INVENTORY!#REF!,"&gt;0")/$C30),"N/A")</f>
        <v>N/A</v>
      </c>
    </row>
    <row r="31" spans="1:8" x14ac:dyDescent="0.3">
      <c r="A31" s="22" t="s">
        <v>409</v>
      </c>
      <c r="B31" s="24" t="s">
        <v>628</v>
      </c>
      <c r="C31" s="24">
        <v>3</v>
      </c>
      <c r="D31" s="28" t="str">
        <f>IFERROR(IF(COUNTIFS(INVENTORY!$J:$J,$A31,INVENTORY!$D:$D,$B31,INVENTORY!#REF!,"&gt;0")/$C31=1,"",1-COUNTIFS(INVENTORY!$J:$J,$A31,INVENTORY!$D:$D,$B31,INVENTORY!#REF!,"&gt;0")/$C31),"N/A")</f>
        <v>N/A</v>
      </c>
      <c r="E31" s="28">
        <v>0.33333333333333337</v>
      </c>
      <c r="F31" s="28" t="s">
        <v>1608</v>
      </c>
      <c r="G31" s="28" t="s">
        <v>1608</v>
      </c>
      <c r="H31" s="28" t="str">
        <f>IFERROR(IF(COUNTIFS(INVENTORY!$J:$J,$A31,INVENTORY!$D:$D,$B31,INVENTORY!#REF!,"&gt;0")/$C31=1,"",1-COUNTIFS(INVENTORY!$J:$J,$A31,INVENTORY!$D:$D,$B31,INVENTORY!#REF!,"&gt;0")/$C31),"N/A")</f>
        <v>N/A</v>
      </c>
    </row>
    <row r="32" spans="1:8" x14ac:dyDescent="0.3">
      <c r="A32" s="22" t="s">
        <v>119</v>
      </c>
      <c r="B32" s="24" t="s">
        <v>628</v>
      </c>
      <c r="C32" s="24">
        <v>11</v>
      </c>
      <c r="D32" s="28" t="str">
        <f>IFERROR(IF(COUNTIFS(INVENTORY!$J:$J,$A32,INVENTORY!$D:$D,$B32,INVENTORY!#REF!,"&gt;0")/$C32=1,"",1-COUNTIFS(INVENTORY!$J:$J,$A32,INVENTORY!$D:$D,$B32,INVENTORY!#REF!,"&gt;0")/$C32),"N/A")</f>
        <v>N/A</v>
      </c>
      <c r="E32" s="28">
        <v>0.18181818181818177</v>
      </c>
      <c r="F32" s="28">
        <v>0.18181818181818177</v>
      </c>
      <c r="G32" s="28">
        <v>0.18181818181818177</v>
      </c>
      <c r="H32" s="28" t="str">
        <f>IFERROR(IF(COUNTIFS(INVENTORY!$J:$J,$A32,INVENTORY!$D:$D,$B32,INVENTORY!#REF!,"&gt;0")/$C32=1,"",1-COUNTIFS(INVENTORY!$J:$J,$A32,INVENTORY!$D:$D,$B32,INVENTORY!#REF!,"&gt;0")/$C32),"N/A")</f>
        <v>N/A</v>
      </c>
    </row>
    <row r="33" spans="1:8" x14ac:dyDescent="0.3">
      <c r="A33" s="22" t="s">
        <v>1264</v>
      </c>
      <c r="B33" s="24" t="s">
        <v>628</v>
      </c>
      <c r="C33" s="24">
        <v>0</v>
      </c>
      <c r="D33" s="28" t="str">
        <f>IFERROR(IF(COUNTIFS(INVENTORY!$J:$J,$A33,INVENTORY!$D:$D,$B33,INVENTORY!#REF!,"&gt;0")/$C33=1,"",1-COUNTIFS(INVENTORY!$J:$J,$A33,INVENTORY!$D:$D,$B33,INVENTORY!#REF!,"&gt;0")/$C33),"N/A")</f>
        <v>N/A</v>
      </c>
      <c r="E33" s="28" t="s">
        <v>458</v>
      </c>
      <c r="F33" s="28" t="s">
        <v>458</v>
      </c>
      <c r="G33" s="28" t="s">
        <v>458</v>
      </c>
      <c r="H33" s="28" t="str">
        <f>IFERROR(IF(COUNTIFS(INVENTORY!$J:$J,$A33,INVENTORY!$D:$D,$B33,INVENTORY!#REF!,"&gt;0")/$C33=1,"",1-COUNTIFS(INVENTORY!$J:$J,$A33,INVENTORY!$D:$D,$B33,INVENTORY!#REF!,"&gt;0")/$C33),"N/A")</f>
        <v>N/A</v>
      </c>
    </row>
    <row r="35" spans="1:8" x14ac:dyDescent="0.3">
      <c r="A35" s="26" t="s">
        <v>1407</v>
      </c>
    </row>
    <row r="37" spans="1:8" x14ac:dyDescent="0.3">
      <c r="A37" s="27" t="s">
        <v>1408</v>
      </c>
      <c r="B37" s="2" t="s">
        <v>1539</v>
      </c>
    </row>
    <row r="38" spans="1:8" x14ac:dyDescent="0.3">
      <c r="A38" s="32" t="s">
        <v>1531</v>
      </c>
      <c r="B38" s="2" t="s">
        <v>1538</v>
      </c>
    </row>
    <row r="39" spans="1:8" x14ac:dyDescent="0.3">
      <c r="A39" s="29" t="s">
        <v>1410</v>
      </c>
      <c r="B39" s="2" t="s">
        <v>1537</v>
      </c>
    </row>
    <row r="40" spans="1:8" x14ac:dyDescent="0.3">
      <c r="A40" s="30" t="s">
        <v>1411</v>
      </c>
      <c r="B40" s="2" t="s">
        <v>1536</v>
      </c>
    </row>
    <row r="41" spans="1:8" x14ac:dyDescent="0.3">
      <c r="A41" s="26"/>
      <c r="B41" s="33">
        <v>1</v>
      </c>
    </row>
  </sheetData>
  <autoFilter ref="A2:C33" xr:uid="{958C2036-D572-44EA-BBF1-2E423D18329E}"/>
  <mergeCells count="1">
    <mergeCell ref="A1:B1"/>
  </mergeCells>
  <conditionalFormatting sqref="D3:H33 A37">
    <cfRule type="cellIs" dxfId="3" priority="1" operator="between">
      <formula>0.75</formula>
      <formula>0.99</formula>
    </cfRule>
    <cfRule type="cellIs" dxfId="2" priority="2" operator="between">
      <formula>0.5</formula>
      <formula>0.75</formula>
    </cfRule>
    <cfRule type="cellIs" dxfId="1" priority="3" operator="between">
      <formula>0.25</formula>
      <formula>0.5</formula>
    </cfRule>
    <cfRule type="cellIs" dxfId="0" priority="4" operator="between">
      <formula>0</formula>
      <formula>0.25</formula>
    </cfRule>
  </conditionalFormatting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C0E16-3377-4DAD-BDD6-E341B516CB3E}">
  <sheetPr>
    <tabColor rgb="FFFF5050"/>
  </sheetPr>
  <dimension ref="A1:D11"/>
  <sheetViews>
    <sheetView workbookViewId="0">
      <selection activeCell="O8" sqref="O8"/>
    </sheetView>
  </sheetViews>
  <sheetFormatPr defaultRowHeight="14.4" x14ac:dyDescent="0.3"/>
  <cols>
    <col min="1" max="1" width="10.6640625" style="2" bestFit="1" customWidth="1"/>
    <col min="2" max="3" width="9.109375" style="2"/>
    <col min="4" max="4" width="10.6640625" bestFit="1" customWidth="1"/>
  </cols>
  <sheetData>
    <row r="1" spans="1:4" x14ac:dyDescent="0.3">
      <c r="A1" s="2" t="s">
        <v>1426</v>
      </c>
      <c r="B1" s="2" t="s">
        <v>241</v>
      </c>
      <c r="C1" s="2" t="s">
        <v>1323</v>
      </c>
      <c r="D1" t="s">
        <v>1427</v>
      </c>
    </row>
    <row r="2" spans="1:4" x14ac:dyDescent="0.3">
      <c r="A2" s="39">
        <v>45944</v>
      </c>
      <c r="B2" s="2">
        <v>59900</v>
      </c>
      <c r="C2" s="2">
        <v>1</v>
      </c>
      <c r="D2" s="31" t="b">
        <v>1</v>
      </c>
    </row>
    <row r="3" spans="1:4" x14ac:dyDescent="0.3">
      <c r="A3" s="39">
        <v>45944</v>
      </c>
      <c r="B3" s="2">
        <v>33980</v>
      </c>
      <c r="C3" s="2">
        <v>11</v>
      </c>
      <c r="D3" s="31" t="b">
        <v>1</v>
      </c>
    </row>
    <row r="4" spans="1:4" x14ac:dyDescent="0.3">
      <c r="A4" s="39">
        <v>45946</v>
      </c>
      <c r="B4" s="2">
        <v>56563</v>
      </c>
      <c r="C4" s="2">
        <v>1</v>
      </c>
      <c r="D4" s="31" t="b">
        <v>1</v>
      </c>
    </row>
    <row r="5" spans="1:4" x14ac:dyDescent="0.3">
      <c r="A5" s="39">
        <v>45950</v>
      </c>
      <c r="B5" s="2">
        <v>56501</v>
      </c>
      <c r="C5" s="2">
        <v>7</v>
      </c>
      <c r="D5" s="31" t="b">
        <v>1</v>
      </c>
    </row>
    <row r="6" spans="1:4" x14ac:dyDescent="0.3">
      <c r="A6" s="39">
        <v>45950</v>
      </c>
      <c r="B6" s="2">
        <v>39574</v>
      </c>
      <c r="C6" s="2">
        <v>5</v>
      </c>
      <c r="D6" s="31" t="b">
        <v>1</v>
      </c>
    </row>
    <row r="7" spans="1:4" x14ac:dyDescent="0.3">
      <c r="A7" s="39">
        <v>45950</v>
      </c>
      <c r="B7" s="2">
        <v>59910</v>
      </c>
      <c r="C7" s="2">
        <v>1</v>
      </c>
      <c r="D7" s="31" t="b">
        <v>1</v>
      </c>
    </row>
    <row r="8" spans="1:4" x14ac:dyDescent="0.3">
      <c r="A8" s="39">
        <v>45951</v>
      </c>
      <c r="B8" s="2">
        <v>82418</v>
      </c>
      <c r="C8" s="2">
        <v>1</v>
      </c>
      <c r="D8" s="31" t="b">
        <v>0</v>
      </c>
    </row>
    <row r="9" spans="1:4" x14ac:dyDescent="0.3">
      <c r="A9" s="39">
        <v>45951</v>
      </c>
      <c r="B9" s="2">
        <v>56504</v>
      </c>
      <c r="C9" s="2">
        <v>1</v>
      </c>
      <c r="D9" s="31" t="b">
        <v>1</v>
      </c>
    </row>
    <row r="10" spans="1:4" x14ac:dyDescent="0.3">
      <c r="A10" s="39">
        <v>45964</v>
      </c>
      <c r="B10" s="38" t="s">
        <v>627</v>
      </c>
      <c r="C10" s="2">
        <v>3</v>
      </c>
      <c r="D10" s="31" t="b">
        <v>1</v>
      </c>
    </row>
    <row r="11" spans="1:4" x14ac:dyDescent="0.3">
      <c r="A11" s="39">
        <v>45974</v>
      </c>
      <c r="B11" s="2">
        <v>56592</v>
      </c>
      <c r="C11" s="2">
        <v>3</v>
      </c>
      <c r="D11" s="31" t="b">
        <v>1</v>
      </c>
    </row>
  </sheetData>
  <pageMargins left="0.7" right="0.7" top="0.75" bottom="0.75" header="0.3" footer="0.3"/>
  <ignoredErrors>
    <ignoredError sqref="B10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0957E-2190-4FD3-A7D4-FEA0B903A06E}">
  <dimension ref="A1:B3"/>
  <sheetViews>
    <sheetView workbookViewId="0">
      <selection activeCell="B6" sqref="B6"/>
    </sheetView>
  </sheetViews>
  <sheetFormatPr defaultRowHeight="14.4" x14ac:dyDescent="0.3"/>
  <cols>
    <col min="1" max="1" width="9.6640625" bestFit="1" customWidth="1"/>
    <col min="2" max="2" width="32.88671875" bestFit="1" customWidth="1"/>
  </cols>
  <sheetData>
    <row r="1" spans="1:2" x14ac:dyDescent="0.3">
      <c r="A1" s="2" t="s">
        <v>1610</v>
      </c>
      <c r="B1" s="2" t="s">
        <v>1611</v>
      </c>
    </row>
    <row r="2" spans="1:2" x14ac:dyDescent="0.3">
      <c r="A2" t="str" cm="1">
        <f t="array" ref="A2">IFERROR(IF(C3="SET",_xlfn.TEXTJOIN(", ",TRUE,_xlfn._xlws.FILTER(TRANSPOSE(TRIM(_xlfn.TEXTSPLIT(M3,","))),COUNTIFS(A$3:A$619,TRANSPOSE(TRIM(_xlfn.TEXTSPLIT(M3,","))),Q$3:Q$619,0))),""),"")</f>
        <v/>
      </c>
      <c r="B2" s="36" t="s">
        <v>1612</v>
      </c>
    </row>
    <row r="3" spans="1:2" x14ac:dyDescent="0.3">
      <c r="A3" t="str" cm="1">
        <f t="array" ref="A3">IFERROR(IF(D3="SET",_xlfn.TEXTJOIN(", ",TRUE,_xlfn._xlws.FILTER(TRANSPOSE(TRIM(_xlfn.TEXTSPLIT(N3,","))),COUNTIFS(B$3:B$619,TRANSPOSE(TRIM(_xlfn.TEXTSPLIT(N3,","))),V$3:V$619,"&lt;5"))),""),"")</f>
        <v/>
      </c>
      <c r="B3" s="36" t="s">
        <v>1613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994FD-5B2F-4D45-96A3-984E4D82EFAC}">
  <dimension ref="A1:B2"/>
  <sheetViews>
    <sheetView workbookViewId="0">
      <selection activeCell="A2" sqref="A2"/>
    </sheetView>
  </sheetViews>
  <sheetFormatPr defaultRowHeight="14.4" x14ac:dyDescent="0.3"/>
  <sheetData>
    <row r="1" spans="1:2" x14ac:dyDescent="0.3">
      <c r="A1" t="s">
        <v>241</v>
      </c>
      <c r="B1" t="s">
        <v>1323</v>
      </c>
    </row>
    <row r="2" spans="1:2" x14ac:dyDescent="0.3">
      <c r="A2">
        <v>56532</v>
      </c>
      <c r="B2">
        <v>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3D844-E9E2-441D-B9F0-4FA61947BE83}">
  <sheetPr filterMode="1">
    <pageSetUpPr fitToPage="1"/>
  </sheetPr>
  <dimension ref="A1:Q663"/>
  <sheetViews>
    <sheetView zoomScaleNormal="100" zoomScaleSheetLayoutView="85" workbookViewId="0">
      <pane ySplit="1" topLeftCell="A107" activePane="bottomLeft" state="frozen"/>
      <selection activeCell="V579" sqref="V579"/>
      <selection pane="bottomLeft" activeCell="V579" sqref="V579"/>
    </sheetView>
  </sheetViews>
  <sheetFormatPr defaultColWidth="8.6640625" defaultRowHeight="15.6" customHeight="1" x14ac:dyDescent="0.3"/>
  <cols>
    <col min="1" max="1" width="7.88671875" style="2" customWidth="1"/>
    <col min="2" max="2" width="44.5546875" style="8" customWidth="1"/>
    <col min="3" max="3" width="11.44140625" style="2" hidden="1" customWidth="1"/>
    <col min="4" max="4" width="8.6640625" style="2" hidden="1" customWidth="1"/>
    <col min="5" max="5" width="8" style="3" hidden="1" customWidth="1"/>
    <col min="6" max="6" width="9.88671875" style="11" hidden="1" customWidth="1"/>
    <col min="7" max="7" width="20" style="12" hidden="1" customWidth="1"/>
    <col min="8" max="8" width="14.5546875" style="1" hidden="1" customWidth="1"/>
    <col min="9" max="9" width="11.44140625" style="3" customWidth="1"/>
    <col min="10" max="10" width="9.33203125" style="14" customWidth="1"/>
    <col min="11" max="11" width="11.44140625" style="2" customWidth="1"/>
    <col min="12" max="12" width="6.44140625" style="2" customWidth="1"/>
    <col min="13" max="13" width="10.5546875" hidden="1" customWidth="1"/>
    <col min="14" max="16" width="8.6640625" hidden="1" customWidth="1"/>
    <col min="17" max="17" width="8.6640625" style="2" hidden="1" customWidth="1"/>
    <col min="18" max="20" width="0" hidden="1" customWidth="1"/>
  </cols>
  <sheetData>
    <row r="1" spans="1:17" ht="37.5" customHeight="1" x14ac:dyDescent="0.3">
      <c r="A1" s="9" t="s">
        <v>241</v>
      </c>
      <c r="B1" s="9" t="s">
        <v>0</v>
      </c>
      <c r="D1" s="10" t="s">
        <v>1288</v>
      </c>
      <c r="E1" s="9" t="s">
        <v>1254</v>
      </c>
      <c r="F1" s="11" t="s">
        <v>1286</v>
      </c>
      <c r="G1" s="11" t="s">
        <v>393</v>
      </c>
      <c r="H1" s="9" t="s">
        <v>1</v>
      </c>
      <c r="I1" s="9" t="s">
        <v>1252</v>
      </c>
      <c r="J1" s="11" t="s">
        <v>1253</v>
      </c>
      <c r="K1" s="13" t="s">
        <v>1287</v>
      </c>
      <c r="L1" s="13" t="s">
        <v>1245</v>
      </c>
      <c r="M1" s="4">
        <v>45909</v>
      </c>
      <c r="N1" s="5" t="s">
        <v>1255</v>
      </c>
      <c r="O1" s="6" t="s">
        <v>1256</v>
      </c>
      <c r="Q1" s="7" t="s">
        <v>1258</v>
      </c>
    </row>
    <row r="2" spans="1:17" ht="14.4" hidden="1" x14ac:dyDescent="0.3">
      <c r="A2" s="2">
        <v>5012</v>
      </c>
      <c r="B2" s="8" t="s">
        <v>1166</v>
      </c>
      <c r="C2" s="2" t="s">
        <v>1165</v>
      </c>
      <c r="E2" s="3" t="s">
        <v>620</v>
      </c>
      <c r="F2" s="11" t="b">
        <f t="shared" ref="F2:F65" si="0">ISNUMBER(SEARCH($F$1,B2))</f>
        <v>0</v>
      </c>
      <c r="G2" s="11" t="s">
        <v>119</v>
      </c>
      <c r="J2" s="14" t="s">
        <v>624</v>
      </c>
      <c r="K2" s="2" t="s">
        <v>458</v>
      </c>
      <c r="L2" s="2" t="s">
        <v>623</v>
      </c>
    </row>
    <row r="3" spans="1:17" ht="14.4" hidden="1" x14ac:dyDescent="0.3">
      <c r="A3" s="2">
        <v>34410</v>
      </c>
      <c r="B3" s="8" t="s">
        <v>144</v>
      </c>
      <c r="C3" t="s">
        <v>732</v>
      </c>
      <c r="D3"/>
      <c r="E3" s="3" t="s">
        <v>621</v>
      </c>
      <c r="F3" s="11" t="b">
        <f t="shared" si="0"/>
        <v>0</v>
      </c>
      <c r="G3" s="11" t="s">
        <v>409</v>
      </c>
      <c r="H3" s="1" t="s">
        <v>288</v>
      </c>
      <c r="J3" s="14" t="s">
        <v>628</v>
      </c>
      <c r="K3" s="2" t="s">
        <v>1259</v>
      </c>
      <c r="L3" s="2" t="s">
        <v>686</v>
      </c>
      <c r="Q3"/>
    </row>
    <row r="4" spans="1:17" ht="14.4" hidden="1" x14ac:dyDescent="0.3">
      <c r="A4" s="2">
        <v>5025</v>
      </c>
      <c r="B4" s="8" t="s">
        <v>1168</v>
      </c>
      <c r="C4" s="2" t="s">
        <v>1167</v>
      </c>
      <c r="E4" s="3" t="s">
        <v>620</v>
      </c>
      <c r="F4" s="11" t="b">
        <f t="shared" si="0"/>
        <v>0</v>
      </c>
      <c r="G4" s="11" t="s">
        <v>119</v>
      </c>
      <c r="J4" s="14" t="s">
        <v>624</v>
      </c>
      <c r="K4" s="2" t="s">
        <v>458</v>
      </c>
      <c r="L4" s="2" t="s">
        <v>623</v>
      </c>
    </row>
    <row r="5" spans="1:17" ht="14.4" hidden="1" x14ac:dyDescent="0.3">
      <c r="A5" s="2">
        <v>34414</v>
      </c>
      <c r="B5" s="8" t="s">
        <v>388</v>
      </c>
      <c r="C5" t="s">
        <v>734</v>
      </c>
      <c r="D5"/>
      <c r="E5" s="3" t="s">
        <v>621</v>
      </c>
      <c r="F5" s="11" t="b">
        <f t="shared" si="0"/>
        <v>0</v>
      </c>
      <c r="G5" s="11" t="s">
        <v>409</v>
      </c>
      <c r="H5" s="1" t="s">
        <v>288</v>
      </c>
      <c r="J5" s="14" t="s">
        <v>628</v>
      </c>
      <c r="K5" s="2" t="s">
        <v>1259</v>
      </c>
      <c r="L5" s="2" t="s">
        <v>686</v>
      </c>
      <c r="Q5"/>
    </row>
    <row r="6" spans="1:17" ht="14.4" hidden="1" x14ac:dyDescent="0.3">
      <c r="A6" s="2">
        <v>39297</v>
      </c>
      <c r="B6" s="8" t="s">
        <v>582</v>
      </c>
      <c r="C6" t="s">
        <v>786</v>
      </c>
      <c r="D6"/>
      <c r="E6" s="3" t="s">
        <v>621</v>
      </c>
      <c r="F6" s="11" t="b">
        <f t="shared" si="0"/>
        <v>0</v>
      </c>
      <c r="G6" s="11" t="s">
        <v>398</v>
      </c>
      <c r="H6" s="1" t="s">
        <v>280</v>
      </c>
      <c r="J6" s="14" t="s">
        <v>628</v>
      </c>
      <c r="K6" s="2" t="s">
        <v>1262</v>
      </c>
      <c r="L6" s="2" t="s">
        <v>686</v>
      </c>
      <c r="Q6"/>
    </row>
    <row r="7" spans="1:17" ht="14.4" hidden="1" x14ac:dyDescent="0.3">
      <c r="A7" s="2">
        <v>5026</v>
      </c>
      <c r="B7" s="8" t="s">
        <v>1168</v>
      </c>
      <c r="C7" s="2" t="s">
        <v>1169</v>
      </c>
      <c r="E7" s="3" t="s">
        <v>620</v>
      </c>
      <c r="F7" s="11" t="b">
        <f t="shared" si="0"/>
        <v>0</v>
      </c>
      <c r="G7" s="11" t="s">
        <v>119</v>
      </c>
      <c r="J7" s="14" t="s">
        <v>624</v>
      </c>
      <c r="K7" s="2" t="s">
        <v>458</v>
      </c>
      <c r="L7" s="2" t="s">
        <v>623</v>
      </c>
      <c r="Q7" s="2" t="s">
        <v>1257</v>
      </c>
    </row>
    <row r="8" spans="1:17" ht="14.4" hidden="1" x14ac:dyDescent="0.3">
      <c r="A8" s="2">
        <v>5068</v>
      </c>
      <c r="B8" s="8" t="s">
        <v>1173</v>
      </c>
      <c r="C8" s="2" t="s">
        <v>1172</v>
      </c>
      <c r="E8" s="3" t="s">
        <v>620</v>
      </c>
      <c r="F8" s="11" t="b">
        <f t="shared" si="0"/>
        <v>0</v>
      </c>
      <c r="G8" s="11" t="s">
        <v>119</v>
      </c>
      <c r="J8" s="14" t="s">
        <v>624</v>
      </c>
      <c r="K8" s="2" t="s">
        <v>458</v>
      </c>
      <c r="L8" s="2" t="s">
        <v>623</v>
      </c>
      <c r="Q8" s="2" t="s">
        <v>1257</v>
      </c>
    </row>
    <row r="9" spans="1:17" ht="14.4" hidden="1" x14ac:dyDescent="0.3">
      <c r="A9" s="2">
        <v>39530</v>
      </c>
      <c r="B9" s="8" t="s">
        <v>145</v>
      </c>
      <c r="C9" t="s">
        <v>790</v>
      </c>
      <c r="D9"/>
      <c r="E9" s="3" t="s">
        <v>621</v>
      </c>
      <c r="F9" s="11" t="b">
        <f t="shared" si="0"/>
        <v>0</v>
      </c>
      <c r="G9" s="11" t="s">
        <v>409</v>
      </c>
      <c r="H9" s="1" t="s">
        <v>288</v>
      </c>
      <c r="J9" s="14" t="s">
        <v>628</v>
      </c>
      <c r="K9" s="2" t="s">
        <v>1259</v>
      </c>
      <c r="L9" s="2" t="s">
        <v>686</v>
      </c>
      <c r="Q9"/>
    </row>
    <row r="10" spans="1:17" ht="14.4" hidden="1" x14ac:dyDescent="0.3">
      <c r="A10" s="2">
        <v>39802</v>
      </c>
      <c r="B10" s="8" t="s">
        <v>532</v>
      </c>
      <c r="C10" t="s">
        <v>811</v>
      </c>
      <c r="D10"/>
      <c r="E10" s="3" t="s">
        <v>621</v>
      </c>
      <c r="F10" s="11" t="b">
        <f t="shared" si="0"/>
        <v>0</v>
      </c>
      <c r="G10" s="11" t="s">
        <v>399</v>
      </c>
      <c r="H10" s="1" t="s">
        <v>280</v>
      </c>
      <c r="J10" s="14" t="s">
        <v>628</v>
      </c>
      <c r="K10" s="2" t="s">
        <v>1260</v>
      </c>
      <c r="L10" s="2" t="s">
        <v>686</v>
      </c>
      <c r="Q10"/>
    </row>
    <row r="11" spans="1:17" ht="14.4" hidden="1" x14ac:dyDescent="0.3">
      <c r="A11" s="2">
        <v>39873</v>
      </c>
      <c r="B11" s="8" t="s">
        <v>132</v>
      </c>
      <c r="C11" t="s">
        <v>847</v>
      </c>
      <c r="D11"/>
      <c r="E11" s="3" t="s">
        <v>621</v>
      </c>
      <c r="F11" s="11" t="b">
        <f t="shared" si="0"/>
        <v>0</v>
      </c>
      <c r="G11" s="11" t="s">
        <v>399</v>
      </c>
      <c r="H11" s="1" t="s">
        <v>278</v>
      </c>
      <c r="J11" s="14" t="s">
        <v>628</v>
      </c>
      <c r="K11" s="2" t="s">
        <v>1260</v>
      </c>
      <c r="L11" s="2" t="s">
        <v>686</v>
      </c>
      <c r="Q11"/>
    </row>
    <row r="12" spans="1:17" ht="14.4" hidden="1" x14ac:dyDescent="0.3">
      <c r="A12" s="2">
        <v>39890</v>
      </c>
      <c r="B12" s="8" t="s">
        <v>251</v>
      </c>
      <c r="C12" t="s">
        <v>856</v>
      </c>
      <c r="D12"/>
      <c r="E12" s="3" t="s">
        <v>621</v>
      </c>
      <c r="F12" s="11" t="b">
        <f t="shared" si="0"/>
        <v>0</v>
      </c>
      <c r="G12" s="11" t="s">
        <v>399</v>
      </c>
      <c r="H12" s="1" t="s">
        <v>280</v>
      </c>
      <c r="J12" s="14" t="s">
        <v>628</v>
      </c>
      <c r="K12" s="2" t="s">
        <v>1260</v>
      </c>
      <c r="L12" s="2" t="s">
        <v>686</v>
      </c>
      <c r="Q12"/>
    </row>
    <row r="13" spans="1:17" ht="14.4" hidden="1" x14ac:dyDescent="0.3">
      <c r="A13" s="2">
        <v>39892</v>
      </c>
      <c r="B13" s="8" t="s">
        <v>56</v>
      </c>
      <c r="C13" t="s">
        <v>857</v>
      </c>
      <c r="D13"/>
      <c r="E13" s="3" t="s">
        <v>621</v>
      </c>
      <c r="F13" s="11" t="b">
        <f t="shared" si="0"/>
        <v>0</v>
      </c>
      <c r="G13" s="11" t="s">
        <v>399</v>
      </c>
      <c r="H13" s="1" t="s">
        <v>279</v>
      </c>
      <c r="J13" s="14" t="s">
        <v>628</v>
      </c>
      <c r="K13" s="2" t="s">
        <v>1260</v>
      </c>
      <c r="L13" s="2" t="s">
        <v>686</v>
      </c>
      <c r="Q13"/>
    </row>
    <row r="14" spans="1:17" ht="14.4" hidden="1" x14ac:dyDescent="0.3">
      <c r="A14" s="2">
        <v>39896</v>
      </c>
      <c r="B14" s="8" t="s">
        <v>252</v>
      </c>
      <c r="C14" t="s">
        <v>859</v>
      </c>
      <c r="D14"/>
      <c r="E14" s="3" t="s">
        <v>621</v>
      </c>
      <c r="F14" s="11" t="b">
        <f t="shared" si="0"/>
        <v>0</v>
      </c>
      <c r="G14" s="11" t="s">
        <v>399</v>
      </c>
      <c r="H14" s="1" t="s">
        <v>280</v>
      </c>
      <c r="J14" s="14" t="s">
        <v>628</v>
      </c>
      <c r="K14" s="2" t="s">
        <v>1260</v>
      </c>
      <c r="L14" s="2" t="s">
        <v>686</v>
      </c>
      <c r="Q14"/>
    </row>
    <row r="15" spans="1:17" ht="14.4" hidden="1" x14ac:dyDescent="0.3">
      <c r="A15" s="2">
        <v>39898</v>
      </c>
      <c r="B15" s="8" t="s">
        <v>253</v>
      </c>
      <c r="C15" t="s">
        <v>861</v>
      </c>
      <c r="D15"/>
      <c r="E15" s="3" t="s">
        <v>621</v>
      </c>
      <c r="F15" s="11" t="b">
        <f t="shared" si="0"/>
        <v>0</v>
      </c>
      <c r="G15" s="11" t="s">
        <v>399</v>
      </c>
      <c r="H15" s="1" t="s">
        <v>280</v>
      </c>
      <c r="J15" s="14" t="s">
        <v>628</v>
      </c>
      <c r="K15" s="2" t="s">
        <v>1260</v>
      </c>
      <c r="L15" s="2" t="s">
        <v>686</v>
      </c>
      <c r="Q15"/>
    </row>
    <row r="16" spans="1:17" ht="14.4" hidden="1" x14ac:dyDescent="0.3">
      <c r="A16" s="2">
        <v>56524</v>
      </c>
      <c r="B16" s="8" t="s">
        <v>537</v>
      </c>
      <c r="C16" t="s">
        <v>883</v>
      </c>
      <c r="D16"/>
      <c r="E16" s="3" t="s">
        <v>621</v>
      </c>
      <c r="F16" s="11" t="b">
        <f t="shared" si="0"/>
        <v>0</v>
      </c>
      <c r="G16" s="11" t="s">
        <v>400</v>
      </c>
      <c r="H16" s="1" t="s">
        <v>280</v>
      </c>
      <c r="J16" s="14" t="s">
        <v>628</v>
      </c>
      <c r="K16" s="2" t="s">
        <v>1263</v>
      </c>
      <c r="L16" s="2" t="s">
        <v>686</v>
      </c>
      <c r="Q16"/>
    </row>
    <row r="17" spans="1:17" ht="14.4" hidden="1" x14ac:dyDescent="0.3">
      <c r="A17" s="2">
        <v>52822</v>
      </c>
      <c r="B17" s="8" t="s">
        <v>190</v>
      </c>
      <c r="C17" s="2" t="s">
        <v>870</v>
      </c>
      <c r="E17" s="3" t="s">
        <v>621</v>
      </c>
      <c r="F17" s="11" t="b">
        <f t="shared" si="0"/>
        <v>0</v>
      </c>
      <c r="G17" s="11" t="s">
        <v>405</v>
      </c>
      <c r="H17" s="1" t="s">
        <v>283</v>
      </c>
      <c r="J17" s="14" t="s">
        <v>624</v>
      </c>
      <c r="K17" s="2" t="s">
        <v>458</v>
      </c>
      <c r="L17" s="2" t="s">
        <v>623</v>
      </c>
      <c r="Q17" s="2" t="s">
        <v>1257</v>
      </c>
    </row>
    <row r="18" spans="1:17" ht="14.4" hidden="1" x14ac:dyDescent="0.3">
      <c r="A18" s="2">
        <v>56584</v>
      </c>
      <c r="B18" s="8" t="s">
        <v>465</v>
      </c>
      <c r="C18" t="s">
        <v>921</v>
      </c>
      <c r="D18"/>
      <c r="E18" s="3" t="s">
        <v>621</v>
      </c>
      <c r="F18" s="11" t="b">
        <f t="shared" si="0"/>
        <v>0</v>
      </c>
      <c r="G18" s="11" t="s">
        <v>400</v>
      </c>
      <c r="H18" s="1" t="s">
        <v>280</v>
      </c>
      <c r="J18" s="14" t="s">
        <v>628</v>
      </c>
      <c r="K18" s="2" t="s">
        <v>1263</v>
      </c>
      <c r="L18" s="2" t="s">
        <v>686</v>
      </c>
      <c r="Q18"/>
    </row>
    <row r="19" spans="1:17" ht="14.4" hidden="1" x14ac:dyDescent="0.3">
      <c r="A19" s="2">
        <v>33575</v>
      </c>
      <c r="B19" s="8" t="s">
        <v>1177</v>
      </c>
      <c r="C19" t="s">
        <v>1176</v>
      </c>
      <c r="D19"/>
      <c r="E19" s="3" t="s">
        <v>620</v>
      </c>
      <c r="F19" s="11" t="b">
        <f t="shared" si="0"/>
        <v>0</v>
      </c>
      <c r="G19" s="11" t="s">
        <v>396</v>
      </c>
      <c r="J19" s="14" t="s">
        <v>624</v>
      </c>
      <c r="K19" s="2" t="s">
        <v>1259</v>
      </c>
      <c r="L19" s="2" t="s">
        <v>686</v>
      </c>
      <c r="Q19"/>
    </row>
    <row r="20" spans="1:17" ht="14.4" hidden="1" x14ac:dyDescent="0.3">
      <c r="A20" s="2">
        <v>33960</v>
      </c>
      <c r="B20" s="8" t="s">
        <v>1185</v>
      </c>
      <c r="C20" t="s">
        <v>1184</v>
      </c>
      <c r="D20"/>
      <c r="E20" s="3" t="s">
        <v>620</v>
      </c>
      <c r="F20" s="11" t="b">
        <f t="shared" si="0"/>
        <v>0</v>
      </c>
      <c r="G20" s="8" t="s">
        <v>408</v>
      </c>
      <c r="J20" s="14" t="s">
        <v>624</v>
      </c>
      <c r="K20" s="2" t="s">
        <v>1259</v>
      </c>
      <c r="L20" s="2" t="s">
        <v>686</v>
      </c>
      <c r="Q20"/>
    </row>
    <row r="21" spans="1:17" ht="14.4" x14ac:dyDescent="0.3">
      <c r="A21" s="2">
        <v>56663</v>
      </c>
      <c r="B21" s="8" t="s">
        <v>496</v>
      </c>
      <c r="C21" t="s">
        <v>960</v>
      </c>
      <c r="D21"/>
      <c r="E21" s="3" t="s">
        <v>621</v>
      </c>
      <c r="F21" s="11" t="b">
        <f t="shared" si="0"/>
        <v>0</v>
      </c>
      <c r="G21" s="11" t="s">
        <v>1265</v>
      </c>
      <c r="H21" s="1" t="s">
        <v>278</v>
      </c>
      <c r="J21" s="14" t="s">
        <v>628</v>
      </c>
      <c r="K21" s="2" t="s">
        <v>1289</v>
      </c>
      <c r="L21" s="2" t="s">
        <v>686</v>
      </c>
      <c r="Q21"/>
    </row>
    <row r="22" spans="1:17" ht="14.4" x14ac:dyDescent="0.3">
      <c r="A22" s="2">
        <v>56667</v>
      </c>
      <c r="B22" s="8" t="s">
        <v>498</v>
      </c>
      <c r="C22" t="s">
        <v>962</v>
      </c>
      <c r="D22"/>
      <c r="E22" s="3" t="s">
        <v>621</v>
      </c>
      <c r="F22" s="11" t="b">
        <f t="shared" si="0"/>
        <v>0</v>
      </c>
      <c r="G22" s="11" t="s">
        <v>1265</v>
      </c>
      <c r="H22" s="1" t="s">
        <v>278</v>
      </c>
      <c r="J22" s="14" t="s">
        <v>628</v>
      </c>
      <c r="K22" s="2" t="s">
        <v>1289</v>
      </c>
      <c r="L22" s="2" t="s">
        <v>686</v>
      </c>
      <c r="Q22"/>
    </row>
    <row r="23" spans="1:17" ht="14.4" x14ac:dyDescent="0.3">
      <c r="A23" s="2">
        <v>56669</v>
      </c>
      <c r="B23" s="8" t="s">
        <v>500</v>
      </c>
      <c r="C23" t="s">
        <v>964</v>
      </c>
      <c r="D23"/>
      <c r="E23" s="3" t="s">
        <v>621</v>
      </c>
      <c r="F23" s="11" t="b">
        <f t="shared" si="0"/>
        <v>0</v>
      </c>
      <c r="G23" s="11" t="s">
        <v>1265</v>
      </c>
      <c r="H23" s="1" t="s">
        <v>278</v>
      </c>
      <c r="J23" s="14" t="s">
        <v>628</v>
      </c>
      <c r="K23" s="2" t="s">
        <v>1289</v>
      </c>
      <c r="L23" s="2" t="s">
        <v>686</v>
      </c>
      <c r="Q23"/>
    </row>
    <row r="24" spans="1:17" ht="14.4" hidden="1" x14ac:dyDescent="0.3">
      <c r="A24" s="2">
        <v>33965</v>
      </c>
      <c r="B24" s="8" t="s">
        <v>1187</v>
      </c>
      <c r="C24" t="s">
        <v>1186</v>
      </c>
      <c r="D24"/>
      <c r="E24" s="3" t="s">
        <v>620</v>
      </c>
      <c r="F24" s="11" t="b">
        <f t="shared" si="0"/>
        <v>0</v>
      </c>
      <c r="G24" s="8" t="s">
        <v>408</v>
      </c>
      <c r="J24" s="14" t="s">
        <v>624</v>
      </c>
      <c r="K24" s="2" t="s">
        <v>1259</v>
      </c>
      <c r="L24" s="2" t="s">
        <v>686</v>
      </c>
      <c r="Q24"/>
    </row>
    <row r="25" spans="1:17" ht="14.4" hidden="1" x14ac:dyDescent="0.3">
      <c r="A25" s="2">
        <v>39580</v>
      </c>
      <c r="B25" s="8" t="s">
        <v>440</v>
      </c>
      <c r="C25" t="s">
        <v>801</v>
      </c>
      <c r="D25"/>
      <c r="E25" s="3" t="s">
        <v>621</v>
      </c>
      <c r="F25" s="11" t="b">
        <f t="shared" si="0"/>
        <v>0</v>
      </c>
      <c r="G25" s="11" t="s">
        <v>409</v>
      </c>
      <c r="H25" s="1" t="s">
        <v>15</v>
      </c>
      <c r="J25" s="14" t="s">
        <v>624</v>
      </c>
      <c r="K25" s="2" t="s">
        <v>1259</v>
      </c>
      <c r="L25" s="2" t="s">
        <v>686</v>
      </c>
      <c r="Q25"/>
    </row>
    <row r="26" spans="1:17" ht="14.4" hidden="1" x14ac:dyDescent="0.3">
      <c r="A26" s="2">
        <v>59969</v>
      </c>
      <c r="B26" s="8" t="s">
        <v>324</v>
      </c>
      <c r="C26" t="s">
        <v>1032</v>
      </c>
      <c r="D26"/>
      <c r="E26" s="3" t="s">
        <v>621</v>
      </c>
      <c r="F26" s="11" t="b">
        <f t="shared" si="0"/>
        <v>0</v>
      </c>
      <c r="G26" s="11" t="s">
        <v>402</v>
      </c>
      <c r="H26" s="1" t="s">
        <v>277</v>
      </c>
      <c r="J26" s="14" t="s">
        <v>628</v>
      </c>
      <c r="K26" s="2" t="s">
        <v>1261</v>
      </c>
      <c r="L26" s="2" t="s">
        <v>686</v>
      </c>
      <c r="Q26"/>
    </row>
    <row r="27" spans="1:17" ht="14.4" hidden="1" x14ac:dyDescent="0.3">
      <c r="A27" s="2">
        <v>59973</v>
      </c>
      <c r="B27" s="8" t="s">
        <v>327</v>
      </c>
      <c r="C27" t="s">
        <v>1033</v>
      </c>
      <c r="D27"/>
      <c r="E27" s="3" t="s">
        <v>621</v>
      </c>
      <c r="F27" s="11" t="b">
        <f t="shared" si="0"/>
        <v>0</v>
      </c>
      <c r="G27" s="11" t="s">
        <v>402</v>
      </c>
      <c r="H27" s="1" t="s">
        <v>278</v>
      </c>
      <c r="J27" s="14" t="s">
        <v>628</v>
      </c>
      <c r="K27" s="2" t="s">
        <v>1261</v>
      </c>
      <c r="L27" s="2" t="s">
        <v>686</v>
      </c>
      <c r="Q27"/>
    </row>
    <row r="28" spans="1:17" ht="14.4" hidden="1" x14ac:dyDescent="0.3">
      <c r="A28" s="2">
        <v>59997</v>
      </c>
      <c r="B28" s="8" t="s">
        <v>590</v>
      </c>
      <c r="C28" t="s">
        <v>1046</v>
      </c>
      <c r="D28"/>
      <c r="E28" s="3" t="s">
        <v>621</v>
      </c>
      <c r="F28" s="11" t="b">
        <f t="shared" si="0"/>
        <v>0</v>
      </c>
      <c r="G28" s="11" t="s">
        <v>402</v>
      </c>
      <c r="H28" s="1" t="s">
        <v>280</v>
      </c>
      <c r="J28" s="14" t="s">
        <v>628</v>
      </c>
      <c r="K28" s="2" t="s">
        <v>1261</v>
      </c>
      <c r="L28" s="2" t="s">
        <v>686</v>
      </c>
      <c r="Q28"/>
    </row>
    <row r="29" spans="1:17" ht="14.4" hidden="1" x14ac:dyDescent="0.3">
      <c r="A29" s="2">
        <v>39584</v>
      </c>
      <c r="B29" s="8" t="s">
        <v>450</v>
      </c>
      <c r="C29" t="s">
        <v>803</v>
      </c>
      <c r="D29"/>
      <c r="E29" s="3" t="s">
        <v>621</v>
      </c>
      <c r="F29" s="11" t="b">
        <f t="shared" si="0"/>
        <v>0</v>
      </c>
      <c r="G29" s="11" t="s">
        <v>409</v>
      </c>
      <c r="H29" s="1" t="s">
        <v>287</v>
      </c>
      <c r="J29" s="14" t="s">
        <v>624</v>
      </c>
      <c r="K29" s="2" t="s">
        <v>1259</v>
      </c>
      <c r="L29" s="2" t="s">
        <v>686</v>
      </c>
      <c r="Q29"/>
    </row>
    <row r="30" spans="1:17" ht="14.4" hidden="1" x14ac:dyDescent="0.3">
      <c r="A30" s="2">
        <v>69968</v>
      </c>
      <c r="B30" s="8" t="s">
        <v>348</v>
      </c>
      <c r="C30" t="s">
        <v>1084</v>
      </c>
      <c r="D30"/>
      <c r="E30" s="3" t="s">
        <v>621</v>
      </c>
      <c r="F30" s="11" t="b">
        <f t="shared" si="0"/>
        <v>0</v>
      </c>
      <c r="G30" s="11" t="s">
        <v>403</v>
      </c>
      <c r="H30" s="1" t="s">
        <v>279</v>
      </c>
      <c r="J30" s="14" t="s">
        <v>628</v>
      </c>
      <c r="K30" s="2" t="s">
        <v>1260</v>
      </c>
      <c r="L30" s="2" t="s">
        <v>686</v>
      </c>
      <c r="Q30"/>
    </row>
    <row r="31" spans="1:17" ht="14.4" hidden="1" x14ac:dyDescent="0.3">
      <c r="A31" s="2">
        <v>56534</v>
      </c>
      <c r="B31" s="8" t="s">
        <v>415</v>
      </c>
      <c r="C31" t="s">
        <v>889</v>
      </c>
      <c r="D31"/>
      <c r="E31" s="3" t="s">
        <v>621</v>
      </c>
      <c r="F31" s="11" t="b">
        <f t="shared" si="0"/>
        <v>0</v>
      </c>
      <c r="G31" s="11" t="s">
        <v>401</v>
      </c>
      <c r="H31" s="1" t="s">
        <v>287</v>
      </c>
      <c r="J31" s="14" t="s">
        <v>624</v>
      </c>
      <c r="K31" s="2" t="s">
        <v>1263</v>
      </c>
      <c r="L31" s="2" t="s">
        <v>686</v>
      </c>
      <c r="Q31"/>
    </row>
    <row r="32" spans="1:17" ht="14.4" x14ac:dyDescent="0.3">
      <c r="A32" s="2">
        <v>56601</v>
      </c>
      <c r="B32" s="8" t="s">
        <v>460</v>
      </c>
      <c r="C32" t="s">
        <v>926</v>
      </c>
      <c r="D32"/>
      <c r="E32" s="3" t="s">
        <v>621</v>
      </c>
      <c r="F32" s="11" t="b">
        <f t="shared" si="0"/>
        <v>0</v>
      </c>
      <c r="G32" s="11" t="s">
        <v>1265</v>
      </c>
      <c r="H32" s="1" t="s">
        <v>266</v>
      </c>
      <c r="J32" s="14" t="s">
        <v>624</v>
      </c>
      <c r="K32" s="2" t="s">
        <v>1289</v>
      </c>
      <c r="L32" s="2" t="s">
        <v>686</v>
      </c>
      <c r="Q32"/>
    </row>
    <row r="33" spans="1:17" ht="14.4" hidden="1" x14ac:dyDescent="0.3">
      <c r="A33" s="2">
        <v>5028</v>
      </c>
      <c r="B33" s="8" t="s">
        <v>1171</v>
      </c>
      <c r="C33" s="2" t="s">
        <v>1170</v>
      </c>
      <c r="E33" s="3" t="s">
        <v>620</v>
      </c>
      <c r="F33" s="11" t="b">
        <f t="shared" si="0"/>
        <v>0</v>
      </c>
      <c r="G33" s="11" t="s">
        <v>119</v>
      </c>
      <c r="J33" s="14" t="s">
        <v>628</v>
      </c>
      <c r="K33" s="2" t="s">
        <v>458</v>
      </c>
      <c r="L33" s="2" t="s">
        <v>623</v>
      </c>
      <c r="Q33" s="2" t="s">
        <v>1257</v>
      </c>
    </row>
    <row r="34" spans="1:17" ht="14.4" x14ac:dyDescent="0.3">
      <c r="A34" s="2">
        <v>56610</v>
      </c>
      <c r="B34" s="8" t="s">
        <v>475</v>
      </c>
      <c r="C34" t="s">
        <v>932</v>
      </c>
      <c r="D34"/>
      <c r="E34" s="3" t="s">
        <v>621</v>
      </c>
      <c r="F34" s="11" t="b">
        <f t="shared" si="0"/>
        <v>0</v>
      </c>
      <c r="G34" s="11" t="s">
        <v>1265</v>
      </c>
      <c r="H34" s="1" t="s">
        <v>275</v>
      </c>
      <c r="J34" s="14" t="s">
        <v>624</v>
      </c>
      <c r="K34" s="2" t="s">
        <v>1289</v>
      </c>
      <c r="L34" s="2" t="s">
        <v>686</v>
      </c>
      <c r="Q34"/>
    </row>
    <row r="35" spans="1:17" ht="14.4" hidden="1" x14ac:dyDescent="0.3">
      <c r="A35" s="2">
        <v>33576</v>
      </c>
      <c r="B35" s="8" t="s">
        <v>1179</v>
      </c>
      <c r="C35" t="s">
        <v>1178</v>
      </c>
      <c r="D35"/>
      <c r="E35" s="3" t="s">
        <v>620</v>
      </c>
      <c r="F35" s="11" t="b">
        <f t="shared" si="0"/>
        <v>0</v>
      </c>
      <c r="G35" s="11" t="s">
        <v>396</v>
      </c>
      <c r="J35" s="14" t="s">
        <v>628</v>
      </c>
      <c r="K35" s="2" t="s">
        <v>1259</v>
      </c>
      <c r="L35" s="2" t="s">
        <v>686</v>
      </c>
      <c r="Q35"/>
    </row>
    <row r="36" spans="1:17" ht="14.4" hidden="1" x14ac:dyDescent="0.3">
      <c r="A36" s="2">
        <v>7011</v>
      </c>
      <c r="B36" s="8" t="s">
        <v>1175</v>
      </c>
      <c r="C36" s="2" t="s">
        <v>1174</v>
      </c>
      <c r="D36" s="2">
        <v>1</v>
      </c>
      <c r="E36" s="3" t="s">
        <v>620</v>
      </c>
      <c r="F36" s="11" t="b">
        <f t="shared" si="0"/>
        <v>0</v>
      </c>
      <c r="G36" s="11" t="s">
        <v>394</v>
      </c>
      <c r="J36" s="14" t="s">
        <v>624</v>
      </c>
      <c r="K36" s="2" t="s">
        <v>458</v>
      </c>
      <c r="L36" s="2" t="s">
        <v>623</v>
      </c>
      <c r="Q36"/>
    </row>
    <row r="37" spans="1:17" ht="14.4" hidden="1" x14ac:dyDescent="0.3">
      <c r="A37" s="2">
        <v>59935</v>
      </c>
      <c r="B37" s="8" t="s">
        <v>63</v>
      </c>
      <c r="C37" t="s">
        <v>1014</v>
      </c>
      <c r="D37"/>
      <c r="E37" s="3" t="s">
        <v>621</v>
      </c>
      <c r="F37" s="11" t="b">
        <f t="shared" si="0"/>
        <v>0</v>
      </c>
      <c r="G37" s="11" t="s">
        <v>402</v>
      </c>
      <c r="H37" s="1" t="s">
        <v>271</v>
      </c>
      <c r="J37" s="14" t="s">
        <v>624</v>
      </c>
      <c r="K37" s="2" t="s">
        <v>1261</v>
      </c>
      <c r="L37" s="2" t="s">
        <v>686</v>
      </c>
      <c r="Q37"/>
    </row>
    <row r="38" spans="1:17" ht="14.4" hidden="1" x14ac:dyDescent="0.3">
      <c r="A38" s="2">
        <v>59945</v>
      </c>
      <c r="B38" s="8" t="s">
        <v>186</v>
      </c>
      <c r="C38" t="s">
        <v>1018</v>
      </c>
      <c r="D38"/>
      <c r="E38" s="3" t="s">
        <v>621</v>
      </c>
      <c r="F38" s="11" t="b">
        <f t="shared" si="0"/>
        <v>0</v>
      </c>
      <c r="G38" s="11" t="s">
        <v>402</v>
      </c>
      <c r="H38" s="1" t="s">
        <v>273</v>
      </c>
      <c r="J38" s="14" t="s">
        <v>624</v>
      </c>
      <c r="K38" s="2" t="s">
        <v>1261</v>
      </c>
      <c r="L38" s="2" t="s">
        <v>686</v>
      </c>
      <c r="Q38"/>
    </row>
    <row r="39" spans="1:17" ht="14.4" hidden="1" x14ac:dyDescent="0.3">
      <c r="A39" s="2">
        <v>69925</v>
      </c>
      <c r="B39" s="8" t="s">
        <v>300</v>
      </c>
      <c r="C39" t="s">
        <v>1062</v>
      </c>
      <c r="D39"/>
      <c r="E39" s="3" t="s">
        <v>621</v>
      </c>
      <c r="F39" s="11" t="b">
        <f t="shared" si="0"/>
        <v>0</v>
      </c>
      <c r="G39" s="11" t="s">
        <v>403</v>
      </c>
      <c r="H39" s="1" t="s">
        <v>270</v>
      </c>
      <c r="J39" s="14" t="s">
        <v>624</v>
      </c>
      <c r="K39" s="2" t="s">
        <v>1260</v>
      </c>
      <c r="L39" s="2" t="s">
        <v>686</v>
      </c>
      <c r="Q39"/>
    </row>
    <row r="40" spans="1:17" ht="14.4" hidden="1" x14ac:dyDescent="0.3">
      <c r="A40" s="2">
        <v>56587</v>
      </c>
      <c r="B40" s="8" t="s">
        <v>462</v>
      </c>
      <c r="C40" t="s">
        <v>924</v>
      </c>
      <c r="D40"/>
      <c r="E40" s="3" t="s">
        <v>621</v>
      </c>
      <c r="F40" s="11" t="b">
        <f t="shared" si="0"/>
        <v>0</v>
      </c>
      <c r="G40" s="11" t="s">
        <v>400</v>
      </c>
      <c r="H40" s="1" t="s">
        <v>280</v>
      </c>
      <c r="J40" s="14" t="s">
        <v>628</v>
      </c>
      <c r="K40" s="2" t="s">
        <v>1263</v>
      </c>
      <c r="L40" s="2" t="s">
        <v>686</v>
      </c>
      <c r="Q40"/>
    </row>
    <row r="41" spans="1:17" ht="14.4" hidden="1" x14ac:dyDescent="0.3">
      <c r="A41" s="2">
        <v>33950</v>
      </c>
      <c r="B41" s="8" t="s">
        <v>1181</v>
      </c>
      <c r="C41" t="s">
        <v>1180</v>
      </c>
      <c r="D41">
        <v>1</v>
      </c>
      <c r="E41" s="3" t="s">
        <v>620</v>
      </c>
      <c r="F41" s="11" t="b">
        <f t="shared" si="0"/>
        <v>0</v>
      </c>
      <c r="G41" s="8" t="s">
        <v>408</v>
      </c>
      <c r="J41" s="14" t="s">
        <v>624</v>
      </c>
      <c r="K41" s="2" t="s">
        <v>1259</v>
      </c>
      <c r="L41" s="2" t="s">
        <v>686</v>
      </c>
      <c r="Q41"/>
    </row>
    <row r="42" spans="1:17" ht="14.4" hidden="1" x14ac:dyDescent="0.3">
      <c r="A42" s="2">
        <v>33955</v>
      </c>
      <c r="B42" s="8" t="s">
        <v>1183</v>
      </c>
      <c r="C42" t="s">
        <v>1182</v>
      </c>
      <c r="D42">
        <v>1</v>
      </c>
      <c r="E42" s="3" t="s">
        <v>620</v>
      </c>
      <c r="F42" s="11" t="b">
        <f t="shared" si="0"/>
        <v>0</v>
      </c>
      <c r="G42" s="8" t="s">
        <v>408</v>
      </c>
      <c r="J42" s="14" t="s">
        <v>624</v>
      </c>
      <c r="K42" s="2" t="s">
        <v>1259</v>
      </c>
      <c r="L42" s="2" t="s">
        <v>686</v>
      </c>
      <c r="Q42"/>
    </row>
    <row r="43" spans="1:17" ht="14.4" hidden="1" x14ac:dyDescent="0.3">
      <c r="A43" s="2">
        <v>39284</v>
      </c>
      <c r="B43" s="8" t="s">
        <v>552</v>
      </c>
      <c r="C43" t="s">
        <v>776</v>
      </c>
      <c r="D43"/>
      <c r="E43" s="3" t="s">
        <v>621</v>
      </c>
      <c r="F43" s="11" t="b">
        <f t="shared" si="0"/>
        <v>0</v>
      </c>
      <c r="G43" s="11" t="s">
        <v>398</v>
      </c>
      <c r="H43" s="1" t="s">
        <v>280</v>
      </c>
      <c r="J43" s="14" t="s">
        <v>624</v>
      </c>
      <c r="K43" s="2" t="s">
        <v>1262</v>
      </c>
      <c r="L43" s="2" t="s">
        <v>686</v>
      </c>
      <c r="Q43"/>
    </row>
    <row r="44" spans="1:17" ht="14.4" hidden="1" x14ac:dyDescent="0.3">
      <c r="A44" s="2">
        <v>39290</v>
      </c>
      <c r="B44" s="8" t="s">
        <v>247</v>
      </c>
      <c r="C44" t="s">
        <v>782</v>
      </c>
      <c r="D44"/>
      <c r="E44" s="3" t="s">
        <v>621</v>
      </c>
      <c r="F44" s="11" t="b">
        <f t="shared" si="0"/>
        <v>0</v>
      </c>
      <c r="G44" s="11" t="s">
        <v>398</v>
      </c>
      <c r="H44" s="1" t="s">
        <v>280</v>
      </c>
      <c r="J44" s="14" t="s">
        <v>624</v>
      </c>
      <c r="K44" s="2" t="s">
        <v>1262</v>
      </c>
      <c r="L44" s="2" t="s">
        <v>686</v>
      </c>
      <c r="Q44"/>
    </row>
    <row r="45" spans="1:17" ht="14.4" hidden="1" x14ac:dyDescent="0.3">
      <c r="A45" s="2">
        <v>7459</v>
      </c>
      <c r="B45" s="8" t="s">
        <v>428</v>
      </c>
      <c r="C45" s="2" t="s">
        <v>661</v>
      </c>
      <c r="D45" s="2">
        <v>1</v>
      </c>
      <c r="E45" s="3" t="s">
        <v>621</v>
      </c>
      <c r="F45" s="11" t="b">
        <f t="shared" si="0"/>
        <v>0</v>
      </c>
      <c r="G45" s="11" t="s">
        <v>394</v>
      </c>
      <c r="H45" s="1" t="s">
        <v>293</v>
      </c>
      <c r="J45" s="14" t="s">
        <v>624</v>
      </c>
      <c r="K45" s="2" t="s">
        <v>458</v>
      </c>
      <c r="L45" s="2" t="s">
        <v>623</v>
      </c>
      <c r="Q45"/>
    </row>
    <row r="46" spans="1:17" ht="14.4" hidden="1" x14ac:dyDescent="0.3">
      <c r="A46" s="2">
        <v>39257</v>
      </c>
      <c r="B46" s="8" t="s">
        <v>70</v>
      </c>
      <c r="C46" t="s">
        <v>765</v>
      </c>
      <c r="D46"/>
      <c r="E46" s="3" t="s">
        <v>621</v>
      </c>
      <c r="F46" s="11" t="b">
        <f t="shared" si="0"/>
        <v>0</v>
      </c>
      <c r="G46" s="11" t="s">
        <v>398</v>
      </c>
      <c r="H46" s="1" t="s">
        <v>272</v>
      </c>
      <c r="J46" s="14" t="s">
        <v>624</v>
      </c>
      <c r="K46" s="2" t="s">
        <v>1262</v>
      </c>
      <c r="L46" s="2" t="s">
        <v>686</v>
      </c>
      <c r="Q46"/>
    </row>
    <row r="47" spans="1:17" ht="14.4" x14ac:dyDescent="0.3">
      <c r="A47" s="2">
        <v>56603</v>
      </c>
      <c r="B47" s="8" t="s">
        <v>471</v>
      </c>
      <c r="C47" t="s">
        <v>928</v>
      </c>
      <c r="D47"/>
      <c r="E47" s="3" t="s">
        <v>621</v>
      </c>
      <c r="F47" s="11" t="b">
        <f t="shared" si="0"/>
        <v>0</v>
      </c>
      <c r="G47" s="11" t="s">
        <v>1265</v>
      </c>
      <c r="H47" s="1" t="s">
        <v>267</v>
      </c>
      <c r="J47" s="14" t="s">
        <v>624</v>
      </c>
      <c r="K47" s="2" t="s">
        <v>1289</v>
      </c>
      <c r="L47" s="2" t="s">
        <v>686</v>
      </c>
      <c r="Q47"/>
    </row>
    <row r="48" spans="1:17" ht="14.4" hidden="1" x14ac:dyDescent="0.3">
      <c r="A48" s="2">
        <v>39201</v>
      </c>
      <c r="B48" s="8" t="s">
        <v>525</v>
      </c>
      <c r="C48" t="s">
        <v>736</v>
      </c>
      <c r="D48"/>
      <c r="E48" s="3" t="s">
        <v>621</v>
      </c>
      <c r="F48" s="11" t="b">
        <f t="shared" si="0"/>
        <v>0</v>
      </c>
      <c r="G48" s="11" t="s">
        <v>398</v>
      </c>
      <c r="H48" s="1" t="s">
        <v>280</v>
      </c>
      <c r="J48" s="14" t="s">
        <v>628</v>
      </c>
      <c r="K48" s="2" t="s">
        <v>1262</v>
      </c>
      <c r="L48" s="2" t="s">
        <v>686</v>
      </c>
      <c r="Q48"/>
    </row>
    <row r="49" spans="1:17" ht="14.4" hidden="1" x14ac:dyDescent="0.3">
      <c r="A49" s="2">
        <v>39202</v>
      </c>
      <c r="B49" s="8" t="s">
        <v>526</v>
      </c>
      <c r="C49" t="s">
        <v>737</v>
      </c>
      <c r="D49"/>
      <c r="E49" s="3" t="s">
        <v>621</v>
      </c>
      <c r="F49" s="11" t="b">
        <f t="shared" si="0"/>
        <v>0</v>
      </c>
      <c r="G49" s="11" t="s">
        <v>398</v>
      </c>
      <c r="H49" s="1" t="s">
        <v>280</v>
      </c>
      <c r="J49" s="14" t="s">
        <v>628</v>
      </c>
      <c r="K49" s="2" t="s">
        <v>1262</v>
      </c>
      <c r="L49" s="2" t="s">
        <v>686</v>
      </c>
      <c r="Q49"/>
    </row>
    <row r="50" spans="1:17" ht="14.4" x14ac:dyDescent="0.3">
      <c r="A50" s="2">
        <v>56613</v>
      </c>
      <c r="B50" s="8" t="s">
        <v>477</v>
      </c>
      <c r="C50" t="s">
        <v>934</v>
      </c>
      <c r="D50"/>
      <c r="E50" s="3" t="s">
        <v>621</v>
      </c>
      <c r="F50" s="11" t="b">
        <f t="shared" si="0"/>
        <v>0</v>
      </c>
      <c r="G50" s="11" t="s">
        <v>1265</v>
      </c>
      <c r="H50" s="1" t="s">
        <v>272</v>
      </c>
      <c r="J50" s="14" t="s">
        <v>624</v>
      </c>
      <c r="K50" s="2" t="s">
        <v>1289</v>
      </c>
      <c r="L50" s="2" t="s">
        <v>686</v>
      </c>
      <c r="Q50"/>
    </row>
    <row r="51" spans="1:17" ht="14.4" hidden="1" x14ac:dyDescent="0.3">
      <c r="A51" s="2">
        <v>5029</v>
      </c>
      <c r="B51" s="8" t="s">
        <v>1171</v>
      </c>
      <c r="C51" s="2" t="s">
        <v>1190</v>
      </c>
      <c r="E51" s="3" t="s">
        <v>620</v>
      </c>
      <c r="F51" s="11" t="b">
        <f t="shared" si="0"/>
        <v>0</v>
      </c>
      <c r="G51" s="11" t="s">
        <v>119</v>
      </c>
      <c r="J51" s="14" t="s">
        <v>628</v>
      </c>
      <c r="K51" s="2" t="s">
        <v>458</v>
      </c>
      <c r="L51" s="2" t="s">
        <v>623</v>
      </c>
      <c r="Q51" s="2" t="s">
        <v>1257</v>
      </c>
    </row>
    <row r="52" spans="1:17" ht="14.4" hidden="1" x14ac:dyDescent="0.3">
      <c r="A52" s="2">
        <v>39864</v>
      </c>
      <c r="B52" s="8" t="s">
        <v>133</v>
      </c>
      <c r="C52" t="s">
        <v>844</v>
      </c>
      <c r="D52"/>
      <c r="E52" s="3" t="s">
        <v>621</v>
      </c>
      <c r="F52" s="11" t="b">
        <f t="shared" si="0"/>
        <v>0</v>
      </c>
      <c r="G52" s="11" t="s">
        <v>399</v>
      </c>
      <c r="H52" s="1" t="s">
        <v>278</v>
      </c>
      <c r="J52" s="14" t="s">
        <v>628</v>
      </c>
      <c r="K52" s="2" t="s">
        <v>1260</v>
      </c>
      <c r="L52" s="2" t="s">
        <v>686</v>
      </c>
      <c r="Q52"/>
    </row>
    <row r="53" spans="1:17" ht="14.4" hidden="1" x14ac:dyDescent="0.3">
      <c r="A53" s="2">
        <v>39869</v>
      </c>
      <c r="B53" s="8" t="s">
        <v>181</v>
      </c>
      <c r="C53" t="s">
        <v>846</v>
      </c>
      <c r="D53"/>
      <c r="E53" s="3" t="s">
        <v>621</v>
      </c>
      <c r="F53" s="11" t="b">
        <f t="shared" si="0"/>
        <v>0</v>
      </c>
      <c r="G53" s="11" t="s">
        <v>399</v>
      </c>
      <c r="H53" s="1" t="s">
        <v>277</v>
      </c>
      <c r="J53" s="14" t="s">
        <v>628</v>
      </c>
      <c r="K53" s="2" t="s">
        <v>1260</v>
      </c>
      <c r="L53" s="2" t="s">
        <v>686</v>
      </c>
      <c r="Q53"/>
    </row>
    <row r="54" spans="1:17" ht="14.4" hidden="1" x14ac:dyDescent="0.3">
      <c r="A54" s="2">
        <v>39883</v>
      </c>
      <c r="B54" s="8" t="s">
        <v>555</v>
      </c>
      <c r="C54" t="s">
        <v>849</v>
      </c>
      <c r="D54"/>
      <c r="E54" s="3" t="s">
        <v>621</v>
      </c>
      <c r="F54" s="11" t="b">
        <f t="shared" si="0"/>
        <v>0</v>
      </c>
      <c r="G54" s="11" t="s">
        <v>399</v>
      </c>
      <c r="H54" s="1" t="s">
        <v>280</v>
      </c>
      <c r="J54" s="14" t="s">
        <v>628</v>
      </c>
      <c r="K54" s="2" t="s">
        <v>1260</v>
      </c>
      <c r="L54" s="2" t="s">
        <v>686</v>
      </c>
      <c r="Q54"/>
    </row>
    <row r="55" spans="1:17" ht="14.4" hidden="1" x14ac:dyDescent="0.3">
      <c r="A55" s="2">
        <v>39889</v>
      </c>
      <c r="B55" s="8" t="s">
        <v>250</v>
      </c>
      <c r="C55" t="s">
        <v>855</v>
      </c>
      <c r="D55"/>
      <c r="E55" s="3" t="s">
        <v>621</v>
      </c>
      <c r="F55" s="11" t="b">
        <f t="shared" si="0"/>
        <v>0</v>
      </c>
      <c r="G55" s="11" t="s">
        <v>399</v>
      </c>
      <c r="H55" s="1" t="s">
        <v>280</v>
      </c>
      <c r="J55" s="14" t="s">
        <v>628</v>
      </c>
      <c r="K55" s="2" t="s">
        <v>1260</v>
      </c>
      <c r="L55" s="2" t="s">
        <v>686</v>
      </c>
      <c r="Q55"/>
    </row>
    <row r="56" spans="1:17" ht="14.4" hidden="1" x14ac:dyDescent="0.3">
      <c r="A56" s="2">
        <v>39897</v>
      </c>
      <c r="B56" s="8" t="s">
        <v>586</v>
      </c>
      <c r="C56" t="s">
        <v>860</v>
      </c>
      <c r="D56"/>
      <c r="E56" s="3" t="s">
        <v>621</v>
      </c>
      <c r="F56" s="11" t="b">
        <f t="shared" si="0"/>
        <v>0</v>
      </c>
      <c r="G56" s="11" t="s">
        <v>399</v>
      </c>
      <c r="H56" s="1" t="s">
        <v>280</v>
      </c>
      <c r="J56" s="14" t="s">
        <v>628</v>
      </c>
      <c r="K56" s="2" t="s">
        <v>1260</v>
      </c>
      <c r="L56" s="2" t="s">
        <v>686</v>
      </c>
      <c r="Q56"/>
    </row>
    <row r="57" spans="1:17" ht="14.4" hidden="1" x14ac:dyDescent="0.3">
      <c r="A57" s="2">
        <v>56525</v>
      </c>
      <c r="B57" s="8" t="s">
        <v>523</v>
      </c>
      <c r="C57" t="s">
        <v>884</v>
      </c>
      <c r="D57"/>
      <c r="E57" s="3" t="s">
        <v>621</v>
      </c>
      <c r="F57" s="11" t="b">
        <f t="shared" si="0"/>
        <v>0</v>
      </c>
      <c r="G57" s="11" t="s">
        <v>400</v>
      </c>
      <c r="H57" s="1" t="s">
        <v>280</v>
      </c>
      <c r="J57" s="14" t="s">
        <v>628</v>
      </c>
      <c r="K57" s="2" t="s">
        <v>1263</v>
      </c>
      <c r="L57" s="2" t="s">
        <v>686</v>
      </c>
      <c r="Q57"/>
    </row>
    <row r="58" spans="1:17" ht="14.4" hidden="1" x14ac:dyDescent="0.3">
      <c r="A58" s="2">
        <v>56544</v>
      </c>
      <c r="B58" s="8" t="s">
        <v>559</v>
      </c>
      <c r="C58" t="s">
        <v>894</v>
      </c>
      <c r="D58"/>
      <c r="E58" s="3" t="s">
        <v>621</v>
      </c>
      <c r="F58" s="11" t="b">
        <f t="shared" si="0"/>
        <v>0</v>
      </c>
      <c r="G58" s="11" t="s">
        <v>400</v>
      </c>
      <c r="H58" s="1" t="s">
        <v>280</v>
      </c>
      <c r="J58" s="14" t="s">
        <v>628</v>
      </c>
      <c r="K58" s="2" t="s">
        <v>1263</v>
      </c>
      <c r="L58" s="2" t="s">
        <v>686</v>
      </c>
      <c r="Q58"/>
    </row>
    <row r="59" spans="1:17" ht="14.4" hidden="1" x14ac:dyDescent="0.3">
      <c r="A59" s="2">
        <v>5032</v>
      </c>
      <c r="B59" s="8" t="s">
        <v>1171</v>
      </c>
      <c r="C59" s="2" t="s">
        <v>1191</v>
      </c>
      <c r="E59" s="3" t="s">
        <v>620</v>
      </c>
      <c r="F59" s="11" t="b">
        <f t="shared" si="0"/>
        <v>0</v>
      </c>
      <c r="G59" s="11" t="s">
        <v>119</v>
      </c>
      <c r="J59" s="14" t="s">
        <v>628</v>
      </c>
      <c r="K59" s="2" t="s">
        <v>458</v>
      </c>
      <c r="L59" s="2" t="s">
        <v>623</v>
      </c>
      <c r="Q59" s="2" t="s">
        <v>1257</v>
      </c>
    </row>
    <row r="60" spans="1:17" ht="14.4" hidden="1" x14ac:dyDescent="0.3">
      <c r="A60" s="2">
        <v>5044</v>
      </c>
      <c r="B60" s="8" t="s">
        <v>1193</v>
      </c>
      <c r="C60" s="2" t="s">
        <v>1192</v>
      </c>
      <c r="E60" s="3" t="s">
        <v>620</v>
      </c>
      <c r="F60" s="11" t="b">
        <f t="shared" si="0"/>
        <v>0</v>
      </c>
      <c r="G60" s="11" t="s">
        <v>119</v>
      </c>
      <c r="J60" s="14" t="s">
        <v>628</v>
      </c>
      <c r="K60" s="2" t="s">
        <v>458</v>
      </c>
      <c r="L60" s="2" t="s">
        <v>623</v>
      </c>
      <c r="Q60" s="2" t="s">
        <v>1257</v>
      </c>
    </row>
    <row r="61" spans="1:17" ht="14.4" x14ac:dyDescent="0.3">
      <c r="A61" s="2">
        <v>56625</v>
      </c>
      <c r="B61" s="8" t="s">
        <v>480</v>
      </c>
      <c r="C61" t="s">
        <v>937</v>
      </c>
      <c r="D61"/>
      <c r="E61" s="3" t="s">
        <v>621</v>
      </c>
      <c r="F61" s="11" t="b">
        <f t="shared" si="0"/>
        <v>0</v>
      </c>
      <c r="G61" s="11" t="s">
        <v>1265</v>
      </c>
      <c r="H61" s="1" t="s">
        <v>280</v>
      </c>
      <c r="J61" s="14" t="s">
        <v>628</v>
      </c>
      <c r="K61" s="2" t="s">
        <v>1289</v>
      </c>
      <c r="L61" s="2" t="s">
        <v>686</v>
      </c>
      <c r="Q61"/>
    </row>
    <row r="62" spans="1:17" ht="14.4" x14ac:dyDescent="0.3">
      <c r="A62" s="2">
        <v>56673</v>
      </c>
      <c r="B62" s="8" t="s">
        <v>503</v>
      </c>
      <c r="C62" t="s">
        <v>968</v>
      </c>
      <c r="D62"/>
      <c r="E62" s="3" t="s">
        <v>621</v>
      </c>
      <c r="F62" s="11" t="b">
        <f t="shared" si="0"/>
        <v>0</v>
      </c>
      <c r="G62" s="11" t="s">
        <v>1265</v>
      </c>
      <c r="H62" s="1" t="s">
        <v>278</v>
      </c>
      <c r="J62" s="14" t="s">
        <v>628</v>
      </c>
      <c r="K62" s="2" t="s">
        <v>1289</v>
      </c>
      <c r="L62" s="2" t="s">
        <v>686</v>
      </c>
      <c r="Q62"/>
    </row>
    <row r="63" spans="1:17" ht="14.4" x14ac:dyDescent="0.3">
      <c r="A63" s="2">
        <v>56684</v>
      </c>
      <c r="B63" s="8" t="s">
        <v>507</v>
      </c>
      <c r="C63" t="s">
        <v>972</v>
      </c>
      <c r="D63"/>
      <c r="E63" s="3" t="s">
        <v>621</v>
      </c>
      <c r="F63" s="11" t="b">
        <f t="shared" si="0"/>
        <v>0</v>
      </c>
      <c r="G63" s="11" t="s">
        <v>1265</v>
      </c>
      <c r="H63" s="1" t="s">
        <v>280</v>
      </c>
      <c r="J63" s="14" t="s">
        <v>628</v>
      </c>
      <c r="K63" s="2" t="s">
        <v>1289</v>
      </c>
      <c r="L63" s="2" t="s">
        <v>686</v>
      </c>
      <c r="Q63"/>
    </row>
    <row r="64" spans="1:17" ht="14.4" hidden="1" x14ac:dyDescent="0.3">
      <c r="A64" s="2">
        <v>59901</v>
      </c>
      <c r="B64" s="8" t="s">
        <v>517</v>
      </c>
      <c r="C64" t="s">
        <v>996</v>
      </c>
      <c r="D64"/>
      <c r="E64" s="3" t="s">
        <v>621</v>
      </c>
      <c r="F64" s="11" t="b">
        <f t="shared" si="0"/>
        <v>0</v>
      </c>
      <c r="G64" s="11" t="s">
        <v>402</v>
      </c>
      <c r="H64" s="1" t="s">
        <v>280</v>
      </c>
      <c r="J64" s="14" t="s">
        <v>628</v>
      </c>
      <c r="K64" s="2" t="s">
        <v>1261</v>
      </c>
      <c r="L64" s="2" t="s">
        <v>686</v>
      </c>
      <c r="Q64"/>
    </row>
    <row r="65" spans="1:17" ht="14.4" hidden="1" x14ac:dyDescent="0.3">
      <c r="A65" s="2">
        <v>59902</v>
      </c>
      <c r="B65" s="8" t="s">
        <v>518</v>
      </c>
      <c r="C65" t="s">
        <v>997</v>
      </c>
      <c r="D65"/>
      <c r="E65" s="3" t="s">
        <v>621</v>
      </c>
      <c r="F65" s="11" t="b">
        <f t="shared" si="0"/>
        <v>0</v>
      </c>
      <c r="G65" s="11" t="s">
        <v>402</v>
      </c>
      <c r="H65" s="1" t="s">
        <v>280</v>
      </c>
      <c r="J65" s="14" t="s">
        <v>628</v>
      </c>
      <c r="K65" s="2" t="s">
        <v>1261</v>
      </c>
      <c r="L65" s="2" t="s">
        <v>686</v>
      </c>
      <c r="Q65"/>
    </row>
    <row r="66" spans="1:17" ht="14.4" hidden="1" x14ac:dyDescent="0.3">
      <c r="A66" s="2">
        <v>59984</v>
      </c>
      <c r="B66" s="8" t="s">
        <v>568</v>
      </c>
      <c r="C66" t="s">
        <v>1036</v>
      </c>
      <c r="D66"/>
      <c r="E66" s="3" t="s">
        <v>621</v>
      </c>
      <c r="F66" s="11" t="b">
        <f t="shared" ref="F66:F129" si="1">ISNUMBER(SEARCH($F$1,B66))</f>
        <v>0</v>
      </c>
      <c r="G66" s="11" t="s">
        <v>402</v>
      </c>
      <c r="H66" s="1" t="s">
        <v>280</v>
      </c>
      <c r="J66" s="14" t="s">
        <v>628</v>
      </c>
      <c r="K66" s="2" t="s">
        <v>1261</v>
      </c>
      <c r="L66" s="2" t="s">
        <v>686</v>
      </c>
      <c r="Q66"/>
    </row>
    <row r="67" spans="1:17" ht="14.4" hidden="1" x14ac:dyDescent="0.3">
      <c r="A67" s="2">
        <v>59988</v>
      </c>
      <c r="B67" s="8" t="s">
        <v>570</v>
      </c>
      <c r="C67" t="s">
        <v>1040</v>
      </c>
      <c r="D67"/>
      <c r="E67" s="3" t="s">
        <v>621</v>
      </c>
      <c r="F67" s="11" t="b">
        <f t="shared" si="1"/>
        <v>0</v>
      </c>
      <c r="G67" s="11" t="s">
        <v>402</v>
      </c>
      <c r="H67" s="1" t="s">
        <v>280</v>
      </c>
      <c r="J67" s="14" t="s">
        <v>628</v>
      </c>
      <c r="K67" s="2" t="s">
        <v>1261</v>
      </c>
      <c r="L67" s="2" t="s">
        <v>686</v>
      </c>
      <c r="Q67"/>
    </row>
    <row r="68" spans="1:17" ht="14.4" hidden="1" x14ac:dyDescent="0.3">
      <c r="A68" s="2">
        <v>59989</v>
      </c>
      <c r="B68" s="8" t="s">
        <v>242</v>
      </c>
      <c r="C68" t="s">
        <v>1041</v>
      </c>
      <c r="D68"/>
      <c r="E68" s="3" t="s">
        <v>621</v>
      </c>
      <c r="F68" s="11" t="b">
        <f t="shared" si="1"/>
        <v>0</v>
      </c>
      <c r="G68" s="11" t="s">
        <v>402</v>
      </c>
      <c r="H68" s="1" t="s">
        <v>280</v>
      </c>
      <c r="J68" s="14" t="s">
        <v>628</v>
      </c>
      <c r="K68" s="2" t="s">
        <v>1261</v>
      </c>
      <c r="L68" s="2" t="s">
        <v>686</v>
      </c>
      <c r="Q68"/>
    </row>
    <row r="69" spans="1:17" ht="14.4" hidden="1" x14ac:dyDescent="0.3">
      <c r="A69" s="2">
        <v>59990</v>
      </c>
      <c r="B69" s="8" t="s">
        <v>243</v>
      </c>
      <c r="C69" t="s">
        <v>1042</v>
      </c>
      <c r="D69"/>
      <c r="E69" s="3" t="s">
        <v>621</v>
      </c>
      <c r="F69" s="11" t="b">
        <f t="shared" si="1"/>
        <v>0</v>
      </c>
      <c r="G69" s="11" t="s">
        <v>402</v>
      </c>
      <c r="H69" s="1" t="s">
        <v>280</v>
      </c>
      <c r="J69" s="14" t="s">
        <v>628</v>
      </c>
      <c r="K69" s="2" t="s">
        <v>1261</v>
      </c>
      <c r="L69" s="2" t="s">
        <v>686</v>
      </c>
      <c r="Q69"/>
    </row>
    <row r="70" spans="1:17" ht="14.4" hidden="1" x14ac:dyDescent="0.3">
      <c r="A70" s="2">
        <v>59996</v>
      </c>
      <c r="B70" s="8" t="s">
        <v>244</v>
      </c>
      <c r="C70" t="s">
        <v>1045</v>
      </c>
      <c r="D70"/>
      <c r="E70" s="3" t="s">
        <v>621</v>
      </c>
      <c r="F70" s="11" t="b">
        <f t="shared" si="1"/>
        <v>0</v>
      </c>
      <c r="G70" s="11" t="s">
        <v>402</v>
      </c>
      <c r="H70" s="1" t="s">
        <v>280</v>
      </c>
      <c r="J70" s="14" t="s">
        <v>628</v>
      </c>
      <c r="K70" s="2" t="s">
        <v>1261</v>
      </c>
      <c r="L70" s="2" t="s">
        <v>686</v>
      </c>
      <c r="Q70"/>
    </row>
    <row r="71" spans="1:17" ht="14.4" hidden="1" x14ac:dyDescent="0.3">
      <c r="A71" s="2">
        <v>69901</v>
      </c>
      <c r="B71" s="8" t="s">
        <v>538</v>
      </c>
      <c r="C71" t="s">
        <v>1049</v>
      </c>
      <c r="D71"/>
      <c r="E71" s="3" t="s">
        <v>621</v>
      </c>
      <c r="F71" s="11" t="b">
        <f t="shared" si="1"/>
        <v>0</v>
      </c>
      <c r="G71" s="11" t="s">
        <v>403</v>
      </c>
      <c r="H71" s="1" t="s">
        <v>280</v>
      </c>
      <c r="J71" s="14" t="s">
        <v>628</v>
      </c>
      <c r="K71" s="2" t="s">
        <v>1260</v>
      </c>
      <c r="L71" s="2" t="s">
        <v>686</v>
      </c>
      <c r="Q71"/>
    </row>
    <row r="72" spans="1:17" ht="14.4" hidden="1" x14ac:dyDescent="0.3">
      <c r="A72" s="2">
        <v>69983</v>
      </c>
      <c r="B72" s="8" t="s">
        <v>571</v>
      </c>
      <c r="C72" t="s">
        <v>1088</v>
      </c>
      <c r="D72"/>
      <c r="E72" s="3" t="s">
        <v>621</v>
      </c>
      <c r="F72" s="11" t="b">
        <f t="shared" si="1"/>
        <v>0</v>
      </c>
      <c r="G72" s="11" t="s">
        <v>403</v>
      </c>
      <c r="H72" s="1" t="s">
        <v>280</v>
      </c>
      <c r="J72" s="14" t="s">
        <v>628</v>
      </c>
      <c r="K72" s="2" t="s">
        <v>1260</v>
      </c>
      <c r="L72" s="2" t="s">
        <v>686</v>
      </c>
      <c r="Q72"/>
    </row>
    <row r="73" spans="1:17" ht="14.4" hidden="1" x14ac:dyDescent="0.3">
      <c r="A73" s="2">
        <v>69984</v>
      </c>
      <c r="B73" s="8" t="s">
        <v>572</v>
      </c>
      <c r="C73" t="s">
        <v>1089</v>
      </c>
      <c r="D73"/>
      <c r="E73" s="3" t="s">
        <v>621</v>
      </c>
      <c r="F73" s="11" t="b">
        <f t="shared" si="1"/>
        <v>0</v>
      </c>
      <c r="G73" s="11" t="s">
        <v>403</v>
      </c>
      <c r="H73" s="1" t="s">
        <v>280</v>
      </c>
      <c r="J73" s="14" t="s">
        <v>628</v>
      </c>
      <c r="K73" s="2" t="s">
        <v>1260</v>
      </c>
      <c r="L73" s="2" t="s">
        <v>686</v>
      </c>
      <c r="Q73"/>
    </row>
    <row r="74" spans="1:17" ht="14.4" hidden="1" x14ac:dyDescent="0.3">
      <c r="A74" s="2">
        <v>69986</v>
      </c>
      <c r="B74" s="8" t="s">
        <v>573</v>
      </c>
      <c r="C74" t="s">
        <v>1091</v>
      </c>
      <c r="D74"/>
      <c r="E74" s="3" t="s">
        <v>621</v>
      </c>
      <c r="F74" s="11" t="b">
        <f t="shared" si="1"/>
        <v>0</v>
      </c>
      <c r="G74" s="11" t="s">
        <v>403</v>
      </c>
      <c r="H74" s="1" t="s">
        <v>280</v>
      </c>
      <c r="J74" s="14" t="s">
        <v>628</v>
      </c>
      <c r="K74" s="2" t="s">
        <v>1260</v>
      </c>
      <c r="L74" s="2" t="s">
        <v>686</v>
      </c>
      <c r="Q74"/>
    </row>
    <row r="75" spans="1:17" ht="14.4" hidden="1" x14ac:dyDescent="0.3">
      <c r="A75" s="2">
        <v>69987</v>
      </c>
      <c r="B75" s="8" t="s">
        <v>592</v>
      </c>
      <c r="C75" t="s">
        <v>1092</v>
      </c>
      <c r="D75"/>
      <c r="E75" s="3" t="s">
        <v>621</v>
      </c>
      <c r="F75" s="11" t="b">
        <f t="shared" si="1"/>
        <v>0</v>
      </c>
      <c r="G75" s="11" t="s">
        <v>403</v>
      </c>
      <c r="H75" s="1" t="s">
        <v>280</v>
      </c>
      <c r="J75" s="14" t="s">
        <v>628</v>
      </c>
      <c r="K75" s="2" t="s">
        <v>1260</v>
      </c>
      <c r="L75" s="2" t="s">
        <v>686</v>
      </c>
      <c r="Q75"/>
    </row>
    <row r="76" spans="1:17" ht="14.4" hidden="1" x14ac:dyDescent="0.3">
      <c r="A76" s="2">
        <v>69988</v>
      </c>
      <c r="B76" s="8" t="s">
        <v>574</v>
      </c>
      <c r="C76" t="s">
        <v>1093</v>
      </c>
      <c r="D76"/>
      <c r="E76" s="3" t="s">
        <v>621</v>
      </c>
      <c r="F76" s="11" t="b">
        <f t="shared" si="1"/>
        <v>0</v>
      </c>
      <c r="G76" s="11" t="s">
        <v>403</v>
      </c>
      <c r="H76" s="1" t="s">
        <v>280</v>
      </c>
      <c r="J76" s="14" t="s">
        <v>628</v>
      </c>
      <c r="K76" s="2" t="s">
        <v>1260</v>
      </c>
      <c r="L76" s="2" t="s">
        <v>686</v>
      </c>
      <c r="Q76"/>
    </row>
    <row r="77" spans="1:17" ht="14.4" hidden="1" x14ac:dyDescent="0.3">
      <c r="A77" s="2">
        <v>69989</v>
      </c>
      <c r="B77" s="8" t="s">
        <v>349</v>
      </c>
      <c r="C77" t="s">
        <v>1094</v>
      </c>
      <c r="D77"/>
      <c r="E77" s="3" t="s">
        <v>621</v>
      </c>
      <c r="F77" s="11" t="b">
        <f t="shared" si="1"/>
        <v>0</v>
      </c>
      <c r="G77" s="11" t="s">
        <v>403</v>
      </c>
      <c r="H77" s="1" t="s">
        <v>280</v>
      </c>
      <c r="J77" s="14" t="s">
        <v>628</v>
      </c>
      <c r="K77" s="2" t="s">
        <v>1260</v>
      </c>
      <c r="L77" s="2" t="s">
        <v>686</v>
      </c>
      <c r="Q77"/>
    </row>
    <row r="78" spans="1:17" ht="14.4" hidden="1" x14ac:dyDescent="0.3">
      <c r="A78" s="2">
        <v>69990</v>
      </c>
      <c r="B78" s="8" t="s">
        <v>350</v>
      </c>
      <c r="C78" t="s">
        <v>1095</v>
      </c>
      <c r="D78"/>
      <c r="E78" s="3" t="s">
        <v>621</v>
      </c>
      <c r="F78" s="11" t="b">
        <f t="shared" si="1"/>
        <v>0</v>
      </c>
      <c r="G78" s="11" t="s">
        <v>403</v>
      </c>
      <c r="H78" s="1" t="s">
        <v>280</v>
      </c>
      <c r="J78" s="14" t="s">
        <v>628</v>
      </c>
      <c r="K78" s="2" t="s">
        <v>1260</v>
      </c>
      <c r="L78" s="2" t="s">
        <v>686</v>
      </c>
      <c r="Q78"/>
    </row>
    <row r="79" spans="1:17" ht="14.4" hidden="1" x14ac:dyDescent="0.3">
      <c r="A79" s="2">
        <v>69995</v>
      </c>
      <c r="B79" s="8" t="s">
        <v>593</v>
      </c>
      <c r="C79" t="s">
        <v>1097</v>
      </c>
      <c r="D79"/>
      <c r="E79" s="3" t="s">
        <v>621</v>
      </c>
      <c r="F79" s="11" t="b">
        <f t="shared" si="1"/>
        <v>0</v>
      </c>
      <c r="G79" s="11" t="s">
        <v>403</v>
      </c>
      <c r="H79" s="1" t="s">
        <v>280</v>
      </c>
      <c r="J79" s="14" t="s">
        <v>628</v>
      </c>
      <c r="K79" s="2" t="s">
        <v>1260</v>
      </c>
      <c r="L79" s="2" t="s">
        <v>686</v>
      </c>
      <c r="Q79"/>
    </row>
    <row r="80" spans="1:17" ht="14.4" hidden="1" x14ac:dyDescent="0.3">
      <c r="A80" s="2">
        <v>69996</v>
      </c>
      <c r="B80" s="8" t="s">
        <v>351</v>
      </c>
      <c r="C80" t="s">
        <v>1098</v>
      </c>
      <c r="D80"/>
      <c r="E80" s="3" t="s">
        <v>621</v>
      </c>
      <c r="F80" s="11" t="b">
        <f t="shared" si="1"/>
        <v>0</v>
      </c>
      <c r="G80" s="11" t="s">
        <v>403</v>
      </c>
      <c r="H80" s="1" t="s">
        <v>280</v>
      </c>
      <c r="J80" s="14" t="s">
        <v>628</v>
      </c>
      <c r="K80" s="2" t="s">
        <v>1260</v>
      </c>
      <c r="L80" s="2" t="s">
        <v>686</v>
      </c>
      <c r="Q80"/>
    </row>
    <row r="81" spans="1:17" ht="14.4" hidden="1" x14ac:dyDescent="0.3">
      <c r="A81" s="2">
        <v>69998</v>
      </c>
      <c r="B81" s="8" t="s">
        <v>352</v>
      </c>
      <c r="C81" t="s">
        <v>1100</v>
      </c>
      <c r="D81"/>
      <c r="E81" s="3" t="s">
        <v>621</v>
      </c>
      <c r="F81" s="11" t="b">
        <f t="shared" si="1"/>
        <v>0</v>
      </c>
      <c r="G81" s="11" t="s">
        <v>403</v>
      </c>
      <c r="H81" s="1" t="s">
        <v>280</v>
      </c>
      <c r="J81" s="14" t="s">
        <v>628</v>
      </c>
      <c r="K81" s="2" t="s">
        <v>1260</v>
      </c>
      <c r="L81" s="2" t="s">
        <v>686</v>
      </c>
      <c r="Q81"/>
    </row>
    <row r="82" spans="1:17" ht="14.4" hidden="1" x14ac:dyDescent="0.3">
      <c r="A82" s="2">
        <v>79902</v>
      </c>
      <c r="B82" s="8" t="s">
        <v>545</v>
      </c>
      <c r="C82" t="s">
        <v>1103</v>
      </c>
      <c r="D82"/>
      <c r="E82" s="3" t="s">
        <v>621</v>
      </c>
      <c r="F82" s="11" t="b">
        <f t="shared" si="1"/>
        <v>0</v>
      </c>
      <c r="G82" s="11" t="s">
        <v>404</v>
      </c>
      <c r="H82" s="1" t="s">
        <v>280</v>
      </c>
      <c r="J82" s="14" t="s">
        <v>628</v>
      </c>
      <c r="K82" s="2" t="s">
        <v>1263</v>
      </c>
      <c r="L82" s="2" t="s">
        <v>686</v>
      </c>
      <c r="Q82"/>
    </row>
    <row r="83" spans="1:17" ht="14.4" hidden="1" x14ac:dyDescent="0.3">
      <c r="A83" s="2">
        <v>79984</v>
      </c>
      <c r="B83" s="8" t="s">
        <v>576</v>
      </c>
      <c r="C83" t="s">
        <v>1142</v>
      </c>
      <c r="D83"/>
      <c r="E83" s="3" t="s">
        <v>621</v>
      </c>
      <c r="F83" s="11" t="b">
        <f t="shared" si="1"/>
        <v>0</v>
      </c>
      <c r="G83" s="11" t="s">
        <v>404</v>
      </c>
      <c r="H83" s="1" t="s">
        <v>280</v>
      </c>
      <c r="J83" s="14" t="s">
        <v>628</v>
      </c>
      <c r="K83" s="2" t="s">
        <v>1263</v>
      </c>
      <c r="L83" s="2" t="s">
        <v>686</v>
      </c>
      <c r="Q83"/>
    </row>
    <row r="84" spans="1:17" ht="14.4" hidden="1" x14ac:dyDescent="0.3">
      <c r="A84" s="2">
        <v>79990</v>
      </c>
      <c r="B84" s="8" t="s">
        <v>255</v>
      </c>
      <c r="C84" t="s">
        <v>1148</v>
      </c>
      <c r="D84"/>
      <c r="E84" s="3" t="s">
        <v>621</v>
      </c>
      <c r="F84" s="11" t="b">
        <f t="shared" si="1"/>
        <v>0</v>
      </c>
      <c r="G84" s="11" t="s">
        <v>404</v>
      </c>
      <c r="H84" s="1" t="s">
        <v>280</v>
      </c>
      <c r="J84" s="14" t="s">
        <v>628</v>
      </c>
      <c r="K84" s="2" t="s">
        <v>1263</v>
      </c>
      <c r="L84" s="2" t="s">
        <v>686</v>
      </c>
      <c r="Q84"/>
    </row>
    <row r="85" spans="1:17" ht="14.4" hidden="1" x14ac:dyDescent="0.3">
      <c r="A85" s="2">
        <v>79997</v>
      </c>
      <c r="B85" s="8" t="s">
        <v>598</v>
      </c>
      <c r="C85" t="s">
        <v>1152</v>
      </c>
      <c r="D85"/>
      <c r="E85" s="3" t="s">
        <v>621</v>
      </c>
      <c r="F85" s="11" t="b">
        <f t="shared" si="1"/>
        <v>0</v>
      </c>
      <c r="G85" s="11" t="s">
        <v>404</v>
      </c>
      <c r="H85" s="1" t="s">
        <v>280</v>
      </c>
      <c r="J85" s="14" t="s">
        <v>628</v>
      </c>
      <c r="K85" s="2" t="s">
        <v>1263</v>
      </c>
      <c r="L85" s="2" t="s">
        <v>686</v>
      </c>
      <c r="Q85"/>
    </row>
    <row r="86" spans="1:17" ht="14.4" hidden="1" x14ac:dyDescent="0.3">
      <c r="A86" s="2">
        <v>39884</v>
      </c>
      <c r="B86" s="8" t="s">
        <v>556</v>
      </c>
      <c r="C86" t="s">
        <v>850</v>
      </c>
      <c r="D86"/>
      <c r="E86" s="3" t="s">
        <v>621</v>
      </c>
      <c r="F86" s="11" t="b">
        <f t="shared" si="1"/>
        <v>0</v>
      </c>
      <c r="G86" s="11" t="s">
        <v>399</v>
      </c>
      <c r="H86" s="1" t="s">
        <v>280</v>
      </c>
      <c r="J86" s="14" t="s">
        <v>628</v>
      </c>
      <c r="K86" s="2" t="s">
        <v>1260</v>
      </c>
      <c r="L86" s="2" t="s">
        <v>686</v>
      </c>
      <c r="Q86"/>
    </row>
    <row r="87" spans="1:17" ht="14.4" x14ac:dyDescent="0.3">
      <c r="A87" s="2">
        <v>56666</v>
      </c>
      <c r="B87" s="8" t="s">
        <v>497</v>
      </c>
      <c r="C87" t="s">
        <v>961</v>
      </c>
      <c r="D87"/>
      <c r="E87" s="3" t="s">
        <v>621</v>
      </c>
      <c r="F87" s="11" t="b">
        <f t="shared" si="1"/>
        <v>0</v>
      </c>
      <c r="G87" s="11" t="s">
        <v>1265</v>
      </c>
      <c r="H87" s="1" t="s">
        <v>278</v>
      </c>
      <c r="J87" s="14" t="s">
        <v>628</v>
      </c>
      <c r="K87" s="2" t="s">
        <v>1289</v>
      </c>
      <c r="L87" s="2" t="s">
        <v>686</v>
      </c>
      <c r="Q87"/>
    </row>
    <row r="88" spans="1:17" ht="14.4" hidden="1" x14ac:dyDescent="0.3">
      <c r="A88" s="2">
        <v>69963</v>
      </c>
      <c r="B88" s="8" t="s">
        <v>344</v>
      </c>
      <c r="C88" t="s">
        <v>1082</v>
      </c>
      <c r="D88"/>
      <c r="E88" s="3" t="s">
        <v>621</v>
      </c>
      <c r="F88" s="11" t="b">
        <f t="shared" si="1"/>
        <v>0</v>
      </c>
      <c r="G88" s="11" t="s">
        <v>403</v>
      </c>
      <c r="H88" s="1" t="s">
        <v>278</v>
      </c>
      <c r="J88" s="14" t="s">
        <v>628</v>
      </c>
      <c r="K88" s="2" t="s">
        <v>1260</v>
      </c>
      <c r="L88" s="2" t="s">
        <v>686</v>
      </c>
      <c r="Q88"/>
    </row>
    <row r="89" spans="1:17" ht="14.4" hidden="1" x14ac:dyDescent="0.3">
      <c r="A89" s="2">
        <v>56780</v>
      </c>
      <c r="B89" s="8" t="s">
        <v>1208</v>
      </c>
      <c r="C89" t="s">
        <v>1207</v>
      </c>
      <c r="D89"/>
      <c r="E89" s="3" t="s">
        <v>620</v>
      </c>
      <c r="F89" s="11" t="b">
        <f t="shared" si="1"/>
        <v>0</v>
      </c>
      <c r="G89" s="8"/>
      <c r="J89" s="14" t="s">
        <v>628</v>
      </c>
      <c r="K89" s="2" t="s">
        <v>1263</v>
      </c>
      <c r="L89" s="2" t="s">
        <v>686</v>
      </c>
      <c r="Q89"/>
    </row>
    <row r="90" spans="1:17" ht="14.4" hidden="1" x14ac:dyDescent="0.3">
      <c r="A90" s="2">
        <v>39286</v>
      </c>
      <c r="B90" s="8" t="s">
        <v>553</v>
      </c>
      <c r="C90" t="s">
        <v>778</v>
      </c>
      <c r="D90"/>
      <c r="E90" s="3" t="s">
        <v>621</v>
      </c>
      <c r="F90" s="11" t="b">
        <f t="shared" si="1"/>
        <v>0</v>
      </c>
      <c r="G90" s="11" t="s">
        <v>398</v>
      </c>
      <c r="H90" s="1" t="s">
        <v>280</v>
      </c>
      <c r="J90" s="14" t="s">
        <v>624</v>
      </c>
      <c r="K90" s="2" t="s">
        <v>1262</v>
      </c>
      <c r="L90" s="2" t="s">
        <v>686</v>
      </c>
      <c r="Q90"/>
    </row>
    <row r="91" spans="1:17" ht="14.4" hidden="1" x14ac:dyDescent="0.3">
      <c r="A91" s="2">
        <v>39289</v>
      </c>
      <c r="B91" s="8" t="s">
        <v>246</v>
      </c>
      <c r="C91" t="s">
        <v>781</v>
      </c>
      <c r="D91"/>
      <c r="E91" s="3" t="s">
        <v>621</v>
      </c>
      <c r="F91" s="11" t="b">
        <f t="shared" si="1"/>
        <v>0</v>
      </c>
      <c r="G91" s="11" t="s">
        <v>398</v>
      </c>
      <c r="H91" s="1" t="s">
        <v>280</v>
      </c>
      <c r="J91" s="14" t="s">
        <v>624</v>
      </c>
      <c r="K91" s="2" t="s">
        <v>1262</v>
      </c>
      <c r="L91" s="2" t="s">
        <v>686</v>
      </c>
      <c r="Q91"/>
    </row>
    <row r="92" spans="1:17" ht="14.4" hidden="1" x14ac:dyDescent="0.3">
      <c r="A92" s="2">
        <v>39295</v>
      </c>
      <c r="B92" s="8" t="s">
        <v>581</v>
      </c>
      <c r="C92" t="s">
        <v>784</v>
      </c>
      <c r="D92"/>
      <c r="E92" s="3" t="s">
        <v>621</v>
      </c>
      <c r="F92" s="11" t="b">
        <f t="shared" si="1"/>
        <v>0</v>
      </c>
      <c r="G92" s="11" t="s">
        <v>398</v>
      </c>
      <c r="H92" s="1" t="s">
        <v>280</v>
      </c>
      <c r="J92" s="14" t="s">
        <v>624</v>
      </c>
      <c r="K92" s="2" t="s">
        <v>1262</v>
      </c>
      <c r="L92" s="2" t="s">
        <v>686</v>
      </c>
      <c r="Q92"/>
    </row>
    <row r="93" spans="1:17" ht="14.4" hidden="1" x14ac:dyDescent="0.3">
      <c r="A93" s="2">
        <v>39283</v>
      </c>
      <c r="B93" s="8" t="s">
        <v>551</v>
      </c>
      <c r="C93" t="s">
        <v>775</v>
      </c>
      <c r="D93"/>
      <c r="E93" s="3" t="s">
        <v>621</v>
      </c>
      <c r="F93" s="11" t="b">
        <f t="shared" si="1"/>
        <v>0</v>
      </c>
      <c r="G93" s="11" t="s">
        <v>398</v>
      </c>
      <c r="H93" s="1" t="s">
        <v>280</v>
      </c>
      <c r="J93" s="14" t="s">
        <v>628</v>
      </c>
      <c r="K93" s="2" t="s">
        <v>1262</v>
      </c>
      <c r="L93" s="2" t="s">
        <v>686</v>
      </c>
      <c r="Q93"/>
    </row>
    <row r="94" spans="1:17" ht="14.4" hidden="1" x14ac:dyDescent="0.3">
      <c r="A94" s="2">
        <v>39288</v>
      </c>
      <c r="B94" s="8" t="s">
        <v>554</v>
      </c>
      <c r="C94" t="s">
        <v>780</v>
      </c>
      <c r="D94"/>
      <c r="E94" s="3" t="s">
        <v>621</v>
      </c>
      <c r="F94" s="11" t="b">
        <f t="shared" si="1"/>
        <v>0</v>
      </c>
      <c r="G94" s="11" t="s">
        <v>398</v>
      </c>
      <c r="H94" s="1" t="s">
        <v>280</v>
      </c>
      <c r="J94" s="14" t="s">
        <v>628</v>
      </c>
      <c r="K94" s="2" t="s">
        <v>1262</v>
      </c>
      <c r="L94" s="2" t="s">
        <v>686</v>
      </c>
      <c r="Q94"/>
    </row>
    <row r="95" spans="1:17" ht="14.4" hidden="1" x14ac:dyDescent="0.3">
      <c r="A95" s="2">
        <v>5022</v>
      </c>
      <c r="B95" s="8" t="s">
        <v>1168</v>
      </c>
      <c r="C95" s="2" t="s">
        <v>1194</v>
      </c>
      <c r="E95" s="3" t="s">
        <v>620</v>
      </c>
      <c r="F95" s="11" t="b">
        <f t="shared" si="1"/>
        <v>0</v>
      </c>
      <c r="G95" s="11" t="s">
        <v>119</v>
      </c>
      <c r="J95" s="14" t="s">
        <v>624</v>
      </c>
      <c r="K95" s="2" t="s">
        <v>458</v>
      </c>
      <c r="L95" s="2" t="s">
        <v>623</v>
      </c>
      <c r="Q95" s="2" t="s">
        <v>1257</v>
      </c>
    </row>
    <row r="96" spans="1:17" ht="14.4" hidden="1" x14ac:dyDescent="0.3">
      <c r="A96" s="2">
        <v>39801</v>
      </c>
      <c r="B96" s="8" t="s">
        <v>531</v>
      </c>
      <c r="C96" t="s">
        <v>810</v>
      </c>
      <c r="D96"/>
      <c r="E96" s="3" t="s">
        <v>621</v>
      </c>
      <c r="F96" s="11" t="b">
        <f t="shared" si="1"/>
        <v>0</v>
      </c>
      <c r="G96" s="11" t="s">
        <v>399</v>
      </c>
      <c r="H96" s="1" t="s">
        <v>280</v>
      </c>
      <c r="J96" s="14" t="s">
        <v>628</v>
      </c>
      <c r="K96" s="2" t="s">
        <v>1260</v>
      </c>
      <c r="L96" s="2" t="s">
        <v>686</v>
      </c>
      <c r="Q96"/>
    </row>
    <row r="97" spans="1:17" ht="14.4" hidden="1" x14ac:dyDescent="0.3">
      <c r="A97" s="2">
        <v>39885</v>
      </c>
      <c r="B97" s="8" t="s">
        <v>583</v>
      </c>
      <c r="C97" t="s">
        <v>851</v>
      </c>
      <c r="D97"/>
      <c r="E97" s="3" t="s">
        <v>621</v>
      </c>
      <c r="F97" s="11" t="b">
        <f t="shared" si="1"/>
        <v>0</v>
      </c>
      <c r="G97" s="11" t="s">
        <v>399</v>
      </c>
      <c r="H97" s="1" t="s">
        <v>280</v>
      </c>
      <c r="J97" s="14" t="s">
        <v>628</v>
      </c>
      <c r="K97" s="2" t="s">
        <v>1260</v>
      </c>
      <c r="L97" s="2" t="s">
        <v>686</v>
      </c>
      <c r="Q97"/>
    </row>
    <row r="98" spans="1:17" ht="14.4" hidden="1" x14ac:dyDescent="0.3">
      <c r="A98" s="2">
        <v>39886</v>
      </c>
      <c r="B98" s="8" t="s">
        <v>557</v>
      </c>
      <c r="C98" t="s">
        <v>852</v>
      </c>
      <c r="D98"/>
      <c r="E98" s="3" t="s">
        <v>621</v>
      </c>
      <c r="F98" s="11" t="b">
        <f t="shared" si="1"/>
        <v>0</v>
      </c>
      <c r="G98" s="11" t="s">
        <v>399</v>
      </c>
      <c r="H98" s="1" t="s">
        <v>280</v>
      </c>
      <c r="J98" s="14" t="s">
        <v>628</v>
      </c>
      <c r="K98" s="2" t="s">
        <v>1260</v>
      </c>
      <c r="L98" s="2" t="s">
        <v>686</v>
      </c>
      <c r="Q98"/>
    </row>
    <row r="99" spans="1:17" ht="14.4" hidden="1" x14ac:dyDescent="0.3">
      <c r="A99" s="2">
        <v>39887</v>
      </c>
      <c r="B99" s="8" t="s">
        <v>584</v>
      </c>
      <c r="C99" t="s">
        <v>853</v>
      </c>
      <c r="D99"/>
      <c r="E99" s="3" t="s">
        <v>621</v>
      </c>
      <c r="F99" s="11" t="b">
        <f t="shared" si="1"/>
        <v>0</v>
      </c>
      <c r="G99" s="11" t="s">
        <v>399</v>
      </c>
      <c r="H99" s="1" t="s">
        <v>280</v>
      </c>
      <c r="J99" s="14" t="s">
        <v>628</v>
      </c>
      <c r="K99" s="2" t="s">
        <v>1260</v>
      </c>
      <c r="L99" s="2" t="s">
        <v>686</v>
      </c>
      <c r="Q99"/>
    </row>
    <row r="100" spans="1:17" ht="14.4" hidden="1" x14ac:dyDescent="0.3">
      <c r="A100" s="2">
        <v>39888</v>
      </c>
      <c r="B100" s="8" t="s">
        <v>558</v>
      </c>
      <c r="C100" t="s">
        <v>854</v>
      </c>
      <c r="D100"/>
      <c r="E100" s="3" t="s">
        <v>621</v>
      </c>
      <c r="F100" s="11" t="b">
        <f t="shared" si="1"/>
        <v>0</v>
      </c>
      <c r="G100" s="11" t="s">
        <v>399</v>
      </c>
      <c r="H100" s="1" t="s">
        <v>280</v>
      </c>
      <c r="J100" s="14" t="s">
        <v>628</v>
      </c>
      <c r="K100" s="2" t="s">
        <v>1260</v>
      </c>
      <c r="L100" s="2" t="s">
        <v>686</v>
      </c>
      <c r="Q100"/>
    </row>
    <row r="101" spans="1:17" ht="14.4" hidden="1" x14ac:dyDescent="0.3">
      <c r="A101" s="2">
        <v>39895</v>
      </c>
      <c r="B101" s="8" t="s">
        <v>585</v>
      </c>
      <c r="C101" t="s">
        <v>858</v>
      </c>
      <c r="D101"/>
      <c r="E101" s="3" t="s">
        <v>621</v>
      </c>
      <c r="F101" s="11" t="b">
        <f t="shared" si="1"/>
        <v>0</v>
      </c>
      <c r="G101" s="11" t="s">
        <v>399</v>
      </c>
      <c r="H101" s="1" t="s">
        <v>280</v>
      </c>
      <c r="J101" s="14" t="s">
        <v>628</v>
      </c>
      <c r="K101" s="2" t="s">
        <v>1260</v>
      </c>
      <c r="L101" s="2" t="s">
        <v>686</v>
      </c>
      <c r="Q101"/>
    </row>
    <row r="102" spans="1:17" ht="14.4" hidden="1" x14ac:dyDescent="0.3">
      <c r="A102" s="2">
        <v>56572</v>
      </c>
      <c r="B102" s="8" t="s">
        <v>469</v>
      </c>
      <c r="C102" t="s">
        <v>916</v>
      </c>
      <c r="D102"/>
      <c r="E102" s="3" t="s">
        <v>621</v>
      </c>
      <c r="F102" s="11" t="b">
        <f t="shared" si="1"/>
        <v>0</v>
      </c>
      <c r="G102" s="11" t="s">
        <v>400</v>
      </c>
      <c r="H102" s="1" t="s">
        <v>278</v>
      </c>
      <c r="J102" s="14" t="s">
        <v>628</v>
      </c>
      <c r="K102" s="2" t="s">
        <v>1263</v>
      </c>
      <c r="L102" s="2" t="s">
        <v>686</v>
      </c>
      <c r="Q102"/>
    </row>
    <row r="103" spans="1:17" ht="14.4" x14ac:dyDescent="0.3">
      <c r="A103" s="2">
        <v>56626</v>
      </c>
      <c r="B103" s="8" t="s">
        <v>481</v>
      </c>
      <c r="C103" t="s">
        <v>938</v>
      </c>
      <c r="D103"/>
      <c r="E103" s="3" t="s">
        <v>621</v>
      </c>
      <c r="F103" s="11" t="b">
        <f t="shared" si="1"/>
        <v>0</v>
      </c>
      <c r="G103" s="11" t="s">
        <v>1265</v>
      </c>
      <c r="H103" s="1" t="s">
        <v>280</v>
      </c>
      <c r="J103" s="14" t="s">
        <v>628</v>
      </c>
      <c r="K103" s="2" t="s">
        <v>1289</v>
      </c>
      <c r="L103" s="2" t="s">
        <v>686</v>
      </c>
      <c r="Q103"/>
    </row>
    <row r="104" spans="1:17" ht="14.4" x14ac:dyDescent="0.3">
      <c r="A104" s="2">
        <v>56627</v>
      </c>
      <c r="B104" s="8" t="s">
        <v>482</v>
      </c>
      <c r="C104" t="s">
        <v>939</v>
      </c>
      <c r="D104"/>
      <c r="E104" s="3" t="s">
        <v>621</v>
      </c>
      <c r="F104" s="11" t="b">
        <f t="shared" si="1"/>
        <v>0</v>
      </c>
      <c r="G104" s="11" t="s">
        <v>1265</v>
      </c>
      <c r="H104" s="1" t="s">
        <v>280</v>
      </c>
      <c r="J104" s="14" t="s">
        <v>628</v>
      </c>
      <c r="K104" s="2" t="s">
        <v>1289</v>
      </c>
      <c r="L104" s="2" t="s">
        <v>686</v>
      </c>
      <c r="Q104"/>
    </row>
    <row r="105" spans="1:17" ht="14.4" x14ac:dyDescent="0.3">
      <c r="A105" s="2">
        <v>56644</v>
      </c>
      <c r="B105" s="8" t="s">
        <v>563</v>
      </c>
      <c r="C105" t="s">
        <v>945</v>
      </c>
      <c r="D105"/>
      <c r="E105" s="3" t="s">
        <v>621</v>
      </c>
      <c r="F105" s="11" t="b">
        <f t="shared" si="1"/>
        <v>0</v>
      </c>
      <c r="G105" s="11" t="s">
        <v>1265</v>
      </c>
      <c r="H105" s="1" t="s">
        <v>280</v>
      </c>
      <c r="J105" s="14" t="s">
        <v>628</v>
      </c>
      <c r="K105" s="2" t="s">
        <v>1289</v>
      </c>
      <c r="L105" s="2" t="s">
        <v>686</v>
      </c>
      <c r="Q105"/>
    </row>
    <row r="106" spans="1:17" ht="14.4" x14ac:dyDescent="0.3">
      <c r="A106" s="2">
        <v>56645</v>
      </c>
      <c r="B106" s="8" t="s">
        <v>564</v>
      </c>
      <c r="C106" t="s">
        <v>946</v>
      </c>
      <c r="D106"/>
      <c r="E106" s="3" t="s">
        <v>621</v>
      </c>
      <c r="F106" s="11" t="b">
        <f t="shared" si="1"/>
        <v>0</v>
      </c>
      <c r="G106" s="11" t="s">
        <v>1265</v>
      </c>
      <c r="H106" s="1" t="s">
        <v>280</v>
      </c>
      <c r="J106" s="14" t="s">
        <v>628</v>
      </c>
      <c r="K106" s="2" t="s">
        <v>1289</v>
      </c>
      <c r="L106" s="2" t="s">
        <v>686</v>
      </c>
      <c r="Q106"/>
    </row>
    <row r="107" spans="1:17" ht="14.4" x14ac:dyDescent="0.3">
      <c r="A107" s="2">
        <v>56646</v>
      </c>
      <c r="B107" s="8" t="s">
        <v>565</v>
      </c>
      <c r="C107" t="s">
        <v>947</v>
      </c>
      <c r="D107"/>
      <c r="E107" s="3" t="s">
        <v>621</v>
      </c>
      <c r="F107" s="11" t="b">
        <f t="shared" si="1"/>
        <v>0</v>
      </c>
      <c r="G107" s="11" t="s">
        <v>1265</v>
      </c>
      <c r="H107" s="1" t="s">
        <v>280</v>
      </c>
      <c r="J107" s="14" t="s">
        <v>628</v>
      </c>
      <c r="K107" s="2" t="s">
        <v>1289</v>
      </c>
      <c r="L107" s="2" t="s">
        <v>686</v>
      </c>
      <c r="Q107"/>
    </row>
    <row r="108" spans="1:17" ht="14.4" x14ac:dyDescent="0.3">
      <c r="A108" s="2">
        <v>56647</v>
      </c>
      <c r="B108" s="8" t="s">
        <v>566</v>
      </c>
      <c r="C108" t="s">
        <v>948</v>
      </c>
      <c r="D108"/>
      <c r="E108" s="3" t="s">
        <v>621</v>
      </c>
      <c r="F108" s="11" t="b">
        <f t="shared" si="1"/>
        <v>0</v>
      </c>
      <c r="G108" s="11" t="s">
        <v>1265</v>
      </c>
      <c r="H108" s="1" t="s">
        <v>280</v>
      </c>
      <c r="J108" s="14" t="s">
        <v>628</v>
      </c>
      <c r="K108" s="2" t="s">
        <v>1289</v>
      </c>
      <c r="L108" s="2" t="s">
        <v>686</v>
      </c>
      <c r="Q108"/>
    </row>
    <row r="109" spans="1:17" ht="14.4" x14ac:dyDescent="0.3">
      <c r="A109" s="2">
        <v>56685</v>
      </c>
      <c r="B109" s="8" t="s">
        <v>508</v>
      </c>
      <c r="C109" t="s">
        <v>973</v>
      </c>
      <c r="D109"/>
      <c r="E109" s="3" t="s">
        <v>621</v>
      </c>
      <c r="F109" s="11" t="b">
        <f t="shared" si="1"/>
        <v>0</v>
      </c>
      <c r="G109" s="11" t="s">
        <v>1265</v>
      </c>
      <c r="H109" s="1" t="s">
        <v>280</v>
      </c>
      <c r="J109" s="14" t="s">
        <v>628</v>
      </c>
      <c r="K109" s="2" t="s">
        <v>1289</v>
      </c>
      <c r="L109" s="2" t="s">
        <v>686</v>
      </c>
      <c r="Q109"/>
    </row>
    <row r="110" spans="1:17" ht="14.4" x14ac:dyDescent="0.3">
      <c r="A110" s="2">
        <v>56687</v>
      </c>
      <c r="B110" s="8" t="s">
        <v>510</v>
      </c>
      <c r="C110" t="s">
        <v>975</v>
      </c>
      <c r="D110"/>
      <c r="E110" s="3" t="s">
        <v>621</v>
      </c>
      <c r="F110" s="11" t="b">
        <f t="shared" si="1"/>
        <v>0</v>
      </c>
      <c r="G110" s="11" t="s">
        <v>1265</v>
      </c>
      <c r="H110" s="1" t="s">
        <v>280</v>
      </c>
      <c r="J110" s="14" t="s">
        <v>628</v>
      </c>
      <c r="K110" s="2" t="s">
        <v>1289</v>
      </c>
      <c r="L110" s="2" t="s">
        <v>686</v>
      </c>
      <c r="Q110"/>
    </row>
    <row r="111" spans="1:17" ht="14.4" hidden="1" x14ac:dyDescent="0.3">
      <c r="A111" s="2">
        <v>59964</v>
      </c>
      <c r="B111" s="8" t="s">
        <v>328</v>
      </c>
      <c r="C111" t="s">
        <v>1030</v>
      </c>
      <c r="D111"/>
      <c r="E111" s="3" t="s">
        <v>621</v>
      </c>
      <c r="F111" s="11" t="b">
        <f t="shared" si="1"/>
        <v>0</v>
      </c>
      <c r="G111" s="11" t="s">
        <v>402</v>
      </c>
      <c r="H111" s="1" t="s">
        <v>278</v>
      </c>
      <c r="J111" s="14" t="s">
        <v>628</v>
      </c>
      <c r="K111" s="2" t="s">
        <v>1261</v>
      </c>
      <c r="L111" s="2" t="s">
        <v>686</v>
      </c>
      <c r="Q111"/>
    </row>
    <row r="112" spans="1:17" ht="14.4" hidden="1" x14ac:dyDescent="0.3">
      <c r="A112" s="2">
        <v>59983</v>
      </c>
      <c r="B112" s="8" t="s">
        <v>567</v>
      </c>
      <c r="C112" t="s">
        <v>1035</v>
      </c>
      <c r="D112"/>
      <c r="E112" s="3" t="s">
        <v>621</v>
      </c>
      <c r="F112" s="11" t="b">
        <f t="shared" si="1"/>
        <v>0</v>
      </c>
      <c r="G112" s="11" t="s">
        <v>402</v>
      </c>
      <c r="H112" s="1" t="s">
        <v>280</v>
      </c>
      <c r="J112" s="14" t="s">
        <v>628</v>
      </c>
      <c r="K112" s="2" t="s">
        <v>1261</v>
      </c>
      <c r="L112" s="2" t="s">
        <v>686</v>
      </c>
      <c r="Q112"/>
    </row>
    <row r="113" spans="1:17" ht="14.4" hidden="1" x14ac:dyDescent="0.3">
      <c r="A113" s="2">
        <v>59985</v>
      </c>
      <c r="B113" s="8" t="s">
        <v>587</v>
      </c>
      <c r="C113" t="s">
        <v>1037</v>
      </c>
      <c r="D113"/>
      <c r="E113" s="3" t="s">
        <v>621</v>
      </c>
      <c r="F113" s="11" t="b">
        <f t="shared" si="1"/>
        <v>0</v>
      </c>
      <c r="G113" s="11" t="s">
        <v>402</v>
      </c>
      <c r="H113" s="1" t="s">
        <v>280</v>
      </c>
      <c r="J113" s="14" t="s">
        <v>628</v>
      </c>
      <c r="K113" s="2" t="s">
        <v>1261</v>
      </c>
      <c r="L113" s="2" t="s">
        <v>686</v>
      </c>
      <c r="Q113"/>
    </row>
    <row r="114" spans="1:17" ht="14.4" hidden="1" x14ac:dyDescent="0.3">
      <c r="A114" s="2">
        <v>59986</v>
      </c>
      <c r="B114" s="8" t="s">
        <v>569</v>
      </c>
      <c r="C114" t="s">
        <v>1038</v>
      </c>
      <c r="D114"/>
      <c r="E114" s="3" t="s">
        <v>621</v>
      </c>
      <c r="F114" s="11" t="b">
        <f t="shared" si="1"/>
        <v>0</v>
      </c>
      <c r="G114" s="11" t="s">
        <v>402</v>
      </c>
      <c r="H114" s="1" t="s">
        <v>280</v>
      </c>
      <c r="J114" s="14" t="s">
        <v>628</v>
      </c>
      <c r="K114" s="2" t="s">
        <v>1261</v>
      </c>
      <c r="L114" s="2" t="s">
        <v>686</v>
      </c>
      <c r="Q114"/>
    </row>
    <row r="115" spans="1:17" ht="14.4" hidden="1" x14ac:dyDescent="0.3">
      <c r="A115" s="2">
        <v>59987</v>
      </c>
      <c r="B115" s="8" t="s">
        <v>588</v>
      </c>
      <c r="C115" t="s">
        <v>1039</v>
      </c>
      <c r="D115"/>
      <c r="E115" s="3" t="s">
        <v>621</v>
      </c>
      <c r="F115" s="11" t="b">
        <f t="shared" si="1"/>
        <v>0</v>
      </c>
      <c r="G115" s="11" t="s">
        <v>402</v>
      </c>
      <c r="H115" s="1" t="s">
        <v>280</v>
      </c>
      <c r="J115" s="14" t="s">
        <v>628</v>
      </c>
      <c r="K115" s="2" t="s">
        <v>1261</v>
      </c>
      <c r="L115" s="2" t="s">
        <v>686</v>
      </c>
      <c r="Q115"/>
    </row>
    <row r="116" spans="1:17" ht="14.4" hidden="1" x14ac:dyDescent="0.3">
      <c r="A116" s="2">
        <v>59995</v>
      </c>
      <c r="B116" s="8" t="s">
        <v>589</v>
      </c>
      <c r="C116" t="s">
        <v>1044</v>
      </c>
      <c r="D116"/>
      <c r="E116" s="3" t="s">
        <v>621</v>
      </c>
      <c r="F116" s="11" t="b">
        <f t="shared" si="1"/>
        <v>0</v>
      </c>
      <c r="G116" s="11" t="s">
        <v>402</v>
      </c>
      <c r="H116" s="1" t="s">
        <v>280</v>
      </c>
      <c r="J116" s="14" t="s">
        <v>628</v>
      </c>
      <c r="K116" s="2" t="s">
        <v>1261</v>
      </c>
      <c r="L116" s="2" t="s">
        <v>686</v>
      </c>
      <c r="Q116"/>
    </row>
    <row r="117" spans="1:17" ht="14.4" hidden="1" x14ac:dyDescent="0.3">
      <c r="A117" s="2">
        <v>59998</v>
      </c>
      <c r="B117" s="8" t="s">
        <v>245</v>
      </c>
      <c r="C117" t="s">
        <v>1047</v>
      </c>
      <c r="D117"/>
      <c r="E117" s="3" t="s">
        <v>621</v>
      </c>
      <c r="F117" s="11" t="b">
        <f t="shared" si="1"/>
        <v>0</v>
      </c>
      <c r="G117" s="11" t="s">
        <v>402</v>
      </c>
      <c r="H117" s="1" t="s">
        <v>280</v>
      </c>
      <c r="J117" s="14" t="s">
        <v>628</v>
      </c>
      <c r="K117" s="2" t="s">
        <v>1261</v>
      </c>
      <c r="L117" s="2" t="s">
        <v>686</v>
      </c>
      <c r="Q117"/>
    </row>
    <row r="118" spans="1:17" ht="14.4" hidden="1" x14ac:dyDescent="0.3">
      <c r="A118" s="2">
        <v>69902</v>
      </c>
      <c r="B118" s="8" t="s">
        <v>539</v>
      </c>
      <c r="C118" t="s">
        <v>1050</v>
      </c>
      <c r="D118"/>
      <c r="E118" s="3" t="s">
        <v>621</v>
      </c>
      <c r="F118" s="11" t="b">
        <f t="shared" si="1"/>
        <v>0</v>
      </c>
      <c r="G118" s="11" t="s">
        <v>403</v>
      </c>
      <c r="H118" s="1" t="s">
        <v>280</v>
      </c>
      <c r="J118" s="14" t="s">
        <v>628</v>
      </c>
      <c r="K118" s="2" t="s">
        <v>1260</v>
      </c>
      <c r="L118" s="2" t="s">
        <v>686</v>
      </c>
      <c r="Q118"/>
    </row>
    <row r="119" spans="1:17" ht="14.4" hidden="1" x14ac:dyDescent="0.3">
      <c r="A119" s="2">
        <v>69964</v>
      </c>
      <c r="B119" s="8" t="s">
        <v>346</v>
      </c>
      <c r="C119" t="s">
        <v>1083</v>
      </c>
      <c r="D119"/>
      <c r="E119" s="3" t="s">
        <v>621</v>
      </c>
      <c r="F119" s="11" t="b">
        <f t="shared" si="1"/>
        <v>0</v>
      </c>
      <c r="G119" s="11" t="s">
        <v>403</v>
      </c>
      <c r="H119" s="1" t="s">
        <v>278</v>
      </c>
      <c r="J119" s="14" t="s">
        <v>628</v>
      </c>
      <c r="K119" s="2" t="s">
        <v>1260</v>
      </c>
      <c r="L119" s="2" t="s">
        <v>686</v>
      </c>
      <c r="Q119"/>
    </row>
    <row r="120" spans="1:17" ht="14.4" hidden="1" x14ac:dyDescent="0.3">
      <c r="A120" s="2">
        <v>69985</v>
      </c>
      <c r="B120" s="8" t="s">
        <v>591</v>
      </c>
      <c r="C120" t="s">
        <v>1090</v>
      </c>
      <c r="D120"/>
      <c r="E120" s="3" t="s">
        <v>621</v>
      </c>
      <c r="F120" s="11" t="b">
        <f t="shared" si="1"/>
        <v>0</v>
      </c>
      <c r="G120" s="11" t="s">
        <v>403</v>
      </c>
      <c r="H120" s="1" t="s">
        <v>280</v>
      </c>
      <c r="J120" s="14" t="s">
        <v>628</v>
      </c>
      <c r="K120" s="2" t="s">
        <v>1260</v>
      </c>
      <c r="L120" s="2" t="s">
        <v>686</v>
      </c>
      <c r="Q120"/>
    </row>
    <row r="121" spans="1:17" ht="14.4" hidden="1" x14ac:dyDescent="0.3">
      <c r="A121" s="2">
        <v>69997</v>
      </c>
      <c r="B121" s="8" t="s">
        <v>594</v>
      </c>
      <c r="C121" t="s">
        <v>1099</v>
      </c>
      <c r="D121"/>
      <c r="E121" s="3" t="s">
        <v>621</v>
      </c>
      <c r="F121" s="11" t="b">
        <f t="shared" si="1"/>
        <v>0</v>
      </c>
      <c r="G121" s="11" t="s">
        <v>403</v>
      </c>
      <c r="H121" s="1" t="s">
        <v>280</v>
      </c>
      <c r="J121" s="14" t="s">
        <v>628</v>
      </c>
      <c r="K121" s="2" t="s">
        <v>1260</v>
      </c>
      <c r="L121" s="2" t="s">
        <v>686</v>
      </c>
      <c r="Q121"/>
    </row>
    <row r="122" spans="1:17" ht="14.4" hidden="1" x14ac:dyDescent="0.3">
      <c r="A122" s="2">
        <v>79901</v>
      </c>
      <c r="B122" s="8" t="s">
        <v>544</v>
      </c>
      <c r="C122" t="s">
        <v>1102</v>
      </c>
      <c r="D122"/>
      <c r="E122" s="3" t="s">
        <v>621</v>
      </c>
      <c r="F122" s="11" t="b">
        <f t="shared" si="1"/>
        <v>0</v>
      </c>
      <c r="G122" s="11" t="s">
        <v>404</v>
      </c>
      <c r="H122" s="1" t="s">
        <v>280</v>
      </c>
      <c r="J122" s="14" t="s">
        <v>628</v>
      </c>
      <c r="K122" s="2" t="s">
        <v>1263</v>
      </c>
      <c r="L122" s="2" t="s">
        <v>686</v>
      </c>
      <c r="Q122"/>
    </row>
    <row r="123" spans="1:17" ht="14.4" hidden="1" x14ac:dyDescent="0.3">
      <c r="A123" s="2">
        <v>79964</v>
      </c>
      <c r="B123" s="8" t="s">
        <v>170</v>
      </c>
      <c r="C123" t="s">
        <v>1136</v>
      </c>
      <c r="D123"/>
      <c r="E123" s="3" t="s">
        <v>621</v>
      </c>
      <c r="F123" s="11" t="b">
        <f t="shared" si="1"/>
        <v>0</v>
      </c>
      <c r="G123" s="11" t="s">
        <v>404</v>
      </c>
      <c r="H123" s="1" t="s">
        <v>278</v>
      </c>
      <c r="J123" s="14" t="s">
        <v>628</v>
      </c>
      <c r="K123" s="2" t="s">
        <v>1263</v>
      </c>
      <c r="L123" s="2" t="s">
        <v>686</v>
      </c>
      <c r="Q123"/>
    </row>
    <row r="124" spans="1:17" ht="14.4" hidden="1" x14ac:dyDescent="0.3">
      <c r="A124" s="2">
        <v>79983</v>
      </c>
      <c r="B124" s="8" t="s">
        <v>575</v>
      </c>
      <c r="C124" t="s">
        <v>1141</v>
      </c>
      <c r="D124"/>
      <c r="E124" s="3" t="s">
        <v>621</v>
      </c>
      <c r="F124" s="11" t="b">
        <f t="shared" si="1"/>
        <v>0</v>
      </c>
      <c r="G124" s="11" t="s">
        <v>404</v>
      </c>
      <c r="H124" s="1" t="s">
        <v>280</v>
      </c>
      <c r="J124" s="14" t="s">
        <v>628</v>
      </c>
      <c r="K124" s="2" t="s">
        <v>1263</v>
      </c>
      <c r="L124" s="2" t="s">
        <v>686</v>
      </c>
      <c r="Q124"/>
    </row>
    <row r="125" spans="1:17" ht="14.4" hidden="1" x14ac:dyDescent="0.3">
      <c r="A125" s="2">
        <v>79985</v>
      </c>
      <c r="B125" s="8" t="s">
        <v>595</v>
      </c>
      <c r="C125" t="s">
        <v>1143</v>
      </c>
      <c r="D125"/>
      <c r="E125" s="3" t="s">
        <v>621</v>
      </c>
      <c r="F125" s="11" t="b">
        <f t="shared" si="1"/>
        <v>0</v>
      </c>
      <c r="G125" s="11" t="s">
        <v>404</v>
      </c>
      <c r="H125" s="1" t="s">
        <v>280</v>
      </c>
      <c r="J125" s="14" t="s">
        <v>628</v>
      </c>
      <c r="K125" s="2" t="s">
        <v>1263</v>
      </c>
      <c r="L125" s="2" t="s">
        <v>686</v>
      </c>
      <c r="Q125"/>
    </row>
    <row r="126" spans="1:17" ht="14.4" hidden="1" x14ac:dyDescent="0.3">
      <c r="A126" s="2">
        <v>79986</v>
      </c>
      <c r="B126" s="8" t="s">
        <v>577</v>
      </c>
      <c r="C126" t="s">
        <v>1144</v>
      </c>
      <c r="D126"/>
      <c r="E126" s="3" t="s">
        <v>621</v>
      </c>
      <c r="F126" s="11" t="b">
        <f t="shared" si="1"/>
        <v>0</v>
      </c>
      <c r="G126" s="11" t="s">
        <v>404</v>
      </c>
      <c r="H126" s="1" t="s">
        <v>280</v>
      </c>
      <c r="J126" s="14" t="s">
        <v>628</v>
      </c>
      <c r="K126" s="2" t="s">
        <v>1263</v>
      </c>
      <c r="L126" s="2" t="s">
        <v>686</v>
      </c>
      <c r="Q126"/>
    </row>
    <row r="127" spans="1:17" ht="14.4" hidden="1" x14ac:dyDescent="0.3">
      <c r="A127" s="2">
        <v>79987</v>
      </c>
      <c r="B127" s="8" t="s">
        <v>596</v>
      </c>
      <c r="C127" t="s">
        <v>1145</v>
      </c>
      <c r="D127"/>
      <c r="E127" s="3" t="s">
        <v>621</v>
      </c>
      <c r="F127" s="11" t="b">
        <f t="shared" si="1"/>
        <v>0</v>
      </c>
      <c r="G127" s="11" t="s">
        <v>404</v>
      </c>
      <c r="H127" s="1" t="s">
        <v>280</v>
      </c>
      <c r="J127" s="14" t="s">
        <v>628</v>
      </c>
      <c r="K127" s="2" t="s">
        <v>1263</v>
      </c>
      <c r="L127" s="2" t="s">
        <v>686</v>
      </c>
      <c r="Q127"/>
    </row>
    <row r="128" spans="1:17" ht="14.4" hidden="1" x14ac:dyDescent="0.3">
      <c r="A128" s="2">
        <v>79988</v>
      </c>
      <c r="B128" s="8" t="s">
        <v>578</v>
      </c>
      <c r="C128" t="s">
        <v>1146</v>
      </c>
      <c r="D128"/>
      <c r="E128" s="3" t="s">
        <v>621</v>
      </c>
      <c r="F128" s="11" t="b">
        <f t="shared" si="1"/>
        <v>0</v>
      </c>
      <c r="G128" s="11" t="s">
        <v>404</v>
      </c>
      <c r="H128" s="1" t="s">
        <v>280</v>
      </c>
      <c r="J128" s="14" t="s">
        <v>628</v>
      </c>
      <c r="K128" s="2" t="s">
        <v>1263</v>
      </c>
      <c r="L128" s="2" t="s">
        <v>686</v>
      </c>
      <c r="Q128"/>
    </row>
    <row r="129" spans="1:17" ht="14.4" hidden="1" x14ac:dyDescent="0.3">
      <c r="A129" s="2">
        <v>79989</v>
      </c>
      <c r="B129" s="8" t="s">
        <v>254</v>
      </c>
      <c r="C129" t="s">
        <v>1147</v>
      </c>
      <c r="D129"/>
      <c r="E129" s="3" t="s">
        <v>621</v>
      </c>
      <c r="F129" s="11" t="b">
        <f t="shared" si="1"/>
        <v>0</v>
      </c>
      <c r="G129" s="11" t="s">
        <v>404</v>
      </c>
      <c r="H129" s="1" t="s">
        <v>280</v>
      </c>
      <c r="J129" s="14" t="s">
        <v>628</v>
      </c>
      <c r="K129" s="2" t="s">
        <v>1263</v>
      </c>
      <c r="L129" s="2" t="s">
        <v>686</v>
      </c>
      <c r="Q129"/>
    </row>
    <row r="130" spans="1:17" ht="14.4" hidden="1" x14ac:dyDescent="0.3">
      <c r="A130" s="2">
        <v>79995</v>
      </c>
      <c r="B130" s="8" t="s">
        <v>597</v>
      </c>
      <c r="C130" t="s">
        <v>1150</v>
      </c>
      <c r="D130"/>
      <c r="E130" s="3" t="s">
        <v>621</v>
      </c>
      <c r="F130" s="11" t="b">
        <f t="shared" ref="F130:F193" si="2">ISNUMBER(SEARCH($F$1,B130))</f>
        <v>0</v>
      </c>
      <c r="G130" s="11" t="s">
        <v>404</v>
      </c>
      <c r="H130" s="1" t="s">
        <v>280</v>
      </c>
      <c r="J130" s="14" t="s">
        <v>628</v>
      </c>
      <c r="K130" s="2" t="s">
        <v>1263</v>
      </c>
      <c r="L130" s="2" t="s">
        <v>686</v>
      </c>
      <c r="Q130"/>
    </row>
    <row r="131" spans="1:17" ht="14.4" hidden="1" x14ac:dyDescent="0.3">
      <c r="A131" s="2">
        <v>79996</v>
      </c>
      <c r="B131" s="8" t="s">
        <v>256</v>
      </c>
      <c r="C131" t="s">
        <v>1151</v>
      </c>
      <c r="D131"/>
      <c r="E131" s="3" t="s">
        <v>621</v>
      </c>
      <c r="F131" s="11" t="b">
        <f t="shared" si="2"/>
        <v>0</v>
      </c>
      <c r="G131" s="11" t="s">
        <v>404</v>
      </c>
      <c r="H131" s="1" t="s">
        <v>280</v>
      </c>
      <c r="J131" s="14" t="s">
        <v>628</v>
      </c>
      <c r="K131" s="2" t="s">
        <v>1263</v>
      </c>
      <c r="L131" s="2" t="s">
        <v>686</v>
      </c>
      <c r="Q131"/>
    </row>
    <row r="132" spans="1:17" ht="14.4" hidden="1" x14ac:dyDescent="0.3">
      <c r="A132" s="2">
        <v>79998</v>
      </c>
      <c r="B132" s="8" t="s">
        <v>257</v>
      </c>
      <c r="C132" t="s">
        <v>1153</v>
      </c>
      <c r="D132"/>
      <c r="E132" s="3" t="s">
        <v>621</v>
      </c>
      <c r="F132" s="11" t="b">
        <f t="shared" si="2"/>
        <v>0</v>
      </c>
      <c r="G132" s="11" t="s">
        <v>404</v>
      </c>
      <c r="H132" s="1" t="s">
        <v>280</v>
      </c>
      <c r="J132" s="14" t="s">
        <v>628</v>
      </c>
      <c r="K132" s="2" t="s">
        <v>1263</v>
      </c>
      <c r="L132" s="2" t="s">
        <v>686</v>
      </c>
      <c r="Q132"/>
    </row>
    <row r="133" spans="1:17" ht="14.4" hidden="1" x14ac:dyDescent="0.3">
      <c r="A133" s="2">
        <v>5031</v>
      </c>
      <c r="B133" s="8" t="s">
        <v>1171</v>
      </c>
      <c r="C133" t="s">
        <v>1195</v>
      </c>
      <c r="D133"/>
      <c r="E133" s="3" t="s">
        <v>620</v>
      </c>
      <c r="F133" s="11" t="b">
        <f t="shared" si="2"/>
        <v>0</v>
      </c>
      <c r="G133" s="11" t="s">
        <v>119</v>
      </c>
      <c r="J133" s="14" t="s">
        <v>628</v>
      </c>
      <c r="K133" s="2" t="s">
        <v>1263</v>
      </c>
      <c r="L133" s="2" t="s">
        <v>686</v>
      </c>
      <c r="Q133"/>
    </row>
    <row r="134" spans="1:17" ht="14.4" hidden="1" x14ac:dyDescent="0.3">
      <c r="A134" s="2" t="s">
        <v>605</v>
      </c>
      <c r="B134" s="8" t="s">
        <v>1246</v>
      </c>
      <c r="C134" t="s">
        <v>605</v>
      </c>
      <c r="D134"/>
      <c r="E134" s="3" t="s">
        <v>620</v>
      </c>
      <c r="F134" s="11" t="b">
        <f t="shared" si="2"/>
        <v>0</v>
      </c>
      <c r="G134" s="11" t="s">
        <v>402</v>
      </c>
      <c r="J134" s="14" t="s">
        <v>628</v>
      </c>
      <c r="K134" s="2" t="s">
        <v>1261</v>
      </c>
      <c r="L134" s="2" t="s">
        <v>686</v>
      </c>
      <c r="Q134"/>
    </row>
    <row r="135" spans="1:17" ht="14.4" hidden="1" x14ac:dyDescent="0.3">
      <c r="A135" s="2" t="s">
        <v>606</v>
      </c>
      <c r="B135" s="8" t="s">
        <v>1247</v>
      </c>
      <c r="C135" t="s">
        <v>606</v>
      </c>
      <c r="D135"/>
      <c r="E135" s="3" t="s">
        <v>620</v>
      </c>
      <c r="F135" s="11" t="b">
        <f t="shared" si="2"/>
        <v>0</v>
      </c>
      <c r="G135" s="11" t="s">
        <v>402</v>
      </c>
      <c r="J135" s="14" t="s">
        <v>628</v>
      </c>
      <c r="K135" s="2" t="s">
        <v>1261</v>
      </c>
      <c r="L135" s="2" t="s">
        <v>686</v>
      </c>
      <c r="Q135"/>
    </row>
    <row r="136" spans="1:17" ht="14.4" hidden="1" x14ac:dyDescent="0.3">
      <c r="A136" s="2" t="s">
        <v>607</v>
      </c>
      <c r="B136" s="8" t="s">
        <v>1246</v>
      </c>
      <c r="C136" t="s">
        <v>607</v>
      </c>
      <c r="D136"/>
      <c r="E136" s="3" t="s">
        <v>620</v>
      </c>
      <c r="F136" s="11" t="b">
        <f t="shared" si="2"/>
        <v>0</v>
      </c>
      <c r="G136" s="11" t="s">
        <v>402</v>
      </c>
      <c r="J136" s="14" t="s">
        <v>628</v>
      </c>
      <c r="K136" s="2" t="s">
        <v>1261</v>
      </c>
      <c r="L136" s="2" t="s">
        <v>686</v>
      </c>
      <c r="Q136"/>
    </row>
    <row r="137" spans="1:17" ht="14.4" hidden="1" x14ac:dyDescent="0.3">
      <c r="A137" s="2" t="s">
        <v>608</v>
      </c>
      <c r="B137" s="8" t="s">
        <v>1246</v>
      </c>
      <c r="C137" t="s">
        <v>608</v>
      </c>
      <c r="D137"/>
      <c r="E137" s="3" t="s">
        <v>620</v>
      </c>
      <c r="F137" s="11" t="b">
        <f t="shared" si="2"/>
        <v>0</v>
      </c>
      <c r="G137" s="11" t="s">
        <v>402</v>
      </c>
      <c r="J137" s="14" t="s">
        <v>628</v>
      </c>
      <c r="K137" s="2" t="s">
        <v>1261</v>
      </c>
      <c r="L137" s="2" t="s">
        <v>686</v>
      </c>
      <c r="Q137"/>
    </row>
    <row r="138" spans="1:17" ht="14.4" hidden="1" x14ac:dyDescent="0.3">
      <c r="A138" s="2" t="s">
        <v>609</v>
      </c>
      <c r="B138" s="8" t="s">
        <v>1248</v>
      </c>
      <c r="C138" t="s">
        <v>609</v>
      </c>
      <c r="D138"/>
      <c r="E138" s="3" t="s">
        <v>620</v>
      </c>
      <c r="F138" s="11" t="b">
        <f t="shared" si="2"/>
        <v>0</v>
      </c>
      <c r="G138" s="11" t="s">
        <v>404</v>
      </c>
      <c r="J138" s="14" t="s">
        <v>628</v>
      </c>
      <c r="K138" s="2" t="s">
        <v>1263</v>
      </c>
      <c r="L138" s="2" t="s">
        <v>686</v>
      </c>
      <c r="Q138"/>
    </row>
    <row r="139" spans="1:17" ht="14.4" hidden="1" x14ac:dyDescent="0.3">
      <c r="A139" s="2" t="s">
        <v>610</v>
      </c>
      <c r="B139" s="8" t="s">
        <v>1249</v>
      </c>
      <c r="C139" t="s">
        <v>610</v>
      </c>
      <c r="D139"/>
      <c r="E139" s="3" t="s">
        <v>620</v>
      </c>
      <c r="F139" s="11" t="b">
        <f t="shared" si="2"/>
        <v>0</v>
      </c>
      <c r="G139" s="11" t="s">
        <v>404</v>
      </c>
      <c r="J139" s="14" t="s">
        <v>628</v>
      </c>
      <c r="K139" s="2" t="s">
        <v>1263</v>
      </c>
      <c r="L139" s="2" t="s">
        <v>686</v>
      </c>
      <c r="Q139"/>
    </row>
    <row r="140" spans="1:17" ht="14.4" hidden="1" x14ac:dyDescent="0.3">
      <c r="A140" s="2" t="s">
        <v>611</v>
      </c>
      <c r="B140" s="8" t="s">
        <v>1248</v>
      </c>
      <c r="C140" t="s">
        <v>611</v>
      </c>
      <c r="D140"/>
      <c r="E140" s="3" t="s">
        <v>620</v>
      </c>
      <c r="F140" s="11" t="b">
        <f t="shared" si="2"/>
        <v>0</v>
      </c>
      <c r="G140" s="11" t="s">
        <v>404</v>
      </c>
      <c r="J140" s="14" t="s">
        <v>628</v>
      </c>
      <c r="K140" s="2" t="s">
        <v>1263</v>
      </c>
      <c r="L140" s="2" t="s">
        <v>686</v>
      </c>
      <c r="Q140"/>
    </row>
    <row r="141" spans="1:17" ht="14.4" hidden="1" x14ac:dyDescent="0.3">
      <c r="A141" s="2" t="s">
        <v>612</v>
      </c>
      <c r="B141" s="8" t="s">
        <v>1248</v>
      </c>
      <c r="C141" t="s">
        <v>612</v>
      </c>
      <c r="D141"/>
      <c r="E141" s="3" t="s">
        <v>620</v>
      </c>
      <c r="F141" s="11" t="b">
        <f t="shared" si="2"/>
        <v>0</v>
      </c>
      <c r="G141" s="11" t="s">
        <v>404</v>
      </c>
      <c r="J141" s="14" t="s">
        <v>628</v>
      </c>
      <c r="K141" s="2" t="s">
        <v>1263</v>
      </c>
      <c r="L141" s="2" t="s">
        <v>686</v>
      </c>
      <c r="Q141"/>
    </row>
    <row r="142" spans="1:17" ht="14.4" hidden="1" x14ac:dyDescent="0.3">
      <c r="A142" s="2" t="s">
        <v>613</v>
      </c>
      <c r="B142" s="8" t="s">
        <v>1250</v>
      </c>
      <c r="C142" t="s">
        <v>613</v>
      </c>
      <c r="D142"/>
      <c r="E142" s="3" t="s">
        <v>620</v>
      </c>
      <c r="F142" s="11" t="b">
        <f t="shared" si="2"/>
        <v>0</v>
      </c>
      <c r="G142" s="11" t="s">
        <v>399</v>
      </c>
      <c r="J142" s="14" t="s">
        <v>628</v>
      </c>
      <c r="K142" s="2" t="s">
        <v>1260</v>
      </c>
      <c r="L142" s="2" t="s">
        <v>686</v>
      </c>
      <c r="Q142"/>
    </row>
    <row r="143" spans="1:17" ht="14.4" hidden="1" x14ac:dyDescent="0.3">
      <c r="A143" s="2" t="s">
        <v>614</v>
      </c>
      <c r="B143" s="8" t="s">
        <v>1250</v>
      </c>
      <c r="C143" t="s">
        <v>614</v>
      </c>
      <c r="D143"/>
      <c r="E143" s="3" t="s">
        <v>620</v>
      </c>
      <c r="F143" s="11" t="b">
        <f t="shared" si="2"/>
        <v>0</v>
      </c>
      <c r="G143" s="11" t="s">
        <v>399</v>
      </c>
      <c r="J143" s="14" t="s">
        <v>628</v>
      </c>
      <c r="K143" s="2" t="s">
        <v>1260</v>
      </c>
      <c r="L143" s="2" t="s">
        <v>686</v>
      </c>
      <c r="Q143"/>
    </row>
    <row r="144" spans="1:17" ht="14.4" hidden="1" x14ac:dyDescent="0.3">
      <c r="A144" s="2" t="s">
        <v>615</v>
      </c>
      <c r="B144" s="8" t="s">
        <v>1250</v>
      </c>
      <c r="C144" t="s">
        <v>615</v>
      </c>
      <c r="D144"/>
      <c r="E144" s="3" t="s">
        <v>620</v>
      </c>
      <c r="F144" s="11" t="b">
        <f t="shared" si="2"/>
        <v>0</v>
      </c>
      <c r="G144" s="11" t="s">
        <v>399</v>
      </c>
      <c r="J144" s="14" t="s">
        <v>628</v>
      </c>
      <c r="K144" s="2" t="s">
        <v>1260</v>
      </c>
      <c r="L144" s="2" t="s">
        <v>686</v>
      </c>
      <c r="Q144"/>
    </row>
    <row r="145" spans="1:17" ht="14.4" hidden="1" x14ac:dyDescent="0.3">
      <c r="A145" s="2" t="s">
        <v>616</v>
      </c>
      <c r="B145" s="8" t="s">
        <v>1251</v>
      </c>
      <c r="C145" t="s">
        <v>616</v>
      </c>
      <c r="D145"/>
      <c r="E145" s="3" t="s">
        <v>620</v>
      </c>
      <c r="F145" s="11" t="b">
        <f t="shared" si="2"/>
        <v>0</v>
      </c>
      <c r="G145" s="11" t="s">
        <v>403</v>
      </c>
      <c r="J145" s="14" t="s">
        <v>628</v>
      </c>
      <c r="K145" s="2" t="s">
        <v>1260</v>
      </c>
      <c r="L145" s="2" t="s">
        <v>686</v>
      </c>
      <c r="Q145"/>
    </row>
    <row r="146" spans="1:17" ht="14.4" hidden="1" x14ac:dyDescent="0.3">
      <c r="A146" s="2" t="s">
        <v>617</v>
      </c>
      <c r="B146" s="8" t="s">
        <v>1251</v>
      </c>
      <c r="C146" t="s">
        <v>617</v>
      </c>
      <c r="D146"/>
      <c r="E146" s="3" t="s">
        <v>620</v>
      </c>
      <c r="F146" s="11" t="b">
        <f t="shared" si="2"/>
        <v>0</v>
      </c>
      <c r="G146" s="11" t="s">
        <v>403</v>
      </c>
      <c r="J146" s="14" t="s">
        <v>628</v>
      </c>
      <c r="K146" s="2" t="s">
        <v>1260</v>
      </c>
      <c r="L146" s="2" t="s">
        <v>686</v>
      </c>
      <c r="Q146"/>
    </row>
    <row r="147" spans="1:17" ht="14.4" hidden="1" x14ac:dyDescent="0.3">
      <c r="A147" s="2" t="s">
        <v>618</v>
      </c>
      <c r="B147" s="8" t="s">
        <v>1251</v>
      </c>
      <c r="C147" t="s">
        <v>618</v>
      </c>
      <c r="D147"/>
      <c r="E147" s="3" t="s">
        <v>620</v>
      </c>
      <c r="F147" s="11" t="b">
        <f t="shared" si="2"/>
        <v>0</v>
      </c>
      <c r="G147" s="11" t="s">
        <v>403</v>
      </c>
      <c r="J147" s="14" t="s">
        <v>628</v>
      </c>
      <c r="K147" s="2" t="s">
        <v>1260</v>
      </c>
      <c r="L147" s="2" t="s">
        <v>686</v>
      </c>
      <c r="Q147"/>
    </row>
    <row r="148" spans="1:17" ht="14.4" hidden="1" x14ac:dyDescent="0.3">
      <c r="A148" s="2" t="s">
        <v>619</v>
      </c>
      <c r="B148" s="8" t="s">
        <v>1251</v>
      </c>
      <c r="C148" t="s">
        <v>619</v>
      </c>
      <c r="D148"/>
      <c r="E148" s="3" t="s">
        <v>620</v>
      </c>
      <c r="F148" s="11" t="b">
        <f t="shared" si="2"/>
        <v>0</v>
      </c>
      <c r="G148" s="11" t="s">
        <v>403</v>
      </c>
      <c r="J148" s="14" t="s">
        <v>628</v>
      </c>
      <c r="K148" s="2" t="s">
        <v>1260</v>
      </c>
      <c r="L148" s="2" t="s">
        <v>686</v>
      </c>
      <c r="Q148"/>
    </row>
    <row r="149" spans="1:17" ht="14.4" hidden="1" x14ac:dyDescent="0.3">
      <c r="A149" s="2">
        <v>39874</v>
      </c>
      <c r="B149" s="8" t="s">
        <v>182</v>
      </c>
      <c r="C149" t="s">
        <v>848</v>
      </c>
      <c r="D149"/>
      <c r="E149" s="3" t="s">
        <v>621</v>
      </c>
      <c r="F149" s="11" t="b">
        <f t="shared" si="2"/>
        <v>0</v>
      </c>
      <c r="G149" s="11" t="s">
        <v>399</v>
      </c>
      <c r="H149" s="1" t="s">
        <v>277</v>
      </c>
      <c r="J149" s="14" t="s">
        <v>628</v>
      </c>
      <c r="K149" s="2" t="s">
        <v>1260</v>
      </c>
      <c r="L149" s="2" t="s">
        <v>686</v>
      </c>
      <c r="Q149"/>
    </row>
    <row r="150" spans="1:17" ht="14.4" hidden="1" x14ac:dyDescent="0.3">
      <c r="A150" s="2">
        <v>56563</v>
      </c>
      <c r="B150" s="8" t="s">
        <v>139</v>
      </c>
      <c r="C150" t="s">
        <v>909</v>
      </c>
      <c r="D150"/>
      <c r="E150" s="3" t="s">
        <v>621</v>
      </c>
      <c r="F150" s="11" t="b">
        <f t="shared" si="2"/>
        <v>0</v>
      </c>
      <c r="G150" s="11" t="s">
        <v>400</v>
      </c>
      <c r="H150" s="1" t="s">
        <v>278</v>
      </c>
      <c r="J150" s="14" t="s">
        <v>628</v>
      </c>
      <c r="K150" s="2" t="s">
        <v>1263</v>
      </c>
      <c r="L150" s="2" t="s">
        <v>686</v>
      </c>
      <c r="Q150"/>
    </row>
    <row r="151" spans="1:17" ht="14.4" hidden="1" x14ac:dyDescent="0.3">
      <c r="A151" s="2">
        <v>56570</v>
      </c>
      <c r="B151" s="8" t="s">
        <v>143</v>
      </c>
      <c r="C151" t="s">
        <v>914</v>
      </c>
      <c r="D151"/>
      <c r="E151" s="3" t="s">
        <v>621</v>
      </c>
      <c r="F151" s="11" t="b">
        <f t="shared" si="2"/>
        <v>0</v>
      </c>
      <c r="G151" s="11" t="s">
        <v>400</v>
      </c>
      <c r="H151" s="1" t="s">
        <v>278</v>
      </c>
      <c r="J151" s="14" t="s">
        <v>628</v>
      </c>
      <c r="K151" s="2" t="s">
        <v>1263</v>
      </c>
      <c r="L151" s="2" t="s">
        <v>686</v>
      </c>
      <c r="Q151"/>
    </row>
    <row r="152" spans="1:17" ht="14.4" hidden="1" x14ac:dyDescent="0.3">
      <c r="A152" s="2">
        <v>39287</v>
      </c>
      <c r="B152" s="8" t="s">
        <v>580</v>
      </c>
      <c r="C152" t="s">
        <v>779</v>
      </c>
      <c r="D152"/>
      <c r="E152" s="3" t="s">
        <v>621</v>
      </c>
      <c r="F152" s="11" t="b">
        <f t="shared" si="2"/>
        <v>0</v>
      </c>
      <c r="G152" s="11" t="s">
        <v>398</v>
      </c>
      <c r="H152" s="1" t="s">
        <v>280</v>
      </c>
      <c r="J152" s="14" t="s">
        <v>624</v>
      </c>
      <c r="K152" s="2" t="s">
        <v>1262</v>
      </c>
      <c r="L152" s="2" t="s">
        <v>686</v>
      </c>
      <c r="Q152"/>
    </row>
    <row r="153" spans="1:17" ht="14.4" hidden="1" x14ac:dyDescent="0.3">
      <c r="A153" s="2">
        <v>39296</v>
      </c>
      <c r="B153" s="8" t="s">
        <v>248</v>
      </c>
      <c r="C153" t="s">
        <v>785</v>
      </c>
      <c r="D153"/>
      <c r="E153" s="3" t="s">
        <v>621</v>
      </c>
      <c r="F153" s="11" t="b">
        <f t="shared" si="2"/>
        <v>0</v>
      </c>
      <c r="G153" s="11" t="s">
        <v>398</v>
      </c>
      <c r="H153" s="1" t="s">
        <v>280</v>
      </c>
      <c r="J153" s="14" t="s">
        <v>624</v>
      </c>
      <c r="K153" s="2" t="s">
        <v>1262</v>
      </c>
      <c r="L153" s="2" t="s">
        <v>686</v>
      </c>
      <c r="Q153"/>
    </row>
    <row r="154" spans="1:17" ht="14.4" hidden="1" x14ac:dyDescent="0.3">
      <c r="A154" s="2">
        <v>39298</v>
      </c>
      <c r="B154" s="8" t="s">
        <v>249</v>
      </c>
      <c r="C154" t="s">
        <v>787</v>
      </c>
      <c r="D154"/>
      <c r="E154" s="3" t="s">
        <v>621</v>
      </c>
      <c r="F154" s="11" t="b">
        <f t="shared" si="2"/>
        <v>0</v>
      </c>
      <c r="G154" s="11" t="s">
        <v>398</v>
      </c>
      <c r="H154" s="1" t="s">
        <v>280</v>
      </c>
      <c r="J154" s="14" t="s">
        <v>624</v>
      </c>
      <c r="K154" s="2" t="s">
        <v>1262</v>
      </c>
      <c r="L154" s="2" t="s">
        <v>686</v>
      </c>
      <c r="Q154"/>
    </row>
    <row r="155" spans="1:17" ht="14.4" hidden="1" x14ac:dyDescent="0.3">
      <c r="A155" s="2">
        <v>39264</v>
      </c>
      <c r="B155" s="8" t="s">
        <v>130</v>
      </c>
      <c r="C155" t="s">
        <v>770</v>
      </c>
      <c r="D155"/>
      <c r="E155" s="3" t="s">
        <v>621</v>
      </c>
      <c r="F155" s="11" t="b">
        <f t="shared" si="2"/>
        <v>0</v>
      </c>
      <c r="G155" s="11" t="s">
        <v>398</v>
      </c>
      <c r="H155" s="1" t="s">
        <v>278</v>
      </c>
      <c r="J155" s="14" t="s">
        <v>628</v>
      </c>
      <c r="K155" s="2" t="s">
        <v>1262</v>
      </c>
      <c r="L155" s="2" t="s">
        <v>686</v>
      </c>
      <c r="Q155"/>
    </row>
    <row r="156" spans="1:17" ht="14.4" hidden="1" x14ac:dyDescent="0.3">
      <c r="A156" s="2">
        <v>39285</v>
      </c>
      <c r="B156" s="8" t="s">
        <v>579</v>
      </c>
      <c r="C156" t="s">
        <v>777</v>
      </c>
      <c r="D156"/>
      <c r="E156" s="3" t="s">
        <v>621</v>
      </c>
      <c r="F156" s="11" t="b">
        <f t="shared" si="2"/>
        <v>0</v>
      </c>
      <c r="G156" s="11" t="s">
        <v>398</v>
      </c>
      <c r="H156" s="1" t="s">
        <v>280</v>
      </c>
      <c r="J156" s="14" t="s">
        <v>628</v>
      </c>
      <c r="K156" s="2" t="s">
        <v>1262</v>
      </c>
      <c r="L156" s="2" t="s">
        <v>686</v>
      </c>
      <c r="Q156"/>
    </row>
    <row r="157" spans="1:17" ht="14.4" hidden="1" x14ac:dyDescent="0.3">
      <c r="A157" s="2">
        <v>5004</v>
      </c>
      <c r="B157" s="8" t="s">
        <v>1166</v>
      </c>
      <c r="C157" s="2" t="s">
        <v>1196</v>
      </c>
      <c r="E157" s="3" t="s">
        <v>620</v>
      </c>
      <c r="F157" s="11" t="b">
        <f t="shared" si="2"/>
        <v>0</v>
      </c>
      <c r="G157" s="11" t="s">
        <v>119</v>
      </c>
      <c r="J157" s="14" t="s">
        <v>624</v>
      </c>
      <c r="K157" s="2" t="s">
        <v>458</v>
      </c>
      <c r="L157" s="2" t="s">
        <v>623</v>
      </c>
    </row>
    <row r="158" spans="1:17" ht="14.4" hidden="1" x14ac:dyDescent="0.3">
      <c r="A158" s="2">
        <v>5013</v>
      </c>
      <c r="B158" s="8" t="s">
        <v>1166</v>
      </c>
      <c r="C158" s="2" t="s">
        <v>1197</v>
      </c>
      <c r="E158" s="3" t="s">
        <v>620</v>
      </c>
      <c r="F158" s="11" t="b">
        <f t="shared" si="2"/>
        <v>0</v>
      </c>
      <c r="G158" s="11" t="s">
        <v>119</v>
      </c>
      <c r="J158" s="14" t="s">
        <v>624</v>
      </c>
      <c r="K158" s="2" t="s">
        <v>458</v>
      </c>
      <c r="L158" s="2" t="s">
        <v>623</v>
      </c>
    </row>
    <row r="159" spans="1:17" ht="14.4" hidden="1" x14ac:dyDescent="0.3">
      <c r="A159" s="2">
        <v>5014</v>
      </c>
      <c r="B159" s="8" t="s">
        <v>1166</v>
      </c>
      <c r="C159" s="2" t="s">
        <v>1198</v>
      </c>
      <c r="E159" s="3" t="s">
        <v>620</v>
      </c>
      <c r="F159" s="11" t="b">
        <f t="shared" si="2"/>
        <v>0</v>
      </c>
      <c r="G159" s="11" t="s">
        <v>119</v>
      </c>
      <c r="J159" s="14" t="s">
        <v>624</v>
      </c>
      <c r="K159" s="2" t="s">
        <v>458</v>
      </c>
      <c r="L159" s="2" t="s">
        <v>623</v>
      </c>
    </row>
    <row r="160" spans="1:17" ht="14.4" hidden="1" x14ac:dyDescent="0.3">
      <c r="A160" s="2">
        <v>5060</v>
      </c>
      <c r="B160" s="8" t="s">
        <v>1200</v>
      </c>
      <c r="C160" s="2" t="s">
        <v>1199</v>
      </c>
      <c r="E160" s="3" t="s">
        <v>620</v>
      </c>
      <c r="F160" s="11" t="b">
        <f t="shared" si="2"/>
        <v>0</v>
      </c>
      <c r="G160" s="11" t="s">
        <v>119</v>
      </c>
      <c r="J160" s="14" t="s">
        <v>624</v>
      </c>
      <c r="K160" s="2" t="s">
        <v>458</v>
      </c>
      <c r="L160" s="2" t="s">
        <v>623</v>
      </c>
      <c r="Q160" s="2" t="s">
        <v>1257</v>
      </c>
    </row>
    <row r="161" spans="1:17" ht="14.4" hidden="1" x14ac:dyDescent="0.3">
      <c r="A161" s="2">
        <v>5061</v>
      </c>
      <c r="B161" s="8" t="s">
        <v>1200</v>
      </c>
      <c r="C161" s="2" t="s">
        <v>1201</v>
      </c>
      <c r="E161" s="3" t="s">
        <v>620</v>
      </c>
      <c r="F161" s="11" t="b">
        <f t="shared" si="2"/>
        <v>0</v>
      </c>
      <c r="G161" s="11" t="s">
        <v>119</v>
      </c>
      <c r="J161" s="14" t="s">
        <v>624</v>
      </c>
      <c r="K161" s="2" t="s">
        <v>458</v>
      </c>
      <c r="L161" s="2" t="s">
        <v>623</v>
      </c>
      <c r="Q161" s="2" t="s">
        <v>1257</v>
      </c>
    </row>
    <row r="162" spans="1:17" ht="14.4" hidden="1" x14ac:dyDescent="0.3">
      <c r="A162" s="2">
        <v>5067</v>
      </c>
      <c r="B162" s="8" t="s">
        <v>1203</v>
      </c>
      <c r="C162" s="2" t="s">
        <v>1202</v>
      </c>
      <c r="E162" s="3" t="s">
        <v>620</v>
      </c>
      <c r="F162" s="11" t="b">
        <f t="shared" si="2"/>
        <v>0</v>
      </c>
      <c r="G162" s="11" t="s">
        <v>119</v>
      </c>
      <c r="J162" s="14" t="s">
        <v>624</v>
      </c>
      <c r="K162" s="2" t="s">
        <v>458</v>
      </c>
      <c r="L162" s="2" t="s">
        <v>623</v>
      </c>
      <c r="Q162" s="2" t="s">
        <v>1257</v>
      </c>
    </row>
    <row r="163" spans="1:17" ht="14.4" hidden="1" x14ac:dyDescent="0.3">
      <c r="A163" s="2">
        <v>39858</v>
      </c>
      <c r="B163" s="8" t="s">
        <v>199</v>
      </c>
      <c r="C163" t="s">
        <v>840</v>
      </c>
      <c r="D163"/>
      <c r="E163" s="3" t="s">
        <v>621</v>
      </c>
      <c r="F163" s="11" t="b">
        <f t="shared" si="2"/>
        <v>0</v>
      </c>
      <c r="G163" s="11" t="s">
        <v>399</v>
      </c>
      <c r="H163" s="1" t="s">
        <v>269</v>
      </c>
      <c r="J163" s="14" t="s">
        <v>624</v>
      </c>
      <c r="K163" s="2" t="s">
        <v>1260</v>
      </c>
      <c r="L163" s="2" t="s">
        <v>686</v>
      </c>
      <c r="Q163"/>
    </row>
    <row r="164" spans="1:17" ht="14.4" hidden="1" x14ac:dyDescent="0.3">
      <c r="A164" s="2">
        <v>56503</v>
      </c>
      <c r="B164" s="8" t="s">
        <v>39</v>
      </c>
      <c r="C164" t="s">
        <v>875</v>
      </c>
      <c r="D164"/>
      <c r="E164" s="3" t="s">
        <v>621</v>
      </c>
      <c r="F164" s="11" t="b">
        <f t="shared" si="2"/>
        <v>0</v>
      </c>
      <c r="G164" s="11" t="s">
        <v>400</v>
      </c>
      <c r="H164" s="1" t="s">
        <v>267</v>
      </c>
      <c r="J164" s="14" t="s">
        <v>624</v>
      </c>
      <c r="K164" s="2" t="s">
        <v>1263</v>
      </c>
      <c r="L164" s="2" t="s">
        <v>686</v>
      </c>
      <c r="Q164"/>
    </row>
    <row r="165" spans="1:17" ht="14.4" hidden="1" x14ac:dyDescent="0.3">
      <c r="A165" s="2">
        <v>69958</v>
      </c>
      <c r="B165" s="8" t="s">
        <v>318</v>
      </c>
      <c r="C165" t="s">
        <v>1079</v>
      </c>
      <c r="D165"/>
      <c r="E165" s="3" t="s">
        <v>621</v>
      </c>
      <c r="F165" s="11" t="b">
        <f t="shared" si="2"/>
        <v>0</v>
      </c>
      <c r="G165" s="11" t="s">
        <v>403</v>
      </c>
      <c r="H165" s="1" t="s">
        <v>269</v>
      </c>
      <c r="J165" s="14" t="s">
        <v>624</v>
      </c>
      <c r="K165" s="2" t="s">
        <v>1260</v>
      </c>
      <c r="L165" s="2" t="s">
        <v>686</v>
      </c>
      <c r="Q165"/>
    </row>
    <row r="166" spans="1:17" ht="14.4" hidden="1" x14ac:dyDescent="0.3">
      <c r="A166" s="2">
        <v>39835</v>
      </c>
      <c r="B166" s="8" t="s">
        <v>50</v>
      </c>
      <c r="C166" t="s">
        <v>828</v>
      </c>
      <c r="D166"/>
      <c r="E166" s="3" t="s">
        <v>621</v>
      </c>
      <c r="F166" s="11" t="b">
        <f t="shared" si="2"/>
        <v>0</v>
      </c>
      <c r="G166" s="11" t="s">
        <v>399</v>
      </c>
      <c r="H166" s="1" t="s">
        <v>271</v>
      </c>
      <c r="J166" s="14" t="s">
        <v>624</v>
      </c>
      <c r="K166" s="2" t="s">
        <v>1260</v>
      </c>
      <c r="L166" s="2" t="s">
        <v>686</v>
      </c>
      <c r="Q166"/>
    </row>
    <row r="167" spans="1:17" ht="14.4" hidden="1" x14ac:dyDescent="0.3">
      <c r="A167" s="2">
        <v>56561</v>
      </c>
      <c r="B167" s="8" t="s">
        <v>140</v>
      </c>
      <c r="C167" t="s">
        <v>907</v>
      </c>
      <c r="D167"/>
      <c r="E167" s="3" t="s">
        <v>621</v>
      </c>
      <c r="F167" s="11" t="b">
        <f t="shared" si="2"/>
        <v>0</v>
      </c>
      <c r="G167" s="11" t="s">
        <v>400</v>
      </c>
      <c r="H167" s="1" t="s">
        <v>278</v>
      </c>
      <c r="J167" s="14" t="s">
        <v>628</v>
      </c>
      <c r="K167" s="2" t="s">
        <v>1263</v>
      </c>
      <c r="L167" s="2" t="s">
        <v>686</v>
      </c>
      <c r="Q167"/>
    </row>
    <row r="168" spans="1:17" ht="14.4" hidden="1" x14ac:dyDescent="0.3">
      <c r="A168" s="2">
        <v>56585</v>
      </c>
      <c r="B168" s="8" t="s">
        <v>464</v>
      </c>
      <c r="C168" t="s">
        <v>922</v>
      </c>
      <c r="D168"/>
      <c r="E168" s="3" t="s">
        <v>621</v>
      </c>
      <c r="F168" s="11" t="b">
        <f t="shared" si="2"/>
        <v>0</v>
      </c>
      <c r="G168" s="11" t="s">
        <v>400</v>
      </c>
      <c r="H168" s="1" t="s">
        <v>280</v>
      </c>
      <c r="J168" s="14" t="s">
        <v>628</v>
      </c>
      <c r="K168" s="2" t="s">
        <v>1263</v>
      </c>
      <c r="L168" s="2" t="s">
        <v>686</v>
      </c>
      <c r="Q168"/>
    </row>
    <row r="169" spans="1:17" ht="14.4" hidden="1" x14ac:dyDescent="0.3">
      <c r="A169" s="2">
        <v>56586</v>
      </c>
      <c r="B169" s="8" t="s">
        <v>463</v>
      </c>
      <c r="C169" t="s">
        <v>923</v>
      </c>
      <c r="D169"/>
      <c r="E169" s="3" t="s">
        <v>621</v>
      </c>
      <c r="F169" s="11" t="b">
        <f t="shared" si="2"/>
        <v>0</v>
      </c>
      <c r="G169" s="11" t="s">
        <v>400</v>
      </c>
      <c r="H169" s="1" t="s">
        <v>280</v>
      </c>
      <c r="J169" s="14" t="s">
        <v>628</v>
      </c>
      <c r="K169" s="2" t="s">
        <v>1263</v>
      </c>
      <c r="L169" s="2" t="s">
        <v>686</v>
      </c>
      <c r="Q169"/>
    </row>
    <row r="170" spans="1:17" ht="14.4" hidden="1" x14ac:dyDescent="0.3">
      <c r="A170" s="2">
        <v>59963</v>
      </c>
      <c r="B170" s="8" t="s">
        <v>326</v>
      </c>
      <c r="C170" t="s">
        <v>1029</v>
      </c>
      <c r="D170"/>
      <c r="E170" s="3" t="s">
        <v>621</v>
      </c>
      <c r="F170" s="11" t="b">
        <f t="shared" si="2"/>
        <v>0</v>
      </c>
      <c r="G170" s="11" t="s">
        <v>402</v>
      </c>
      <c r="H170" s="1" t="s">
        <v>278</v>
      </c>
      <c r="J170" s="14" t="s">
        <v>628</v>
      </c>
      <c r="K170" s="2" t="s">
        <v>1261</v>
      </c>
      <c r="L170" s="2" t="s">
        <v>686</v>
      </c>
      <c r="Q170"/>
    </row>
    <row r="171" spans="1:17" ht="14.4" hidden="1" x14ac:dyDescent="0.3">
      <c r="A171" s="2">
        <v>79973</v>
      </c>
      <c r="B171" s="8" t="s">
        <v>169</v>
      </c>
      <c r="C171" t="s">
        <v>1139</v>
      </c>
      <c r="D171"/>
      <c r="E171" s="3" t="s">
        <v>621</v>
      </c>
      <c r="F171" s="11" t="b">
        <f t="shared" si="2"/>
        <v>0</v>
      </c>
      <c r="G171" s="11" t="s">
        <v>404</v>
      </c>
      <c r="H171" s="1" t="s">
        <v>278</v>
      </c>
      <c r="J171" s="14" t="s">
        <v>628</v>
      </c>
      <c r="K171" s="2" t="s">
        <v>1263</v>
      </c>
      <c r="L171" s="2" t="s">
        <v>686</v>
      </c>
      <c r="Q171"/>
    </row>
    <row r="172" spans="1:17" ht="14.4" hidden="1" x14ac:dyDescent="0.3">
      <c r="A172" s="2">
        <v>56592</v>
      </c>
      <c r="B172" s="8" t="s">
        <v>461</v>
      </c>
      <c r="C172" t="s">
        <v>925</v>
      </c>
      <c r="D172"/>
      <c r="E172" s="3" t="s">
        <v>621</v>
      </c>
      <c r="F172" s="11" t="b">
        <f t="shared" si="2"/>
        <v>0</v>
      </c>
      <c r="G172" s="11" t="s">
        <v>400</v>
      </c>
      <c r="H172" s="1" t="s">
        <v>279</v>
      </c>
      <c r="J172" s="14" t="s">
        <v>628</v>
      </c>
      <c r="K172" s="2" t="s">
        <v>1263</v>
      </c>
      <c r="L172" s="2" t="s">
        <v>686</v>
      </c>
      <c r="Q172"/>
    </row>
    <row r="173" spans="1:17" ht="14.4" hidden="1" x14ac:dyDescent="0.3">
      <c r="A173" s="2">
        <v>39273</v>
      </c>
      <c r="B173" s="8" t="s">
        <v>129</v>
      </c>
      <c r="C173" t="s">
        <v>773</v>
      </c>
      <c r="D173"/>
      <c r="E173" s="3" t="s">
        <v>621</v>
      </c>
      <c r="F173" s="11" t="b">
        <f t="shared" si="2"/>
        <v>0</v>
      </c>
      <c r="G173" s="11" t="s">
        <v>398</v>
      </c>
      <c r="H173" s="1" t="s">
        <v>278</v>
      </c>
      <c r="J173" s="14" t="s">
        <v>628</v>
      </c>
      <c r="K173" s="2" t="s">
        <v>1262</v>
      </c>
      <c r="L173" s="2" t="s">
        <v>686</v>
      </c>
      <c r="Q173"/>
    </row>
    <row r="174" spans="1:17" ht="14.4" hidden="1" x14ac:dyDescent="0.3">
      <c r="A174" s="2">
        <v>5021</v>
      </c>
      <c r="B174" s="8" t="s">
        <v>1168</v>
      </c>
      <c r="C174" s="2" t="s">
        <v>1204</v>
      </c>
      <c r="E174" s="3" t="s">
        <v>620</v>
      </c>
      <c r="F174" s="11" t="b">
        <f t="shared" si="2"/>
        <v>0</v>
      </c>
      <c r="G174" s="11" t="s">
        <v>119</v>
      </c>
      <c r="J174" s="14" t="s">
        <v>624</v>
      </c>
      <c r="K174" s="2" t="s">
        <v>458</v>
      </c>
      <c r="L174" s="2" t="s">
        <v>623</v>
      </c>
    </row>
    <row r="175" spans="1:17" ht="14.4" hidden="1" x14ac:dyDescent="0.3">
      <c r="A175" s="2">
        <v>5069</v>
      </c>
      <c r="B175" s="8" t="s">
        <v>1206</v>
      </c>
      <c r="C175" s="2" t="s">
        <v>1205</v>
      </c>
      <c r="E175" s="3" t="s">
        <v>620</v>
      </c>
      <c r="F175" s="11" t="b">
        <f t="shared" si="2"/>
        <v>0</v>
      </c>
      <c r="G175" s="11" t="s">
        <v>119</v>
      </c>
      <c r="J175" s="14" t="s">
        <v>624</v>
      </c>
      <c r="K175" s="2" t="s">
        <v>458</v>
      </c>
      <c r="L175" s="2" t="s">
        <v>623</v>
      </c>
    </row>
    <row r="176" spans="1:17" ht="14.4" x14ac:dyDescent="0.3">
      <c r="A176" s="2">
        <v>56602</v>
      </c>
      <c r="B176" s="8" t="s">
        <v>470</v>
      </c>
      <c r="C176" t="s">
        <v>927</v>
      </c>
      <c r="D176"/>
      <c r="E176" s="3" t="s">
        <v>621</v>
      </c>
      <c r="F176" s="11" t="b">
        <f t="shared" si="2"/>
        <v>0</v>
      </c>
      <c r="G176" s="11" t="s">
        <v>1265</v>
      </c>
      <c r="H176" s="1" t="s">
        <v>267</v>
      </c>
      <c r="J176" s="14" t="s">
        <v>624</v>
      </c>
      <c r="K176" s="2" t="s">
        <v>1289</v>
      </c>
      <c r="L176" s="2" t="s">
        <v>686</v>
      </c>
      <c r="Q176"/>
    </row>
    <row r="177" spans="1:17" ht="14.4" hidden="1" x14ac:dyDescent="0.3">
      <c r="A177" s="2">
        <v>56577</v>
      </c>
      <c r="B177" s="8" t="s">
        <v>467</v>
      </c>
      <c r="C177" t="s">
        <v>919</v>
      </c>
      <c r="D177"/>
      <c r="E177" s="3" t="s">
        <v>621</v>
      </c>
      <c r="F177" s="11" t="b">
        <f t="shared" si="2"/>
        <v>0</v>
      </c>
      <c r="G177" s="11" t="s">
        <v>400</v>
      </c>
      <c r="H177" s="1" t="s">
        <v>287</v>
      </c>
      <c r="J177" s="14" t="s">
        <v>624</v>
      </c>
      <c r="K177" s="2" t="s">
        <v>1263</v>
      </c>
      <c r="L177" s="2" t="s">
        <v>686</v>
      </c>
      <c r="Q177"/>
    </row>
    <row r="178" spans="1:17" ht="14.4" hidden="1" x14ac:dyDescent="0.3">
      <c r="A178" s="2">
        <v>39268</v>
      </c>
      <c r="B178" s="8" t="s">
        <v>1290</v>
      </c>
      <c r="C178" t="s">
        <v>771</v>
      </c>
      <c r="D178"/>
      <c r="E178" s="3" t="s">
        <v>621</v>
      </c>
      <c r="F178" s="11" t="b">
        <f t="shared" si="2"/>
        <v>0</v>
      </c>
      <c r="G178" s="11" t="s">
        <v>398</v>
      </c>
      <c r="H178" s="1" t="s">
        <v>279</v>
      </c>
      <c r="J178" s="14" t="s">
        <v>628</v>
      </c>
      <c r="K178" s="2" t="s">
        <v>1262</v>
      </c>
      <c r="L178" s="2" t="s">
        <v>686</v>
      </c>
      <c r="Q178"/>
    </row>
    <row r="179" spans="1:17" ht="14.4" hidden="1" x14ac:dyDescent="0.3">
      <c r="A179" s="2">
        <v>56527</v>
      </c>
      <c r="B179" s="8" t="s">
        <v>550</v>
      </c>
      <c r="C179" t="s">
        <v>886</v>
      </c>
      <c r="D179"/>
      <c r="E179" s="3" t="s">
        <v>621</v>
      </c>
      <c r="F179" s="11" t="b">
        <f t="shared" si="2"/>
        <v>0</v>
      </c>
      <c r="G179" s="11" t="s">
        <v>400</v>
      </c>
      <c r="H179" s="1" t="s">
        <v>280</v>
      </c>
      <c r="J179" s="14" t="s">
        <v>628</v>
      </c>
      <c r="K179" s="2" t="s">
        <v>1263</v>
      </c>
      <c r="L179" s="2" t="s">
        <v>686</v>
      </c>
      <c r="Q179"/>
    </row>
    <row r="180" spans="1:17" ht="14.4" hidden="1" x14ac:dyDescent="0.3">
      <c r="A180" s="2">
        <v>56545</v>
      </c>
      <c r="B180" s="8" t="s">
        <v>560</v>
      </c>
      <c r="C180" t="s">
        <v>895</v>
      </c>
      <c r="D180"/>
      <c r="E180" s="3" t="s">
        <v>621</v>
      </c>
      <c r="F180" s="11" t="b">
        <f t="shared" si="2"/>
        <v>0</v>
      </c>
      <c r="G180" s="11" t="s">
        <v>400</v>
      </c>
      <c r="H180" s="1" t="s">
        <v>280</v>
      </c>
      <c r="J180" s="14" t="s">
        <v>628</v>
      </c>
      <c r="K180" s="2" t="s">
        <v>1263</v>
      </c>
      <c r="L180" s="2" t="s">
        <v>686</v>
      </c>
      <c r="Q180"/>
    </row>
    <row r="181" spans="1:17" ht="14.4" hidden="1" x14ac:dyDescent="0.3">
      <c r="A181" s="2">
        <v>56547</v>
      </c>
      <c r="B181" s="8" t="s">
        <v>562</v>
      </c>
      <c r="C181" t="s">
        <v>897</v>
      </c>
      <c r="D181"/>
      <c r="E181" s="3" t="s">
        <v>621</v>
      </c>
      <c r="F181" s="11" t="b">
        <f t="shared" si="2"/>
        <v>0</v>
      </c>
      <c r="G181" s="11" t="s">
        <v>400</v>
      </c>
      <c r="H181" s="1" t="s">
        <v>280</v>
      </c>
      <c r="J181" s="14" t="s">
        <v>628</v>
      </c>
      <c r="K181" s="2" t="s">
        <v>1263</v>
      </c>
      <c r="L181" s="2" t="s">
        <v>686</v>
      </c>
      <c r="Q181"/>
    </row>
    <row r="182" spans="1:17" ht="14.4" hidden="1" x14ac:dyDescent="0.3">
      <c r="A182" s="2">
        <v>56562</v>
      </c>
      <c r="B182" s="8" t="s">
        <v>147</v>
      </c>
      <c r="C182" t="s">
        <v>908</v>
      </c>
      <c r="D182"/>
      <c r="E182" s="3" t="s">
        <v>621</v>
      </c>
      <c r="F182" s="11" t="b">
        <f t="shared" si="2"/>
        <v>0</v>
      </c>
      <c r="G182" s="11" t="s">
        <v>400</v>
      </c>
      <c r="H182" s="1" t="s">
        <v>281</v>
      </c>
      <c r="J182" s="14" t="s">
        <v>628</v>
      </c>
      <c r="K182" s="2" t="s">
        <v>1263</v>
      </c>
      <c r="L182" s="2" t="s">
        <v>686</v>
      </c>
      <c r="Q182"/>
    </row>
    <row r="183" spans="1:17" ht="14.4" hidden="1" x14ac:dyDescent="0.3">
      <c r="A183" s="2">
        <v>56566</v>
      </c>
      <c r="B183" s="8" t="s">
        <v>142</v>
      </c>
      <c r="C183" t="s">
        <v>910</v>
      </c>
      <c r="D183"/>
      <c r="E183" s="3" t="s">
        <v>621</v>
      </c>
      <c r="F183" s="11" t="b">
        <f t="shared" si="2"/>
        <v>0</v>
      </c>
      <c r="G183" s="11" t="s">
        <v>400</v>
      </c>
      <c r="H183" s="1" t="s">
        <v>278</v>
      </c>
      <c r="J183" s="14" t="s">
        <v>628</v>
      </c>
      <c r="K183" s="2" t="s">
        <v>1263</v>
      </c>
      <c r="L183" s="2" t="s">
        <v>686</v>
      </c>
      <c r="Q183"/>
    </row>
    <row r="184" spans="1:17" ht="14.4" hidden="1" x14ac:dyDescent="0.3">
      <c r="A184" s="2">
        <v>56567</v>
      </c>
      <c r="B184" s="8" t="s">
        <v>141</v>
      </c>
      <c r="C184" t="s">
        <v>911</v>
      </c>
      <c r="D184"/>
      <c r="E184" s="3" t="s">
        <v>621</v>
      </c>
      <c r="F184" s="11" t="b">
        <f t="shared" si="2"/>
        <v>0</v>
      </c>
      <c r="G184" s="11" t="s">
        <v>400</v>
      </c>
      <c r="H184" s="1" t="s">
        <v>278</v>
      </c>
      <c r="J184" s="14" t="s">
        <v>628</v>
      </c>
      <c r="K184" s="2" t="s">
        <v>1263</v>
      </c>
      <c r="L184" s="2" t="s">
        <v>686</v>
      </c>
      <c r="Q184"/>
    </row>
    <row r="185" spans="1:17" ht="14.4" hidden="1" x14ac:dyDescent="0.3">
      <c r="A185" s="2">
        <v>56571</v>
      </c>
      <c r="B185" s="8" t="s">
        <v>416</v>
      </c>
      <c r="C185" t="s">
        <v>915</v>
      </c>
      <c r="D185"/>
      <c r="E185" s="3" t="s">
        <v>621</v>
      </c>
      <c r="F185" s="11" t="b">
        <f t="shared" si="2"/>
        <v>0</v>
      </c>
      <c r="G185" s="11" t="s">
        <v>401</v>
      </c>
      <c r="H185" s="1" t="s">
        <v>281</v>
      </c>
      <c r="J185" s="14" t="s">
        <v>628</v>
      </c>
      <c r="K185" s="2" t="s">
        <v>1263</v>
      </c>
      <c r="L185" s="2" t="s">
        <v>686</v>
      </c>
      <c r="Q185"/>
    </row>
    <row r="186" spans="1:17" ht="14.4" x14ac:dyDescent="0.3">
      <c r="A186" s="2">
        <v>56661</v>
      </c>
      <c r="B186" s="8" t="s">
        <v>494</v>
      </c>
      <c r="C186" t="s">
        <v>958</v>
      </c>
      <c r="D186"/>
      <c r="E186" s="3" t="s">
        <v>621</v>
      </c>
      <c r="F186" s="11" t="b">
        <f t="shared" si="2"/>
        <v>0</v>
      </c>
      <c r="G186" s="11" t="s">
        <v>1265</v>
      </c>
      <c r="H186" s="1" t="s">
        <v>278</v>
      </c>
      <c r="J186" s="14" t="s">
        <v>628</v>
      </c>
      <c r="K186" s="2" t="s">
        <v>1289</v>
      </c>
      <c r="L186" s="2" t="s">
        <v>686</v>
      </c>
      <c r="Q186"/>
    </row>
    <row r="187" spans="1:17" ht="14.4" hidden="1" x14ac:dyDescent="0.3">
      <c r="A187" s="2">
        <v>59974</v>
      </c>
      <c r="B187" s="8" t="s">
        <v>325</v>
      </c>
      <c r="C187" t="s">
        <v>1034</v>
      </c>
      <c r="D187"/>
      <c r="E187" s="3" t="s">
        <v>621</v>
      </c>
      <c r="F187" s="11" t="b">
        <f t="shared" si="2"/>
        <v>0</v>
      </c>
      <c r="G187" s="11" t="s">
        <v>402</v>
      </c>
      <c r="H187" s="1" t="s">
        <v>277</v>
      </c>
      <c r="J187" s="14" t="s">
        <v>628</v>
      </c>
      <c r="K187" s="2" t="s">
        <v>1261</v>
      </c>
      <c r="L187" s="2" t="s">
        <v>686</v>
      </c>
      <c r="Q187"/>
    </row>
    <row r="188" spans="1:17" ht="14.4" hidden="1" x14ac:dyDescent="0.3">
      <c r="A188" s="2">
        <v>69969</v>
      </c>
      <c r="B188" s="8" t="s">
        <v>342</v>
      </c>
      <c r="C188" t="s">
        <v>1085</v>
      </c>
      <c r="D188"/>
      <c r="E188" s="3" t="s">
        <v>621</v>
      </c>
      <c r="F188" s="11" t="b">
        <f t="shared" si="2"/>
        <v>0</v>
      </c>
      <c r="G188" s="11" t="s">
        <v>403</v>
      </c>
      <c r="H188" s="1" t="s">
        <v>277</v>
      </c>
      <c r="J188" s="14" t="s">
        <v>628</v>
      </c>
      <c r="K188" s="2" t="s">
        <v>1260</v>
      </c>
      <c r="L188" s="2" t="s">
        <v>686</v>
      </c>
      <c r="Q188"/>
    </row>
    <row r="189" spans="1:17" ht="14.4" hidden="1" x14ac:dyDescent="0.3">
      <c r="A189" s="2">
        <v>69973</v>
      </c>
      <c r="B189" s="8" t="s">
        <v>345</v>
      </c>
      <c r="C189" t="s">
        <v>1086</v>
      </c>
      <c r="D189"/>
      <c r="E189" s="3" t="s">
        <v>621</v>
      </c>
      <c r="F189" s="11" t="b">
        <f t="shared" si="2"/>
        <v>0</v>
      </c>
      <c r="G189" s="11" t="s">
        <v>403</v>
      </c>
      <c r="H189" s="1" t="s">
        <v>278</v>
      </c>
      <c r="J189" s="14" t="s">
        <v>628</v>
      </c>
      <c r="K189" s="2" t="s">
        <v>1260</v>
      </c>
      <c r="L189" s="2" t="s">
        <v>686</v>
      </c>
      <c r="Q189"/>
    </row>
    <row r="190" spans="1:17" ht="14.4" hidden="1" x14ac:dyDescent="0.3">
      <c r="A190" s="2">
        <v>79963</v>
      </c>
      <c r="B190" s="8" t="s">
        <v>168</v>
      </c>
      <c r="C190" t="s">
        <v>1135</v>
      </c>
      <c r="D190"/>
      <c r="E190" s="3" t="s">
        <v>621</v>
      </c>
      <c r="F190" s="11" t="b">
        <f t="shared" si="2"/>
        <v>0</v>
      </c>
      <c r="G190" s="11" t="s">
        <v>404</v>
      </c>
      <c r="H190" s="1" t="s">
        <v>278</v>
      </c>
      <c r="J190" s="14" t="s">
        <v>628</v>
      </c>
      <c r="K190" s="2" t="s">
        <v>1263</v>
      </c>
      <c r="L190" s="2" t="s">
        <v>686</v>
      </c>
      <c r="Q190"/>
    </row>
    <row r="191" spans="1:17" ht="14.4" hidden="1" x14ac:dyDescent="0.3">
      <c r="A191" s="2">
        <v>79969</v>
      </c>
      <c r="B191" s="8" t="s">
        <v>183</v>
      </c>
      <c r="C191" t="s">
        <v>1138</v>
      </c>
      <c r="D191"/>
      <c r="E191" s="3" t="s">
        <v>621</v>
      </c>
      <c r="F191" s="11" t="b">
        <f t="shared" si="2"/>
        <v>0</v>
      </c>
      <c r="G191" s="11" t="s">
        <v>404</v>
      </c>
      <c r="H191" s="1" t="s">
        <v>277</v>
      </c>
      <c r="J191" s="14" t="s">
        <v>628</v>
      </c>
      <c r="K191" s="2" t="s">
        <v>1263</v>
      </c>
      <c r="L191" s="2" t="s">
        <v>686</v>
      </c>
      <c r="Q191"/>
    </row>
    <row r="192" spans="1:17" ht="14.4" hidden="1" x14ac:dyDescent="0.3">
      <c r="A192" s="2">
        <v>79974</v>
      </c>
      <c r="B192" s="8" t="s">
        <v>184</v>
      </c>
      <c r="C192" t="s">
        <v>1140</v>
      </c>
      <c r="D192"/>
      <c r="E192" s="3" t="s">
        <v>621</v>
      </c>
      <c r="F192" s="11" t="b">
        <f t="shared" si="2"/>
        <v>0</v>
      </c>
      <c r="G192" s="11" t="s">
        <v>404</v>
      </c>
      <c r="H192" s="1" t="s">
        <v>277</v>
      </c>
      <c r="J192" s="14" t="s">
        <v>628</v>
      </c>
      <c r="K192" s="2" t="s">
        <v>1263</v>
      </c>
      <c r="L192" s="2" t="s">
        <v>686</v>
      </c>
      <c r="Q192"/>
    </row>
    <row r="193" spans="1:17" ht="14.4" hidden="1" x14ac:dyDescent="0.3">
      <c r="A193" s="2">
        <v>39863</v>
      </c>
      <c r="B193" s="8" t="s">
        <v>131</v>
      </c>
      <c r="C193" t="s">
        <v>843</v>
      </c>
      <c r="D193"/>
      <c r="E193" s="3" t="s">
        <v>621</v>
      </c>
      <c r="F193" s="11" t="b">
        <f t="shared" si="2"/>
        <v>0</v>
      </c>
      <c r="G193" s="11" t="s">
        <v>399</v>
      </c>
      <c r="H193" s="1" t="s">
        <v>278</v>
      </c>
      <c r="J193" s="14" t="s">
        <v>628</v>
      </c>
      <c r="K193" s="2" t="s">
        <v>1260</v>
      </c>
      <c r="L193" s="2" t="s">
        <v>686</v>
      </c>
      <c r="Q193"/>
    </row>
    <row r="194" spans="1:17" ht="14.4" hidden="1" x14ac:dyDescent="0.3">
      <c r="A194" s="2">
        <v>56555</v>
      </c>
      <c r="B194" s="8" t="s">
        <v>332</v>
      </c>
      <c r="C194" t="s">
        <v>902</v>
      </c>
      <c r="D194"/>
      <c r="E194" s="3" t="s">
        <v>621</v>
      </c>
      <c r="F194" s="11" t="b">
        <f t="shared" ref="F194:F257" si="3">ISNUMBER(SEARCH($F$1,B194))</f>
        <v>0</v>
      </c>
      <c r="G194" s="11" t="s">
        <v>401</v>
      </c>
      <c r="H194" s="1" t="s">
        <v>281</v>
      </c>
      <c r="J194" s="14" t="s">
        <v>628</v>
      </c>
      <c r="K194" s="2" t="s">
        <v>1263</v>
      </c>
      <c r="L194" s="2" t="s">
        <v>686</v>
      </c>
      <c r="Q194"/>
    </row>
    <row r="195" spans="1:17" ht="14.4" hidden="1" x14ac:dyDescent="0.3">
      <c r="A195" s="2">
        <v>56655</v>
      </c>
      <c r="B195" s="8" t="s">
        <v>418</v>
      </c>
      <c r="C195" t="s">
        <v>953</v>
      </c>
      <c r="D195"/>
      <c r="E195" s="3" t="s">
        <v>621</v>
      </c>
      <c r="F195" s="11" t="b">
        <f t="shared" si="3"/>
        <v>0</v>
      </c>
      <c r="G195" s="11" t="s">
        <v>401</v>
      </c>
      <c r="H195" s="1" t="s">
        <v>281</v>
      </c>
      <c r="J195" s="14" t="s">
        <v>628</v>
      </c>
      <c r="K195" s="2" t="s">
        <v>1263</v>
      </c>
      <c r="L195" s="2" t="s">
        <v>686</v>
      </c>
      <c r="Q195"/>
    </row>
    <row r="196" spans="1:17" ht="14.4" hidden="1" x14ac:dyDescent="0.3">
      <c r="A196" s="2">
        <v>39274</v>
      </c>
      <c r="B196" s="8" t="s">
        <v>264</v>
      </c>
      <c r="C196" t="s">
        <v>774</v>
      </c>
      <c r="D196"/>
      <c r="E196" s="3" t="s">
        <v>621</v>
      </c>
      <c r="F196" s="11" t="b">
        <f t="shared" si="3"/>
        <v>0</v>
      </c>
      <c r="G196" s="11" t="s">
        <v>398</v>
      </c>
      <c r="H196" s="1" t="s">
        <v>277</v>
      </c>
      <c r="J196" s="14" t="s">
        <v>628</v>
      </c>
      <c r="K196" s="2" t="s">
        <v>1262</v>
      </c>
      <c r="L196" s="2" t="s">
        <v>686</v>
      </c>
      <c r="Q196"/>
    </row>
    <row r="197" spans="1:17" ht="14.4" hidden="1" x14ac:dyDescent="0.3">
      <c r="A197" s="2">
        <v>5006</v>
      </c>
      <c r="B197" s="8" t="s">
        <v>1166</v>
      </c>
      <c r="C197" s="2" t="s">
        <v>1209</v>
      </c>
      <c r="E197" s="3" t="s">
        <v>620</v>
      </c>
      <c r="F197" s="11" t="b">
        <f t="shared" si="3"/>
        <v>0</v>
      </c>
      <c r="G197" s="11" t="s">
        <v>119</v>
      </c>
      <c r="J197" s="14" t="s">
        <v>624</v>
      </c>
      <c r="K197" s="2" t="s">
        <v>458</v>
      </c>
      <c r="L197" s="2" t="s">
        <v>623</v>
      </c>
    </row>
    <row r="198" spans="1:17" ht="14.4" hidden="1" x14ac:dyDescent="0.3">
      <c r="A198" s="2">
        <v>5057</v>
      </c>
      <c r="B198" s="8" t="s">
        <v>1212</v>
      </c>
      <c r="C198" s="2" t="s">
        <v>1211</v>
      </c>
      <c r="E198" s="3" t="s">
        <v>620</v>
      </c>
      <c r="F198" s="11" t="b">
        <f t="shared" si="3"/>
        <v>0</v>
      </c>
      <c r="G198" s="11" t="s">
        <v>119</v>
      </c>
      <c r="J198" s="14" t="s">
        <v>624</v>
      </c>
      <c r="K198" s="2" t="s">
        <v>458</v>
      </c>
      <c r="L198" s="2" t="s">
        <v>623</v>
      </c>
      <c r="Q198" s="2" t="s">
        <v>1257</v>
      </c>
    </row>
    <row r="199" spans="1:17" ht="14.4" hidden="1" x14ac:dyDescent="0.3">
      <c r="A199" s="2">
        <v>6046</v>
      </c>
      <c r="B199" s="8" t="s">
        <v>1214</v>
      </c>
      <c r="C199" s="2" t="s">
        <v>1213</v>
      </c>
      <c r="E199" s="3" t="s">
        <v>620</v>
      </c>
      <c r="F199" s="11" t="b">
        <f t="shared" si="3"/>
        <v>0</v>
      </c>
      <c r="G199" s="11" t="s">
        <v>119</v>
      </c>
      <c r="J199" s="14" t="s">
        <v>624</v>
      </c>
      <c r="K199" s="2" t="s">
        <v>458</v>
      </c>
      <c r="L199" s="2" t="s">
        <v>623</v>
      </c>
    </row>
    <row r="200" spans="1:17" ht="14.4" hidden="1" x14ac:dyDescent="0.3">
      <c r="A200" s="2">
        <v>6216</v>
      </c>
      <c r="B200" s="8" t="s">
        <v>146</v>
      </c>
      <c r="C200" s="2" t="s">
        <v>643</v>
      </c>
      <c r="E200" s="3" t="s">
        <v>621</v>
      </c>
      <c r="F200" s="11" t="b">
        <f t="shared" si="3"/>
        <v>0</v>
      </c>
      <c r="G200" s="11" t="s">
        <v>119</v>
      </c>
      <c r="H200" s="1" t="s">
        <v>435</v>
      </c>
      <c r="J200" s="14" t="s">
        <v>624</v>
      </c>
      <c r="K200" s="2" t="s">
        <v>458</v>
      </c>
      <c r="L200" s="2" t="s">
        <v>623</v>
      </c>
    </row>
    <row r="201" spans="1:17" ht="14.4" hidden="1" x14ac:dyDescent="0.3">
      <c r="A201" s="2">
        <v>56879</v>
      </c>
      <c r="B201" s="8" t="s">
        <v>1216</v>
      </c>
      <c r="C201" s="2" t="s">
        <v>1215</v>
      </c>
      <c r="E201" s="3" t="s">
        <v>620</v>
      </c>
      <c r="F201" s="11" t="b">
        <f t="shared" si="3"/>
        <v>0</v>
      </c>
      <c r="G201" s="11" t="s">
        <v>405</v>
      </c>
      <c r="J201" s="14" t="s">
        <v>624</v>
      </c>
      <c r="K201" s="2" t="s">
        <v>458</v>
      </c>
      <c r="L201" s="2" t="s">
        <v>623</v>
      </c>
    </row>
    <row r="202" spans="1:17" ht="14.4" hidden="1" x14ac:dyDescent="0.3">
      <c r="A202" s="2">
        <v>5047</v>
      </c>
      <c r="B202" s="8" t="s">
        <v>1193</v>
      </c>
      <c r="C202" s="2" t="s">
        <v>1210</v>
      </c>
      <c r="E202" s="3" t="s">
        <v>620</v>
      </c>
      <c r="F202" s="11" t="b">
        <f t="shared" si="3"/>
        <v>0</v>
      </c>
      <c r="G202" s="11" t="s">
        <v>119</v>
      </c>
      <c r="J202" s="14" t="s">
        <v>628</v>
      </c>
      <c r="K202" s="2" t="s">
        <v>458</v>
      </c>
      <c r="L202" s="2" t="s">
        <v>623</v>
      </c>
    </row>
    <row r="203" spans="1:17" ht="14.4" hidden="1" x14ac:dyDescent="0.3">
      <c r="A203" s="2">
        <v>39815</v>
      </c>
      <c r="B203" s="8" t="s">
        <v>46</v>
      </c>
      <c r="C203" t="s">
        <v>819</v>
      </c>
      <c r="D203"/>
      <c r="E203" s="3" t="s">
        <v>621</v>
      </c>
      <c r="F203" s="11" t="b">
        <f t="shared" si="3"/>
        <v>0</v>
      </c>
      <c r="G203" s="11" t="s">
        <v>399</v>
      </c>
      <c r="H203" s="1" t="s">
        <v>267</v>
      </c>
      <c r="J203" s="14" t="s">
        <v>624</v>
      </c>
      <c r="K203" s="2" t="s">
        <v>1260</v>
      </c>
      <c r="L203" s="2" t="s">
        <v>686</v>
      </c>
      <c r="Q203"/>
    </row>
    <row r="204" spans="1:17" ht="14.4" hidden="1" x14ac:dyDescent="0.3">
      <c r="A204" s="2">
        <v>56501</v>
      </c>
      <c r="B204" s="8" t="s">
        <v>79</v>
      </c>
      <c r="C204" t="s">
        <v>873</v>
      </c>
      <c r="D204"/>
      <c r="E204" s="3" t="s">
        <v>621</v>
      </c>
      <c r="F204" s="11" t="b">
        <f t="shared" si="3"/>
        <v>0</v>
      </c>
      <c r="G204" s="11" t="s">
        <v>400</v>
      </c>
      <c r="H204" s="1" t="s">
        <v>266</v>
      </c>
      <c r="J204" s="14" t="s">
        <v>624</v>
      </c>
      <c r="K204" s="2" t="s">
        <v>1263</v>
      </c>
      <c r="L204" s="2" t="s">
        <v>686</v>
      </c>
      <c r="Q204"/>
    </row>
    <row r="205" spans="1:17" ht="14.4" hidden="1" x14ac:dyDescent="0.3">
      <c r="A205" s="2">
        <v>59923</v>
      </c>
      <c r="B205" s="8" t="s">
        <v>83</v>
      </c>
      <c r="C205" t="s">
        <v>1008</v>
      </c>
      <c r="D205"/>
      <c r="E205" s="3" t="s">
        <v>621</v>
      </c>
      <c r="F205" s="11" t="b">
        <f t="shared" si="3"/>
        <v>0</v>
      </c>
      <c r="G205" s="11" t="s">
        <v>402</v>
      </c>
      <c r="H205" s="1" t="s">
        <v>269</v>
      </c>
      <c r="J205" s="14" t="s">
        <v>624</v>
      </c>
      <c r="K205" s="2" t="s">
        <v>1261</v>
      </c>
      <c r="L205" s="2" t="s">
        <v>686</v>
      </c>
      <c r="Q205"/>
    </row>
    <row r="206" spans="1:17" ht="14.4" hidden="1" x14ac:dyDescent="0.3">
      <c r="A206" s="2">
        <v>59949</v>
      </c>
      <c r="B206" s="8" t="s">
        <v>94</v>
      </c>
      <c r="C206" t="s">
        <v>1020</v>
      </c>
      <c r="D206"/>
      <c r="E206" s="3" t="s">
        <v>621</v>
      </c>
      <c r="F206" s="11" t="b">
        <f t="shared" si="3"/>
        <v>0</v>
      </c>
      <c r="G206" s="11" t="s">
        <v>402</v>
      </c>
      <c r="H206" s="1" t="s">
        <v>275</v>
      </c>
      <c r="J206" s="14" t="s">
        <v>624</v>
      </c>
      <c r="K206" s="2" t="s">
        <v>1261</v>
      </c>
      <c r="L206" s="2" t="s">
        <v>686</v>
      </c>
      <c r="Q206"/>
    </row>
    <row r="207" spans="1:17" ht="14.4" hidden="1" x14ac:dyDescent="0.3">
      <c r="A207" s="2">
        <v>79911</v>
      </c>
      <c r="B207" s="8" t="s">
        <v>149</v>
      </c>
      <c r="C207" t="s">
        <v>1110</v>
      </c>
      <c r="D207"/>
      <c r="E207" s="3" t="s">
        <v>621</v>
      </c>
      <c r="F207" s="11" t="b">
        <f t="shared" si="3"/>
        <v>0</v>
      </c>
      <c r="G207" s="11" t="s">
        <v>404</v>
      </c>
      <c r="H207" s="1" t="s">
        <v>266</v>
      </c>
      <c r="J207" s="14" t="s">
        <v>624</v>
      </c>
      <c r="K207" s="2" t="s">
        <v>1263</v>
      </c>
      <c r="L207" s="2" t="s">
        <v>686</v>
      </c>
      <c r="Q207"/>
    </row>
    <row r="208" spans="1:17" ht="14.4" x14ac:dyDescent="0.3">
      <c r="A208" s="2">
        <v>56643</v>
      </c>
      <c r="B208" s="8" t="s">
        <v>486</v>
      </c>
      <c r="C208" t="s">
        <v>944</v>
      </c>
      <c r="D208"/>
      <c r="E208" s="3" t="s">
        <v>621</v>
      </c>
      <c r="F208" s="11" t="b">
        <f t="shared" si="3"/>
        <v>0</v>
      </c>
      <c r="G208" s="11" t="s">
        <v>1265</v>
      </c>
      <c r="H208" s="1" t="s">
        <v>274</v>
      </c>
      <c r="J208" s="14" t="s">
        <v>624</v>
      </c>
      <c r="K208" s="2" t="s">
        <v>1289</v>
      </c>
      <c r="L208" s="2" t="s">
        <v>686</v>
      </c>
      <c r="Q208"/>
    </row>
    <row r="209" spans="1:17" ht="14.4" hidden="1" x14ac:dyDescent="0.3">
      <c r="A209" s="2">
        <v>34412</v>
      </c>
      <c r="B209" s="8" t="s">
        <v>229</v>
      </c>
      <c r="C209" t="s">
        <v>733</v>
      </c>
      <c r="D209"/>
      <c r="E209" s="3" t="s">
        <v>621</v>
      </c>
      <c r="F209" s="11" t="b">
        <f t="shared" si="3"/>
        <v>0</v>
      </c>
      <c r="G209" s="11" t="s">
        <v>408</v>
      </c>
      <c r="H209" s="1" t="s">
        <v>118</v>
      </c>
      <c r="J209" s="14" t="s">
        <v>628</v>
      </c>
      <c r="K209" s="2" t="s">
        <v>1259</v>
      </c>
      <c r="L209" s="2" t="s">
        <v>686</v>
      </c>
      <c r="Q209"/>
    </row>
    <row r="210" spans="1:17" ht="14.4" hidden="1" x14ac:dyDescent="0.3">
      <c r="A210" s="2">
        <v>39269</v>
      </c>
      <c r="B210" s="8" t="s">
        <v>180</v>
      </c>
      <c r="C210" t="s">
        <v>772</v>
      </c>
      <c r="D210"/>
      <c r="E210" s="3" t="s">
        <v>621</v>
      </c>
      <c r="F210" s="11" t="b">
        <f t="shared" si="3"/>
        <v>0</v>
      </c>
      <c r="G210" s="11" t="s">
        <v>398</v>
      </c>
      <c r="H210" s="1" t="s">
        <v>277</v>
      </c>
      <c r="J210" s="14" t="s">
        <v>628</v>
      </c>
      <c r="K210" s="2" t="s">
        <v>1262</v>
      </c>
      <c r="L210" s="2" t="s">
        <v>686</v>
      </c>
      <c r="Q210"/>
    </row>
    <row r="211" spans="1:17" ht="14.4" hidden="1" x14ac:dyDescent="0.3">
      <c r="A211" s="2">
        <v>56526</v>
      </c>
      <c r="B211" s="8" t="s">
        <v>524</v>
      </c>
      <c r="C211" t="s">
        <v>885</v>
      </c>
      <c r="D211"/>
      <c r="E211" s="3" t="s">
        <v>621</v>
      </c>
      <c r="F211" s="11" t="b">
        <f t="shared" si="3"/>
        <v>0</v>
      </c>
      <c r="G211" s="11" t="s">
        <v>400</v>
      </c>
      <c r="H211" s="1" t="s">
        <v>280</v>
      </c>
      <c r="J211" s="14" t="s">
        <v>628</v>
      </c>
      <c r="K211" s="2" t="s">
        <v>1263</v>
      </c>
      <c r="L211" s="2" t="s">
        <v>686</v>
      </c>
      <c r="Q211"/>
    </row>
    <row r="212" spans="1:17" ht="14.4" hidden="1" x14ac:dyDescent="0.3">
      <c r="A212" s="2">
        <v>56546</v>
      </c>
      <c r="B212" s="8" t="s">
        <v>561</v>
      </c>
      <c r="C212" t="s">
        <v>896</v>
      </c>
      <c r="D212"/>
      <c r="E212" s="3" t="s">
        <v>621</v>
      </c>
      <c r="F212" s="11" t="b">
        <f t="shared" si="3"/>
        <v>0</v>
      </c>
      <c r="G212" s="11" t="s">
        <v>400</v>
      </c>
      <c r="H212" s="1" t="s">
        <v>280</v>
      </c>
      <c r="J212" s="14" t="s">
        <v>628</v>
      </c>
      <c r="K212" s="2" t="s">
        <v>1263</v>
      </c>
      <c r="L212" s="2" t="s">
        <v>686</v>
      </c>
      <c r="Q212"/>
    </row>
    <row r="213" spans="1:17" ht="14.4" hidden="1" x14ac:dyDescent="0.3">
      <c r="A213" s="2">
        <v>56573</v>
      </c>
      <c r="B213" s="8" t="s">
        <v>258</v>
      </c>
      <c r="C213" t="s">
        <v>917</v>
      </c>
      <c r="D213"/>
      <c r="E213" s="3" t="s">
        <v>621</v>
      </c>
      <c r="F213" s="11" t="b">
        <f t="shared" si="3"/>
        <v>0</v>
      </c>
      <c r="G213" s="11" t="s">
        <v>400</v>
      </c>
      <c r="H213" s="1" t="s">
        <v>278</v>
      </c>
      <c r="J213" s="14" t="s">
        <v>628</v>
      </c>
      <c r="K213" s="2" t="s">
        <v>1263</v>
      </c>
      <c r="L213" s="2" t="s">
        <v>686</v>
      </c>
      <c r="Q213"/>
    </row>
    <row r="214" spans="1:17" ht="14.4" hidden="1" x14ac:dyDescent="0.3">
      <c r="A214" s="2">
        <v>59968</v>
      </c>
      <c r="B214" s="8" t="s">
        <v>72</v>
      </c>
      <c r="C214" t="s">
        <v>1031</v>
      </c>
      <c r="D214"/>
      <c r="E214" s="3" t="s">
        <v>621</v>
      </c>
      <c r="F214" s="11" t="b">
        <f t="shared" si="3"/>
        <v>0</v>
      </c>
      <c r="G214" s="11" t="s">
        <v>402</v>
      </c>
      <c r="H214" s="1" t="s">
        <v>279</v>
      </c>
      <c r="J214" s="14" t="s">
        <v>628</v>
      </c>
      <c r="K214" s="2" t="s">
        <v>1261</v>
      </c>
      <c r="L214" s="2" t="s">
        <v>686</v>
      </c>
      <c r="Q214"/>
    </row>
    <row r="215" spans="1:17" ht="14.4" hidden="1" x14ac:dyDescent="0.3">
      <c r="A215" s="2">
        <v>69974</v>
      </c>
      <c r="B215" s="8" t="s">
        <v>343</v>
      </c>
      <c r="C215" t="s">
        <v>1087</v>
      </c>
      <c r="D215"/>
      <c r="E215" s="3" t="s">
        <v>621</v>
      </c>
      <c r="F215" s="11" t="b">
        <f t="shared" si="3"/>
        <v>0</v>
      </c>
      <c r="G215" s="11" t="s">
        <v>403</v>
      </c>
      <c r="H215" s="1" t="s">
        <v>277</v>
      </c>
      <c r="J215" s="14" t="s">
        <v>628</v>
      </c>
      <c r="K215" s="2" t="s">
        <v>1260</v>
      </c>
      <c r="L215" s="2" t="s">
        <v>686</v>
      </c>
      <c r="Q215"/>
    </row>
    <row r="216" spans="1:17" ht="14.4" hidden="1" x14ac:dyDescent="0.3">
      <c r="A216" s="2">
        <v>79968</v>
      </c>
      <c r="B216" s="8" t="s">
        <v>171</v>
      </c>
      <c r="C216" t="s">
        <v>1137</v>
      </c>
      <c r="D216"/>
      <c r="E216" s="3" t="s">
        <v>621</v>
      </c>
      <c r="F216" s="11" t="b">
        <f t="shared" si="3"/>
        <v>0</v>
      </c>
      <c r="G216" s="11" t="s">
        <v>404</v>
      </c>
      <c r="H216" s="1" t="s">
        <v>279</v>
      </c>
      <c r="J216" s="14" t="s">
        <v>628</v>
      </c>
      <c r="K216" s="2" t="s">
        <v>1263</v>
      </c>
      <c r="L216" s="2" t="s">
        <v>686</v>
      </c>
      <c r="Q216"/>
    </row>
    <row r="217" spans="1:17" ht="14.4" hidden="1" x14ac:dyDescent="0.3">
      <c r="A217" s="2">
        <v>39263</v>
      </c>
      <c r="B217" s="8" t="s">
        <v>128</v>
      </c>
      <c r="C217" t="s">
        <v>769</v>
      </c>
      <c r="D217"/>
      <c r="E217" s="3" t="s">
        <v>621</v>
      </c>
      <c r="F217" s="11" t="b">
        <f t="shared" si="3"/>
        <v>0</v>
      </c>
      <c r="G217" s="11" t="s">
        <v>398</v>
      </c>
      <c r="H217" s="1" t="s">
        <v>278</v>
      </c>
      <c r="J217" s="14" t="s">
        <v>628</v>
      </c>
      <c r="K217" s="2" t="s">
        <v>1262</v>
      </c>
      <c r="L217" s="2" t="s">
        <v>686</v>
      </c>
      <c r="Q217"/>
    </row>
    <row r="218" spans="1:17" ht="14.4" x14ac:dyDescent="0.3">
      <c r="A218" s="2">
        <v>56612</v>
      </c>
      <c r="B218" s="8" t="s">
        <v>476</v>
      </c>
      <c r="C218" t="s">
        <v>933</v>
      </c>
      <c r="D218"/>
      <c r="E218" s="3" t="s">
        <v>621</v>
      </c>
      <c r="F218" s="11" t="b">
        <f t="shared" si="3"/>
        <v>0</v>
      </c>
      <c r="G218" s="11" t="s">
        <v>1265</v>
      </c>
      <c r="H218" s="1" t="s">
        <v>273</v>
      </c>
      <c r="J218" s="14" t="s">
        <v>624</v>
      </c>
      <c r="K218" s="2" t="s">
        <v>1289</v>
      </c>
      <c r="L218" s="2" t="s">
        <v>686</v>
      </c>
      <c r="Q218"/>
    </row>
    <row r="219" spans="1:17" ht="14.4" hidden="1" x14ac:dyDescent="0.3">
      <c r="A219" s="2">
        <v>5066</v>
      </c>
      <c r="B219" s="8" t="s">
        <v>1200</v>
      </c>
      <c r="C219" s="2" t="s">
        <v>1217</v>
      </c>
      <c r="E219" s="3" t="s">
        <v>620</v>
      </c>
      <c r="F219" s="11" t="b">
        <f t="shared" si="3"/>
        <v>0</v>
      </c>
      <c r="G219" s="11" t="s">
        <v>119</v>
      </c>
      <c r="J219" s="14" t="s">
        <v>624</v>
      </c>
      <c r="K219" s="2" t="s">
        <v>458</v>
      </c>
      <c r="L219" s="2" t="s">
        <v>623</v>
      </c>
    </row>
    <row r="220" spans="1:17" ht="14.4" hidden="1" x14ac:dyDescent="0.3">
      <c r="A220" s="2">
        <v>82418</v>
      </c>
      <c r="B220" s="8" t="s">
        <v>365</v>
      </c>
      <c r="C220" s="2" t="s">
        <v>1162</v>
      </c>
      <c r="E220" s="3" t="s">
        <v>621</v>
      </c>
      <c r="F220" s="11" t="b">
        <f t="shared" si="3"/>
        <v>0</v>
      </c>
      <c r="G220" s="11" t="s">
        <v>405</v>
      </c>
      <c r="H220" s="1" t="s">
        <v>437</v>
      </c>
      <c r="J220" s="14" t="s">
        <v>624</v>
      </c>
      <c r="K220" s="2" t="s">
        <v>458</v>
      </c>
      <c r="L220" s="2" t="s">
        <v>623</v>
      </c>
    </row>
    <row r="221" spans="1:17" ht="14.4" hidden="1" x14ac:dyDescent="0.3">
      <c r="A221" s="2">
        <v>59900</v>
      </c>
      <c r="B221" s="8" t="s">
        <v>20</v>
      </c>
      <c r="C221" t="s">
        <v>995</v>
      </c>
      <c r="D221"/>
      <c r="E221" s="3" t="s">
        <v>621</v>
      </c>
      <c r="F221" s="11" t="b">
        <f t="shared" si="3"/>
        <v>0</v>
      </c>
      <c r="G221" s="11" t="s">
        <v>402</v>
      </c>
      <c r="H221" s="1" t="s">
        <v>265</v>
      </c>
      <c r="J221" s="14" t="s">
        <v>624</v>
      </c>
      <c r="K221" s="2" t="s">
        <v>1261</v>
      </c>
      <c r="L221" s="2" t="s">
        <v>686</v>
      </c>
      <c r="Q221"/>
    </row>
    <row r="222" spans="1:17" ht="14.4" hidden="1" x14ac:dyDescent="0.3">
      <c r="A222" s="2">
        <v>79900</v>
      </c>
      <c r="B222" s="8" t="s">
        <v>164</v>
      </c>
      <c r="C222" t="s">
        <v>1101</v>
      </c>
      <c r="D222"/>
      <c r="E222" s="3" t="s">
        <v>621</v>
      </c>
      <c r="F222" s="11" t="b">
        <f t="shared" si="3"/>
        <v>0</v>
      </c>
      <c r="G222" s="11" t="s">
        <v>404</v>
      </c>
      <c r="H222" s="1" t="s">
        <v>265</v>
      </c>
      <c r="J222" s="14" t="s">
        <v>624</v>
      </c>
      <c r="K222" s="2" t="s">
        <v>1263</v>
      </c>
      <c r="L222" s="2" t="s">
        <v>686</v>
      </c>
      <c r="Q222"/>
    </row>
    <row r="223" spans="1:17" ht="14.4" hidden="1" x14ac:dyDescent="0.3">
      <c r="A223" s="2">
        <v>79920</v>
      </c>
      <c r="B223" s="8" t="s">
        <v>153</v>
      </c>
      <c r="C223" t="s">
        <v>1113</v>
      </c>
      <c r="D223"/>
      <c r="E223" s="3" t="s">
        <v>621</v>
      </c>
      <c r="F223" s="11" t="b">
        <f t="shared" si="3"/>
        <v>0</v>
      </c>
      <c r="G223" s="11" t="s">
        <v>404</v>
      </c>
      <c r="H223" s="1" t="s">
        <v>267</v>
      </c>
      <c r="J223" s="14" t="s">
        <v>624</v>
      </c>
      <c r="K223" s="2" t="s">
        <v>1263</v>
      </c>
      <c r="L223" s="2" t="s">
        <v>686</v>
      </c>
      <c r="Q223"/>
    </row>
    <row r="224" spans="1:17" ht="14.4" hidden="1" x14ac:dyDescent="0.3">
      <c r="A224" s="2">
        <v>79935</v>
      </c>
      <c r="B224" s="8" t="s">
        <v>157</v>
      </c>
      <c r="C224" t="s">
        <v>1120</v>
      </c>
      <c r="D224"/>
      <c r="E224" s="3" t="s">
        <v>621</v>
      </c>
      <c r="F224" s="11" t="b">
        <f t="shared" si="3"/>
        <v>0</v>
      </c>
      <c r="G224" s="11" t="s">
        <v>404</v>
      </c>
      <c r="H224" s="1" t="s">
        <v>271</v>
      </c>
      <c r="J224" s="14" t="s">
        <v>624</v>
      </c>
      <c r="K224" s="2" t="s">
        <v>1263</v>
      </c>
      <c r="L224" s="2" t="s">
        <v>686</v>
      </c>
      <c r="Q224"/>
    </row>
    <row r="225" spans="1:17" ht="14.4" hidden="1" x14ac:dyDescent="0.3">
      <c r="A225" s="2">
        <v>79955</v>
      </c>
      <c r="B225" s="8" t="s">
        <v>163</v>
      </c>
      <c r="C225" t="s">
        <v>1130</v>
      </c>
      <c r="D225"/>
      <c r="E225" s="3" t="s">
        <v>621</v>
      </c>
      <c r="F225" s="11" t="b">
        <f t="shared" si="3"/>
        <v>0</v>
      </c>
      <c r="G225" s="11" t="s">
        <v>404</v>
      </c>
      <c r="H225" s="1" t="s">
        <v>272</v>
      </c>
      <c r="J225" s="14" t="s">
        <v>624</v>
      </c>
      <c r="K225" s="2" t="s">
        <v>1263</v>
      </c>
      <c r="L225" s="2" t="s">
        <v>686</v>
      </c>
      <c r="Q225"/>
    </row>
    <row r="226" spans="1:17" ht="14.4" hidden="1" x14ac:dyDescent="0.3">
      <c r="A226" s="2">
        <v>39800</v>
      </c>
      <c r="B226" s="8" t="s">
        <v>80</v>
      </c>
      <c r="C226" t="s">
        <v>809</v>
      </c>
      <c r="D226"/>
      <c r="E226" s="3" t="s">
        <v>621</v>
      </c>
      <c r="F226" s="11" t="b">
        <f t="shared" si="3"/>
        <v>0</v>
      </c>
      <c r="G226" s="11" t="s">
        <v>399</v>
      </c>
      <c r="H226" s="1" t="s">
        <v>265</v>
      </c>
      <c r="J226" s="14" t="s">
        <v>624</v>
      </c>
      <c r="K226" s="2" t="s">
        <v>1260</v>
      </c>
      <c r="L226" s="2" t="s">
        <v>686</v>
      </c>
      <c r="Q226"/>
    </row>
    <row r="227" spans="1:17" ht="14.4" hidden="1" x14ac:dyDescent="0.3">
      <c r="A227" s="2">
        <v>79992</v>
      </c>
      <c r="B227" s="8" t="s">
        <v>172</v>
      </c>
      <c r="C227" t="s">
        <v>1149</v>
      </c>
      <c r="D227"/>
      <c r="E227" s="3" t="s">
        <v>621</v>
      </c>
      <c r="F227" s="11" t="b">
        <f t="shared" si="3"/>
        <v>0</v>
      </c>
      <c r="G227" s="11" t="s">
        <v>404</v>
      </c>
      <c r="H227" s="1" t="s">
        <v>279</v>
      </c>
      <c r="J227" s="14" t="s">
        <v>628</v>
      </c>
      <c r="K227" s="2" t="s">
        <v>1263</v>
      </c>
      <c r="L227" s="2" t="s">
        <v>686</v>
      </c>
      <c r="Q227"/>
    </row>
    <row r="228" spans="1:17" ht="14.4" hidden="1" x14ac:dyDescent="0.3">
      <c r="A228" s="2">
        <v>5005</v>
      </c>
      <c r="B228" s="8" t="s">
        <v>1166</v>
      </c>
      <c r="C228" s="2" t="s">
        <v>1218</v>
      </c>
      <c r="E228" s="3" t="s">
        <v>620</v>
      </c>
      <c r="F228" s="11" t="b">
        <f t="shared" si="3"/>
        <v>0</v>
      </c>
      <c r="G228" s="11" t="s">
        <v>119</v>
      </c>
      <c r="J228" s="14" t="s">
        <v>624</v>
      </c>
      <c r="K228" s="2" t="s">
        <v>458</v>
      </c>
      <c r="L228" s="2" t="s">
        <v>623</v>
      </c>
    </row>
    <row r="229" spans="1:17" ht="14.4" hidden="1" x14ac:dyDescent="0.3">
      <c r="A229" s="2">
        <v>56878</v>
      </c>
      <c r="B229" s="8" t="s">
        <v>1220</v>
      </c>
      <c r="C229" s="2" t="s">
        <v>1219</v>
      </c>
      <c r="E229" s="3" t="s">
        <v>620</v>
      </c>
      <c r="F229" s="11" t="b">
        <f t="shared" si="3"/>
        <v>0</v>
      </c>
      <c r="G229" s="11" t="s">
        <v>405</v>
      </c>
      <c r="J229" s="14" t="s">
        <v>624</v>
      </c>
      <c r="K229" s="2" t="s">
        <v>458</v>
      </c>
      <c r="L229" s="2" t="s">
        <v>623</v>
      </c>
    </row>
    <row r="230" spans="1:17" ht="14.4" hidden="1" x14ac:dyDescent="0.3">
      <c r="A230" s="2">
        <v>34250</v>
      </c>
      <c r="B230" s="8" t="s">
        <v>453</v>
      </c>
      <c r="C230" t="s">
        <v>728</v>
      </c>
      <c r="D230"/>
      <c r="E230" s="3" t="s">
        <v>621</v>
      </c>
      <c r="F230" s="11" t="b">
        <f t="shared" si="3"/>
        <v>0</v>
      </c>
      <c r="G230" s="11" t="s">
        <v>408</v>
      </c>
      <c r="H230" s="1" t="s">
        <v>16</v>
      </c>
      <c r="J230" s="14" t="s">
        <v>624</v>
      </c>
      <c r="K230" s="2" t="s">
        <v>1259</v>
      </c>
      <c r="L230" s="2" t="s">
        <v>686</v>
      </c>
      <c r="Q230"/>
    </row>
    <row r="231" spans="1:17" ht="14.4" hidden="1" x14ac:dyDescent="0.3">
      <c r="A231" s="2">
        <v>34255</v>
      </c>
      <c r="B231" s="8" t="s">
        <v>454</v>
      </c>
      <c r="C231" t="s">
        <v>729</v>
      </c>
      <c r="D231"/>
      <c r="E231" s="3" t="s">
        <v>621</v>
      </c>
      <c r="F231" s="11" t="b">
        <f t="shared" si="3"/>
        <v>0</v>
      </c>
      <c r="G231" s="11" t="s">
        <v>408</v>
      </c>
      <c r="H231" s="1" t="s">
        <v>16</v>
      </c>
      <c r="J231" s="14" t="s">
        <v>624</v>
      </c>
      <c r="K231" s="2" t="s">
        <v>1259</v>
      </c>
      <c r="L231" s="2" t="s">
        <v>686</v>
      </c>
      <c r="Q231"/>
    </row>
    <row r="232" spans="1:17" ht="14.4" hidden="1" x14ac:dyDescent="0.3">
      <c r="A232" s="2">
        <v>69900</v>
      </c>
      <c r="B232" s="8" t="s">
        <v>319</v>
      </c>
      <c r="C232" t="s">
        <v>1048</v>
      </c>
      <c r="D232"/>
      <c r="E232" s="3" t="s">
        <v>621</v>
      </c>
      <c r="F232" s="11" t="b">
        <f t="shared" si="3"/>
        <v>0</v>
      </c>
      <c r="G232" s="11" t="s">
        <v>403</v>
      </c>
      <c r="H232" s="1" t="s">
        <v>265</v>
      </c>
      <c r="J232" s="14" t="s">
        <v>624</v>
      </c>
      <c r="K232" s="2" t="s">
        <v>1260</v>
      </c>
      <c r="L232" s="2" t="s">
        <v>686</v>
      </c>
      <c r="Q232"/>
    </row>
    <row r="233" spans="1:17" ht="14.4" hidden="1" x14ac:dyDescent="0.3">
      <c r="A233" s="2">
        <v>39868</v>
      </c>
      <c r="B233" s="8" t="s">
        <v>55</v>
      </c>
      <c r="C233" t="s">
        <v>845</v>
      </c>
      <c r="D233"/>
      <c r="E233" s="3" t="s">
        <v>621</v>
      </c>
      <c r="F233" s="11" t="b">
        <f t="shared" si="3"/>
        <v>0</v>
      </c>
      <c r="G233" s="11" t="s">
        <v>399</v>
      </c>
      <c r="H233" s="1" t="s">
        <v>279</v>
      </c>
      <c r="J233" s="14" t="s">
        <v>628</v>
      </c>
      <c r="K233" s="2" t="s">
        <v>1260</v>
      </c>
      <c r="L233" s="2" t="s">
        <v>686</v>
      </c>
      <c r="Q233"/>
    </row>
    <row r="234" spans="1:17" ht="14.4" x14ac:dyDescent="0.3">
      <c r="A234" s="2">
        <v>56692</v>
      </c>
      <c r="B234" s="8" t="s">
        <v>511</v>
      </c>
      <c r="C234" t="s">
        <v>976</v>
      </c>
      <c r="D234"/>
      <c r="E234" s="3" t="s">
        <v>621</v>
      </c>
      <c r="F234" s="11" t="b">
        <f t="shared" si="3"/>
        <v>0</v>
      </c>
      <c r="G234" s="11" t="s">
        <v>1265</v>
      </c>
      <c r="H234" s="1" t="s">
        <v>279</v>
      </c>
      <c r="J234" s="14" t="s">
        <v>628</v>
      </c>
      <c r="K234" s="2" t="s">
        <v>1289</v>
      </c>
      <c r="L234" s="2" t="s">
        <v>686</v>
      </c>
      <c r="Q234"/>
    </row>
    <row r="235" spans="1:17" ht="14.4" hidden="1" x14ac:dyDescent="0.3">
      <c r="A235" s="2">
        <v>69992</v>
      </c>
      <c r="B235" s="8" t="s">
        <v>347</v>
      </c>
      <c r="C235" t="s">
        <v>1096</v>
      </c>
      <c r="D235"/>
      <c r="E235" s="3" t="s">
        <v>621</v>
      </c>
      <c r="F235" s="11" t="b">
        <f t="shared" si="3"/>
        <v>0</v>
      </c>
      <c r="G235" s="11" t="s">
        <v>403</v>
      </c>
      <c r="H235" s="1" t="s">
        <v>279</v>
      </c>
      <c r="J235" s="14" t="s">
        <v>628</v>
      </c>
      <c r="K235" s="2" t="s">
        <v>1260</v>
      </c>
      <c r="L235" s="2" t="s">
        <v>686</v>
      </c>
      <c r="Q235"/>
    </row>
    <row r="236" spans="1:17" ht="14.4" hidden="1" x14ac:dyDescent="0.3">
      <c r="A236" s="2">
        <v>39292</v>
      </c>
      <c r="B236" s="8" t="s">
        <v>37</v>
      </c>
      <c r="C236" t="s">
        <v>783</v>
      </c>
      <c r="D236"/>
      <c r="E236" s="3" t="s">
        <v>621</v>
      </c>
      <c r="F236" s="11" t="b">
        <f t="shared" si="3"/>
        <v>0</v>
      </c>
      <c r="G236" s="11" t="s">
        <v>398</v>
      </c>
      <c r="H236" s="1" t="s">
        <v>279</v>
      </c>
      <c r="J236" s="14" t="s">
        <v>628</v>
      </c>
      <c r="K236" s="2" t="s">
        <v>1262</v>
      </c>
      <c r="L236" s="2" t="s">
        <v>686</v>
      </c>
      <c r="Q236"/>
    </row>
    <row r="237" spans="1:17" ht="14.4" hidden="1" x14ac:dyDescent="0.3">
      <c r="A237" s="2">
        <v>5046</v>
      </c>
      <c r="B237" s="8" t="s">
        <v>1193</v>
      </c>
      <c r="C237" s="2" t="s">
        <v>1221</v>
      </c>
      <c r="E237" s="3" t="s">
        <v>620</v>
      </c>
      <c r="F237" s="11" t="b">
        <f t="shared" si="3"/>
        <v>0</v>
      </c>
      <c r="G237" s="11" t="s">
        <v>119</v>
      </c>
      <c r="J237" s="14" t="s">
        <v>628</v>
      </c>
      <c r="K237" s="2" t="s">
        <v>458</v>
      </c>
      <c r="L237" s="2" t="s">
        <v>623</v>
      </c>
    </row>
    <row r="238" spans="1:17" ht="14.4" hidden="1" x14ac:dyDescent="0.3">
      <c r="A238" s="2">
        <v>56628</v>
      </c>
      <c r="B238" s="8" t="s">
        <v>417</v>
      </c>
      <c r="C238" t="s">
        <v>940</v>
      </c>
      <c r="D238"/>
      <c r="E238" s="3" t="s">
        <v>621</v>
      </c>
      <c r="F238" s="11" t="b">
        <f t="shared" si="3"/>
        <v>0</v>
      </c>
      <c r="G238" s="11" t="s">
        <v>401</v>
      </c>
      <c r="H238" s="1" t="s">
        <v>269</v>
      </c>
      <c r="J238" s="14" t="s">
        <v>624</v>
      </c>
      <c r="K238" s="2" t="s">
        <v>1263</v>
      </c>
      <c r="L238" s="2" t="s">
        <v>686</v>
      </c>
      <c r="Q238"/>
    </row>
    <row r="239" spans="1:17" ht="14.4" x14ac:dyDescent="0.3">
      <c r="A239" s="2">
        <v>56640</v>
      </c>
      <c r="B239" s="8" t="s">
        <v>485</v>
      </c>
      <c r="C239" t="s">
        <v>943</v>
      </c>
      <c r="D239"/>
      <c r="E239" s="3" t="s">
        <v>621</v>
      </c>
      <c r="F239" s="11" t="b">
        <f t="shared" si="3"/>
        <v>0</v>
      </c>
      <c r="G239" s="11" t="s">
        <v>1265</v>
      </c>
      <c r="H239" s="1" t="s">
        <v>286</v>
      </c>
      <c r="J239" s="14" t="s">
        <v>624</v>
      </c>
      <c r="K239" s="2" t="s">
        <v>1289</v>
      </c>
      <c r="L239" s="2" t="s">
        <v>686</v>
      </c>
      <c r="Q239"/>
    </row>
    <row r="240" spans="1:17" ht="14.4" hidden="1" x14ac:dyDescent="0.3">
      <c r="A240" s="2">
        <v>59907</v>
      </c>
      <c r="B240" s="8" t="s">
        <v>19</v>
      </c>
      <c r="C240" t="s">
        <v>1002</v>
      </c>
      <c r="D240"/>
      <c r="E240" s="3" t="s">
        <v>621</v>
      </c>
      <c r="F240" s="11" t="b">
        <f t="shared" si="3"/>
        <v>0</v>
      </c>
      <c r="G240" s="11" t="s">
        <v>402</v>
      </c>
      <c r="H240" s="1" t="s">
        <v>266</v>
      </c>
      <c r="J240" s="14" t="s">
        <v>624</v>
      </c>
      <c r="K240" s="2" t="s">
        <v>1261</v>
      </c>
      <c r="L240" s="2" t="s">
        <v>686</v>
      </c>
      <c r="Q240"/>
    </row>
    <row r="241" spans="1:17" ht="14.4" hidden="1" x14ac:dyDescent="0.3">
      <c r="A241" s="2">
        <v>59957</v>
      </c>
      <c r="B241" s="8" t="s">
        <v>71</v>
      </c>
      <c r="C241" t="s">
        <v>1025</v>
      </c>
      <c r="D241"/>
      <c r="E241" s="3" t="s">
        <v>621</v>
      </c>
      <c r="F241" s="11" t="b">
        <f t="shared" si="3"/>
        <v>0</v>
      </c>
      <c r="G241" s="11" t="s">
        <v>402</v>
      </c>
      <c r="H241" s="1" t="s">
        <v>272</v>
      </c>
      <c r="J241" s="14" t="s">
        <v>624</v>
      </c>
      <c r="K241" s="2" t="s">
        <v>1261</v>
      </c>
      <c r="L241" s="2" t="s">
        <v>686</v>
      </c>
      <c r="Q241"/>
    </row>
    <row r="242" spans="1:17" ht="14.4" hidden="1" x14ac:dyDescent="0.3">
      <c r="A242" s="2">
        <v>56781</v>
      </c>
      <c r="B242" s="8" t="s">
        <v>1223</v>
      </c>
      <c r="C242" t="s">
        <v>1222</v>
      </c>
      <c r="D242"/>
      <c r="E242" s="3" t="s">
        <v>620</v>
      </c>
      <c r="F242" s="11" t="b">
        <f t="shared" si="3"/>
        <v>0</v>
      </c>
      <c r="G242" s="8"/>
      <c r="J242" s="14" t="s">
        <v>628</v>
      </c>
      <c r="K242" s="2" t="s">
        <v>1263</v>
      </c>
      <c r="L242" s="2" t="s">
        <v>686</v>
      </c>
      <c r="Q242"/>
    </row>
    <row r="243" spans="1:17" ht="14.4" hidden="1" x14ac:dyDescent="0.3">
      <c r="A243" s="2">
        <v>33574</v>
      </c>
      <c r="B243" s="8" t="s">
        <v>602</v>
      </c>
      <c r="C243" t="s">
        <v>702</v>
      </c>
      <c r="D243"/>
      <c r="E243" s="3" t="s">
        <v>621</v>
      </c>
      <c r="F243" s="11" t="b">
        <f t="shared" si="3"/>
        <v>0</v>
      </c>
      <c r="G243" s="11" t="s">
        <v>396</v>
      </c>
      <c r="H243" s="1" t="s">
        <v>14</v>
      </c>
      <c r="J243" s="14" t="s">
        <v>628</v>
      </c>
      <c r="K243" s="2" t="s">
        <v>1259</v>
      </c>
      <c r="L243" s="2" t="s">
        <v>686</v>
      </c>
      <c r="Q243"/>
    </row>
    <row r="244" spans="1:17" ht="14.4" hidden="1" x14ac:dyDescent="0.3">
      <c r="A244" s="2">
        <v>56867</v>
      </c>
      <c r="B244" s="8" t="s">
        <v>412</v>
      </c>
      <c r="C244" s="2" t="s">
        <v>985</v>
      </c>
      <c r="E244" s="3" t="s">
        <v>621</v>
      </c>
      <c r="F244" s="11" t="b">
        <f t="shared" si="3"/>
        <v>0</v>
      </c>
      <c r="G244" s="11" t="s">
        <v>405</v>
      </c>
      <c r="H244" s="1" t="s">
        <v>10</v>
      </c>
      <c r="J244" s="14" t="s">
        <v>624</v>
      </c>
      <c r="K244" s="2" t="s">
        <v>458</v>
      </c>
      <c r="L244" s="2" t="s">
        <v>623</v>
      </c>
    </row>
    <row r="245" spans="1:17" ht="14.4" hidden="1" x14ac:dyDescent="0.3">
      <c r="A245" s="2">
        <v>80323</v>
      </c>
      <c r="B245" s="8" t="s">
        <v>358</v>
      </c>
      <c r="C245" s="2" t="s">
        <v>1155</v>
      </c>
      <c r="E245" s="3" t="s">
        <v>621</v>
      </c>
      <c r="F245" s="11" t="b">
        <f t="shared" si="3"/>
        <v>0</v>
      </c>
      <c r="G245" s="11" t="s">
        <v>405</v>
      </c>
      <c r="H245" s="1" t="s">
        <v>436</v>
      </c>
      <c r="J245" s="14" t="s">
        <v>624</v>
      </c>
      <c r="K245" s="2" t="s">
        <v>1262</v>
      </c>
      <c r="L245" s="2" t="s">
        <v>623</v>
      </c>
    </row>
    <row r="246" spans="1:17" ht="14.4" hidden="1" x14ac:dyDescent="0.3">
      <c r="A246" s="2">
        <v>6218</v>
      </c>
      <c r="B246" s="8" t="s">
        <v>25</v>
      </c>
      <c r="C246" s="2" t="s">
        <v>644</v>
      </c>
      <c r="E246" s="3" t="s">
        <v>621</v>
      </c>
      <c r="F246" s="11" t="b">
        <f t="shared" si="3"/>
        <v>0</v>
      </c>
      <c r="G246" s="11" t="s">
        <v>119</v>
      </c>
      <c r="H246" s="1" t="s">
        <v>435</v>
      </c>
      <c r="J246" s="14" t="s">
        <v>624</v>
      </c>
      <c r="K246" s="2" t="s">
        <v>458</v>
      </c>
      <c r="L246" s="2" t="s">
        <v>623</v>
      </c>
    </row>
    <row r="247" spans="1:17" ht="14.4" hidden="1" x14ac:dyDescent="0.3">
      <c r="A247" s="2">
        <v>39235</v>
      </c>
      <c r="B247" s="8" t="s">
        <v>36</v>
      </c>
      <c r="C247" t="s">
        <v>754</v>
      </c>
      <c r="D247"/>
      <c r="E247" s="3" t="s">
        <v>621</v>
      </c>
      <c r="F247" s="11" t="b">
        <f t="shared" si="3"/>
        <v>0</v>
      </c>
      <c r="G247" s="11" t="s">
        <v>398</v>
      </c>
      <c r="H247" s="1" t="s">
        <v>271</v>
      </c>
      <c r="J247" s="14" t="s">
        <v>624</v>
      </c>
      <c r="K247" s="2" t="s">
        <v>1262</v>
      </c>
      <c r="L247" s="2" t="s">
        <v>686</v>
      </c>
      <c r="Q247"/>
    </row>
    <row r="248" spans="1:17" ht="14.4" hidden="1" x14ac:dyDescent="0.3">
      <c r="A248" s="2">
        <v>69920</v>
      </c>
      <c r="B248" s="8" t="s">
        <v>320</v>
      </c>
      <c r="C248" t="s">
        <v>1060</v>
      </c>
      <c r="D248"/>
      <c r="E248" s="3" t="s">
        <v>621</v>
      </c>
      <c r="F248" s="11" t="b">
        <f t="shared" si="3"/>
        <v>0</v>
      </c>
      <c r="G248" s="11" t="s">
        <v>403</v>
      </c>
      <c r="H248" s="1" t="s">
        <v>267</v>
      </c>
      <c r="J248" s="14" t="s">
        <v>624</v>
      </c>
      <c r="K248" s="2" t="s">
        <v>1260</v>
      </c>
      <c r="L248" s="2" t="s">
        <v>686</v>
      </c>
      <c r="Q248"/>
    </row>
    <row r="249" spans="1:17" ht="14.4" hidden="1" x14ac:dyDescent="0.3">
      <c r="A249" s="2">
        <v>5049</v>
      </c>
      <c r="B249" s="8" t="s">
        <v>1193</v>
      </c>
      <c r="C249" s="2" t="s">
        <v>1224</v>
      </c>
      <c r="E249" s="3" t="s">
        <v>620</v>
      </c>
      <c r="F249" s="11" t="b">
        <f t="shared" si="3"/>
        <v>0</v>
      </c>
      <c r="G249" s="11" t="s">
        <v>119</v>
      </c>
      <c r="J249" s="14" t="s">
        <v>628</v>
      </c>
      <c r="K249" s="2" t="s">
        <v>458</v>
      </c>
      <c r="L249" s="2" t="s">
        <v>623</v>
      </c>
    </row>
    <row r="250" spans="1:17" ht="14.4" hidden="1" x14ac:dyDescent="0.3">
      <c r="A250" s="2">
        <v>39243</v>
      </c>
      <c r="B250" s="8" t="s">
        <v>67</v>
      </c>
      <c r="C250" t="s">
        <v>757</v>
      </c>
      <c r="D250"/>
      <c r="E250" s="3" t="s">
        <v>621</v>
      </c>
      <c r="F250" s="11" t="b">
        <f t="shared" si="3"/>
        <v>0</v>
      </c>
      <c r="G250" s="11" t="s">
        <v>398</v>
      </c>
      <c r="H250" s="1" t="s">
        <v>274</v>
      </c>
      <c r="J250" s="14" t="s">
        <v>624</v>
      </c>
      <c r="K250" s="2" t="s">
        <v>1262</v>
      </c>
      <c r="L250" s="2" t="s">
        <v>686</v>
      </c>
      <c r="Q250"/>
    </row>
    <row r="251" spans="1:17" ht="14.4" hidden="1" x14ac:dyDescent="0.3">
      <c r="A251" s="2">
        <v>39807</v>
      </c>
      <c r="B251" s="8" t="s">
        <v>45</v>
      </c>
      <c r="C251" t="s">
        <v>816</v>
      </c>
      <c r="D251"/>
      <c r="E251" s="3" t="s">
        <v>621</v>
      </c>
      <c r="F251" s="11" t="b">
        <f t="shared" si="3"/>
        <v>0</v>
      </c>
      <c r="G251" s="11" t="s">
        <v>399</v>
      </c>
      <c r="H251" s="1" t="s">
        <v>266</v>
      </c>
      <c r="J251" s="14" t="s">
        <v>624</v>
      </c>
      <c r="K251" s="2" t="s">
        <v>1260</v>
      </c>
      <c r="L251" s="2" t="s">
        <v>686</v>
      </c>
      <c r="Q251"/>
    </row>
    <row r="252" spans="1:17" ht="14.4" hidden="1" x14ac:dyDescent="0.3">
      <c r="A252" s="2">
        <v>79923</v>
      </c>
      <c r="B252" s="8" t="s">
        <v>152</v>
      </c>
      <c r="C252" t="s">
        <v>1114</v>
      </c>
      <c r="D252"/>
      <c r="E252" s="3" t="s">
        <v>621</v>
      </c>
      <c r="F252" s="11" t="b">
        <f t="shared" si="3"/>
        <v>0</v>
      </c>
      <c r="G252" s="11" t="s">
        <v>404</v>
      </c>
      <c r="H252" s="1" t="s">
        <v>269</v>
      </c>
      <c r="J252" s="14" t="s">
        <v>624</v>
      </c>
      <c r="K252" s="2" t="s">
        <v>1263</v>
      </c>
      <c r="L252" s="2" t="s">
        <v>686</v>
      </c>
      <c r="Q252"/>
    </row>
    <row r="253" spans="1:17" ht="14.4" hidden="1" x14ac:dyDescent="0.3">
      <c r="A253" s="2">
        <v>79958</v>
      </c>
      <c r="B253" s="8" t="s">
        <v>200</v>
      </c>
      <c r="C253" t="s">
        <v>1132</v>
      </c>
      <c r="D253"/>
      <c r="E253" s="3" t="s">
        <v>621</v>
      </c>
      <c r="F253" s="11" t="b">
        <f t="shared" si="3"/>
        <v>0</v>
      </c>
      <c r="G253" s="11" t="s">
        <v>404</v>
      </c>
      <c r="H253" s="1" t="s">
        <v>269</v>
      </c>
      <c r="J253" s="14" t="s">
        <v>624</v>
      </c>
      <c r="K253" s="2" t="s">
        <v>1263</v>
      </c>
      <c r="L253" s="2" t="s">
        <v>686</v>
      </c>
      <c r="Q253"/>
    </row>
    <row r="254" spans="1:17" ht="14.4" hidden="1" x14ac:dyDescent="0.3">
      <c r="A254" s="2">
        <v>59992</v>
      </c>
      <c r="B254" s="8" t="s">
        <v>73</v>
      </c>
      <c r="C254" t="s">
        <v>1043</v>
      </c>
      <c r="D254"/>
      <c r="E254" s="3" t="s">
        <v>621</v>
      </c>
      <c r="F254" s="11" t="b">
        <f t="shared" si="3"/>
        <v>0</v>
      </c>
      <c r="G254" s="11" t="s">
        <v>402</v>
      </c>
      <c r="H254" s="1" t="s">
        <v>279</v>
      </c>
      <c r="J254" s="14" t="s">
        <v>628</v>
      </c>
      <c r="K254" s="2" t="s">
        <v>1261</v>
      </c>
      <c r="L254" s="2" t="s">
        <v>686</v>
      </c>
      <c r="Q254"/>
    </row>
    <row r="255" spans="1:17" ht="14.4" hidden="1" x14ac:dyDescent="0.3">
      <c r="A255" s="2">
        <v>79938</v>
      </c>
      <c r="B255" s="8" t="s">
        <v>158</v>
      </c>
      <c r="C255" t="s">
        <v>1121</v>
      </c>
      <c r="D255"/>
      <c r="E255" s="3" t="s">
        <v>621</v>
      </c>
      <c r="F255" s="11" t="b">
        <f t="shared" si="3"/>
        <v>0</v>
      </c>
      <c r="G255" s="11" t="s">
        <v>404</v>
      </c>
      <c r="H255" s="1" t="s">
        <v>272</v>
      </c>
      <c r="J255" s="14" t="s">
        <v>624</v>
      </c>
      <c r="K255" s="2" t="s">
        <v>1263</v>
      </c>
      <c r="L255" s="2" t="s">
        <v>686</v>
      </c>
      <c r="Q255"/>
    </row>
    <row r="256" spans="1:17" ht="14.4" hidden="1" x14ac:dyDescent="0.3">
      <c r="A256" s="2">
        <v>5055</v>
      </c>
      <c r="B256" s="8" t="s">
        <v>1226</v>
      </c>
      <c r="C256" s="2" t="s">
        <v>1225</v>
      </c>
      <c r="E256" s="3" t="s">
        <v>620</v>
      </c>
      <c r="F256" s="11" t="b">
        <f t="shared" si="3"/>
        <v>0</v>
      </c>
      <c r="G256" s="11" t="s">
        <v>119</v>
      </c>
      <c r="J256" s="14" t="s">
        <v>624</v>
      </c>
      <c r="K256" s="2" t="s">
        <v>458</v>
      </c>
      <c r="L256" s="2" t="s">
        <v>623</v>
      </c>
    </row>
    <row r="257" spans="1:17" ht="14.4" hidden="1" x14ac:dyDescent="0.3">
      <c r="A257" s="2">
        <v>82518</v>
      </c>
      <c r="B257" s="8" t="s">
        <v>367</v>
      </c>
      <c r="C257" s="2" t="s">
        <v>1164</v>
      </c>
      <c r="E257" s="3" t="s">
        <v>621</v>
      </c>
      <c r="F257" s="11" t="b">
        <f t="shared" si="3"/>
        <v>0</v>
      </c>
      <c r="G257" s="11" t="s">
        <v>405</v>
      </c>
      <c r="H257" s="1" t="s">
        <v>437</v>
      </c>
      <c r="J257" s="14" t="s">
        <v>624</v>
      </c>
      <c r="K257" s="2" t="s">
        <v>1262</v>
      </c>
      <c r="L257" s="2" t="s">
        <v>623</v>
      </c>
    </row>
    <row r="258" spans="1:17" ht="14.4" hidden="1" x14ac:dyDescent="0.3">
      <c r="A258" s="2">
        <v>5056</v>
      </c>
      <c r="B258" s="8" t="s">
        <v>1230</v>
      </c>
      <c r="C258" s="2" t="s">
        <v>1229</v>
      </c>
      <c r="E258" s="3" t="s">
        <v>620</v>
      </c>
      <c r="F258" s="11" t="b">
        <f t="shared" ref="F258:F321" si="4">ISNUMBER(SEARCH($F$1,B258))</f>
        <v>0</v>
      </c>
      <c r="G258" s="11" t="s">
        <v>119</v>
      </c>
      <c r="J258" s="14" t="s">
        <v>624</v>
      </c>
      <c r="K258" s="2" t="s">
        <v>458</v>
      </c>
      <c r="L258" s="2" t="s">
        <v>623</v>
      </c>
    </row>
    <row r="259" spans="1:17" ht="14.4" hidden="1" x14ac:dyDescent="0.3">
      <c r="A259" s="2">
        <v>5072</v>
      </c>
      <c r="B259" s="8" t="s">
        <v>227</v>
      </c>
      <c r="C259" s="2" t="s">
        <v>627</v>
      </c>
      <c r="E259" s="3" t="s">
        <v>621</v>
      </c>
      <c r="F259" s="11" t="b">
        <f t="shared" si="4"/>
        <v>0</v>
      </c>
      <c r="G259" s="11" t="s">
        <v>119</v>
      </c>
      <c r="H259" s="1" t="s">
        <v>354</v>
      </c>
      <c r="J259" s="14" t="s">
        <v>628</v>
      </c>
      <c r="K259" s="2" t="s">
        <v>458</v>
      </c>
      <c r="L259" s="2" t="s">
        <v>623</v>
      </c>
    </row>
    <row r="260" spans="1:17" ht="14.4" hidden="1" x14ac:dyDescent="0.3">
      <c r="A260" s="2">
        <v>69948</v>
      </c>
      <c r="B260" s="8" t="s">
        <v>308</v>
      </c>
      <c r="C260" t="s">
        <v>1072</v>
      </c>
      <c r="D260"/>
      <c r="E260" s="3" t="s">
        <v>621</v>
      </c>
      <c r="F260" s="11" t="b">
        <f t="shared" si="4"/>
        <v>0</v>
      </c>
      <c r="G260" s="11" t="s">
        <v>403</v>
      </c>
      <c r="H260" s="1" t="s">
        <v>275</v>
      </c>
      <c r="J260" s="14" t="s">
        <v>624</v>
      </c>
      <c r="K260" s="2" t="s">
        <v>1260</v>
      </c>
      <c r="L260" s="2" t="s">
        <v>686</v>
      </c>
      <c r="Q260"/>
    </row>
    <row r="261" spans="1:17" ht="14.4" hidden="1" x14ac:dyDescent="0.3">
      <c r="A261" s="2">
        <v>69955</v>
      </c>
      <c r="B261" s="8" t="s">
        <v>303</v>
      </c>
      <c r="C261" t="s">
        <v>1077</v>
      </c>
      <c r="D261"/>
      <c r="E261" s="3" t="s">
        <v>621</v>
      </c>
      <c r="F261" s="11" t="b">
        <f t="shared" si="4"/>
        <v>0</v>
      </c>
      <c r="G261" s="11" t="s">
        <v>403</v>
      </c>
      <c r="H261" s="1" t="s">
        <v>272</v>
      </c>
      <c r="J261" s="14" t="s">
        <v>624</v>
      </c>
      <c r="K261" s="2" t="s">
        <v>1260</v>
      </c>
      <c r="L261" s="2" t="s">
        <v>686</v>
      </c>
      <c r="Q261"/>
    </row>
    <row r="262" spans="1:17" ht="14.4" hidden="1" x14ac:dyDescent="0.3">
      <c r="A262" s="2">
        <v>5048</v>
      </c>
      <c r="B262" s="8" t="s">
        <v>1193</v>
      </c>
      <c r="C262" s="2" t="s">
        <v>1227</v>
      </c>
      <c r="E262" s="3" t="s">
        <v>620</v>
      </c>
      <c r="F262" s="11" t="b">
        <f t="shared" si="4"/>
        <v>0</v>
      </c>
      <c r="G262" s="11" t="s">
        <v>119</v>
      </c>
      <c r="J262" s="14" t="s">
        <v>628</v>
      </c>
      <c r="K262" s="2" t="s">
        <v>458</v>
      </c>
      <c r="L262" s="2" t="s">
        <v>623</v>
      </c>
    </row>
    <row r="263" spans="1:17" ht="14.4" hidden="1" x14ac:dyDescent="0.3">
      <c r="A263" s="2">
        <v>79953</v>
      </c>
      <c r="B263" s="8" t="s">
        <v>162</v>
      </c>
      <c r="C263" t="s">
        <v>1129</v>
      </c>
      <c r="D263"/>
      <c r="E263" s="3" t="s">
        <v>621</v>
      </c>
      <c r="F263" s="11" t="b">
        <f t="shared" si="4"/>
        <v>0</v>
      </c>
      <c r="G263" s="11" t="s">
        <v>404</v>
      </c>
      <c r="H263" s="1" t="s">
        <v>269</v>
      </c>
      <c r="J263" s="14" t="s">
        <v>624</v>
      </c>
      <c r="K263" s="2" t="s">
        <v>1263</v>
      </c>
      <c r="L263" s="2" t="s">
        <v>686</v>
      </c>
      <c r="Q263"/>
    </row>
    <row r="264" spans="1:17" ht="14.4" hidden="1" x14ac:dyDescent="0.3">
      <c r="A264" s="2">
        <v>6230</v>
      </c>
      <c r="B264" s="8" t="s">
        <v>26</v>
      </c>
      <c r="C264" s="2" t="s">
        <v>645</v>
      </c>
      <c r="E264" s="3" t="s">
        <v>621</v>
      </c>
      <c r="F264" s="11" t="b">
        <f t="shared" si="4"/>
        <v>0</v>
      </c>
      <c r="G264" s="11" t="s">
        <v>119</v>
      </c>
      <c r="H264" s="1" t="s">
        <v>435</v>
      </c>
      <c r="J264" s="14" t="s">
        <v>624</v>
      </c>
      <c r="K264" s="2" t="s">
        <v>458</v>
      </c>
      <c r="L264" s="2" t="s">
        <v>623</v>
      </c>
    </row>
    <row r="265" spans="1:17" ht="14.4" x14ac:dyDescent="0.3">
      <c r="A265" s="2">
        <v>56609</v>
      </c>
      <c r="B265" s="8" t="s">
        <v>474</v>
      </c>
      <c r="C265" t="s">
        <v>931</v>
      </c>
      <c r="D265"/>
      <c r="E265" s="3" t="s">
        <v>621</v>
      </c>
      <c r="F265" s="11" t="b">
        <f t="shared" si="4"/>
        <v>0</v>
      </c>
      <c r="G265" s="11" t="s">
        <v>1265</v>
      </c>
      <c r="H265" s="1" t="s">
        <v>269</v>
      </c>
      <c r="J265" s="14" t="s">
        <v>624</v>
      </c>
      <c r="K265" s="2" t="s">
        <v>1289</v>
      </c>
      <c r="L265" s="2" t="s">
        <v>686</v>
      </c>
      <c r="Q265"/>
    </row>
    <row r="266" spans="1:17" ht="14.4" hidden="1" x14ac:dyDescent="0.3">
      <c r="A266" s="2">
        <v>69935</v>
      </c>
      <c r="B266" s="8" t="s">
        <v>323</v>
      </c>
      <c r="C266" t="s">
        <v>1067</v>
      </c>
      <c r="D266"/>
      <c r="E266" s="3" t="s">
        <v>621</v>
      </c>
      <c r="F266" s="11" t="b">
        <f t="shared" si="4"/>
        <v>0</v>
      </c>
      <c r="G266" s="11" t="s">
        <v>403</v>
      </c>
      <c r="H266" s="1" t="s">
        <v>271</v>
      </c>
      <c r="J266" s="14" t="s">
        <v>624</v>
      </c>
      <c r="K266" s="2" t="s">
        <v>1260</v>
      </c>
      <c r="L266" s="2" t="s">
        <v>686</v>
      </c>
      <c r="Q266"/>
    </row>
    <row r="267" spans="1:17" ht="14.4" hidden="1" x14ac:dyDescent="0.3">
      <c r="A267" s="2">
        <v>5045</v>
      </c>
      <c r="B267" s="8" t="s">
        <v>1193</v>
      </c>
      <c r="C267" s="2" t="s">
        <v>1228</v>
      </c>
      <c r="E267" s="3" t="s">
        <v>620</v>
      </c>
      <c r="F267" s="11" t="b">
        <f t="shared" si="4"/>
        <v>0</v>
      </c>
      <c r="G267" s="11" t="s">
        <v>119</v>
      </c>
      <c r="J267" s="14" t="s">
        <v>628</v>
      </c>
      <c r="K267" s="2" t="s">
        <v>458</v>
      </c>
      <c r="L267" s="2" t="s">
        <v>623</v>
      </c>
    </row>
    <row r="268" spans="1:17" ht="14.4" hidden="1" x14ac:dyDescent="0.3">
      <c r="A268" s="2">
        <v>69949</v>
      </c>
      <c r="B268" s="8" t="s">
        <v>309</v>
      </c>
      <c r="C268" t="s">
        <v>1073</v>
      </c>
      <c r="D268"/>
      <c r="E268" s="3" t="s">
        <v>621</v>
      </c>
      <c r="F268" s="11" t="b">
        <f t="shared" si="4"/>
        <v>0</v>
      </c>
      <c r="G268" s="11" t="s">
        <v>403</v>
      </c>
      <c r="H268" s="1" t="s">
        <v>275</v>
      </c>
      <c r="J268" s="14" t="s">
        <v>624</v>
      </c>
      <c r="K268" s="2" t="s">
        <v>1260</v>
      </c>
      <c r="L268" s="2" t="s">
        <v>686</v>
      </c>
      <c r="Q268"/>
    </row>
    <row r="269" spans="1:17" ht="14.4" hidden="1" x14ac:dyDescent="0.3">
      <c r="A269" s="2">
        <v>32425</v>
      </c>
      <c r="B269" s="8" t="s">
        <v>115</v>
      </c>
      <c r="C269" t="s">
        <v>687</v>
      </c>
      <c r="D269"/>
      <c r="E269" s="3" t="s">
        <v>621</v>
      </c>
      <c r="F269" s="11" t="b">
        <f t="shared" si="4"/>
        <v>0</v>
      </c>
      <c r="G269" s="11" t="s">
        <v>408</v>
      </c>
      <c r="H269" s="1" t="s">
        <v>15</v>
      </c>
      <c r="J269" s="14" t="s">
        <v>624</v>
      </c>
      <c r="K269" s="2" t="s">
        <v>1259</v>
      </c>
      <c r="L269" s="2" t="s">
        <v>686</v>
      </c>
      <c r="Q269"/>
    </row>
    <row r="270" spans="1:17" ht="14.4" hidden="1" x14ac:dyDescent="0.3">
      <c r="A270" s="2">
        <v>34270</v>
      </c>
      <c r="B270" s="8" t="s">
        <v>455</v>
      </c>
      <c r="C270" t="s">
        <v>730</v>
      </c>
      <c r="D270"/>
      <c r="E270" s="3" t="s">
        <v>621</v>
      </c>
      <c r="F270" s="11" t="b">
        <f t="shared" si="4"/>
        <v>0</v>
      </c>
      <c r="G270" s="11" t="s">
        <v>408</v>
      </c>
      <c r="H270" s="1" t="s">
        <v>290</v>
      </c>
      <c r="J270" s="14" t="s">
        <v>624</v>
      </c>
      <c r="K270" s="2" t="s">
        <v>1259</v>
      </c>
      <c r="L270" s="2" t="s">
        <v>686</v>
      </c>
      <c r="Q270"/>
    </row>
    <row r="271" spans="1:17" ht="14.4" hidden="1" x14ac:dyDescent="0.3">
      <c r="A271" s="2">
        <v>39860</v>
      </c>
      <c r="B271" s="8" t="s">
        <v>262</v>
      </c>
      <c r="C271" t="s">
        <v>842</v>
      </c>
      <c r="D271"/>
      <c r="E271" s="3" t="s">
        <v>621</v>
      </c>
      <c r="F271" s="11" t="b">
        <f t="shared" si="4"/>
        <v>0</v>
      </c>
      <c r="G271" s="11" t="s">
        <v>399</v>
      </c>
      <c r="H271" s="1" t="s">
        <v>276</v>
      </c>
      <c r="J271" s="14" t="s">
        <v>624</v>
      </c>
      <c r="K271" s="2" t="s">
        <v>1260</v>
      </c>
      <c r="L271" s="2" t="s">
        <v>686</v>
      </c>
      <c r="Q271"/>
    </row>
    <row r="272" spans="1:17" ht="14.4" hidden="1" x14ac:dyDescent="0.3">
      <c r="A272" s="2">
        <v>59955</v>
      </c>
      <c r="B272" s="8" t="s">
        <v>69</v>
      </c>
      <c r="C272" t="s">
        <v>1024</v>
      </c>
      <c r="D272"/>
      <c r="E272" s="3" t="s">
        <v>621</v>
      </c>
      <c r="F272" s="11" t="b">
        <f t="shared" si="4"/>
        <v>0</v>
      </c>
      <c r="G272" s="11" t="s">
        <v>402</v>
      </c>
      <c r="H272" s="1" t="s">
        <v>272</v>
      </c>
      <c r="J272" s="14" t="s">
        <v>624</v>
      </c>
      <c r="K272" s="2" t="s">
        <v>1261</v>
      </c>
      <c r="L272" s="2" t="s">
        <v>686</v>
      </c>
      <c r="Q272"/>
    </row>
    <row r="273" spans="1:17" ht="14.4" hidden="1" x14ac:dyDescent="0.3">
      <c r="A273" s="2">
        <v>33674</v>
      </c>
      <c r="B273" s="8" t="s">
        <v>240</v>
      </c>
      <c r="C273" t="s">
        <v>710</v>
      </c>
      <c r="D273"/>
      <c r="E273" s="3" t="s">
        <v>621</v>
      </c>
      <c r="F273" s="11" t="b">
        <f t="shared" si="4"/>
        <v>0</v>
      </c>
      <c r="G273" s="11" t="s">
        <v>397</v>
      </c>
      <c r="H273" s="1" t="s">
        <v>14</v>
      </c>
      <c r="J273" s="14" t="s">
        <v>628</v>
      </c>
      <c r="K273" s="2" t="s">
        <v>1259</v>
      </c>
      <c r="L273" s="2" t="s">
        <v>686</v>
      </c>
      <c r="Q273"/>
    </row>
    <row r="274" spans="1:17" ht="14.4" hidden="1" x14ac:dyDescent="0.3">
      <c r="A274" s="2">
        <v>5097</v>
      </c>
      <c r="B274" s="8" t="s">
        <v>121</v>
      </c>
      <c r="C274" s="2" t="s">
        <v>629</v>
      </c>
      <c r="E274" s="3" t="s">
        <v>621</v>
      </c>
      <c r="F274" s="11" t="b">
        <f t="shared" si="4"/>
        <v>0</v>
      </c>
      <c r="G274" s="11" t="s">
        <v>119</v>
      </c>
      <c r="H274" s="1" t="s">
        <v>354</v>
      </c>
      <c r="J274" s="14" t="s">
        <v>624</v>
      </c>
      <c r="K274" s="2" t="s">
        <v>458</v>
      </c>
      <c r="L274" s="2" t="s">
        <v>623</v>
      </c>
    </row>
    <row r="275" spans="1:17" ht="14.4" hidden="1" x14ac:dyDescent="0.3">
      <c r="A275" s="2">
        <v>33600</v>
      </c>
      <c r="B275" s="8" t="s">
        <v>600</v>
      </c>
      <c r="C275" t="s">
        <v>704</v>
      </c>
      <c r="D275"/>
      <c r="E275" s="3" t="s">
        <v>621</v>
      </c>
      <c r="F275" s="11" t="b">
        <f t="shared" si="4"/>
        <v>0</v>
      </c>
      <c r="G275" s="11" t="s">
        <v>408</v>
      </c>
      <c r="H275" s="1" t="s">
        <v>291</v>
      </c>
      <c r="J275" s="14" t="s">
        <v>628</v>
      </c>
      <c r="K275" s="2" t="s">
        <v>1259</v>
      </c>
      <c r="L275" s="2" t="s">
        <v>686</v>
      </c>
      <c r="Q275"/>
    </row>
    <row r="276" spans="1:17" ht="14.4" hidden="1" x14ac:dyDescent="0.3">
      <c r="A276" s="2">
        <v>39252</v>
      </c>
      <c r="B276" s="8" t="s">
        <v>96</v>
      </c>
      <c r="C276" t="s">
        <v>762</v>
      </c>
      <c r="D276"/>
      <c r="E276" s="3" t="s">
        <v>621</v>
      </c>
      <c r="F276" s="11" t="b">
        <f t="shared" si="4"/>
        <v>0</v>
      </c>
      <c r="G276" s="11" t="s">
        <v>398</v>
      </c>
      <c r="H276" s="1" t="s">
        <v>275</v>
      </c>
      <c r="J276" s="14" t="s">
        <v>624</v>
      </c>
      <c r="K276" s="2" t="s">
        <v>1262</v>
      </c>
      <c r="L276" s="2" t="s">
        <v>686</v>
      </c>
      <c r="Q276"/>
    </row>
    <row r="277" spans="1:17" ht="14.4" hidden="1" x14ac:dyDescent="0.3">
      <c r="A277" s="2">
        <v>39468</v>
      </c>
      <c r="B277" s="8" t="s">
        <v>599</v>
      </c>
      <c r="C277" t="s">
        <v>789</v>
      </c>
      <c r="D277"/>
      <c r="E277" s="3" t="s">
        <v>621</v>
      </c>
      <c r="F277" s="11" t="b">
        <f t="shared" si="4"/>
        <v>0</v>
      </c>
      <c r="G277" s="11" t="s">
        <v>408</v>
      </c>
      <c r="H277" s="1" t="s">
        <v>15</v>
      </c>
      <c r="J277" s="14" t="s">
        <v>624</v>
      </c>
      <c r="K277" s="2" t="s">
        <v>1259</v>
      </c>
      <c r="L277" s="2" t="s">
        <v>686</v>
      </c>
      <c r="Q277"/>
    </row>
    <row r="278" spans="1:17" ht="14.4" hidden="1" x14ac:dyDescent="0.3">
      <c r="A278" s="2">
        <v>56533</v>
      </c>
      <c r="B278" s="8" t="s">
        <v>414</v>
      </c>
      <c r="C278" t="s">
        <v>888</v>
      </c>
      <c r="D278"/>
      <c r="E278" s="3" t="s">
        <v>621</v>
      </c>
      <c r="F278" s="11" t="b">
        <f t="shared" si="4"/>
        <v>0</v>
      </c>
      <c r="G278" s="11" t="s">
        <v>401</v>
      </c>
      <c r="H278" s="1" t="s">
        <v>287</v>
      </c>
      <c r="J278" s="14" t="s">
        <v>624</v>
      </c>
      <c r="K278" s="2" t="s">
        <v>1263</v>
      </c>
      <c r="L278" s="2" t="s">
        <v>686</v>
      </c>
      <c r="Q278"/>
    </row>
    <row r="279" spans="1:17" ht="14.4" hidden="1" x14ac:dyDescent="0.3">
      <c r="A279" s="2">
        <v>39658</v>
      </c>
      <c r="B279" s="8" t="s">
        <v>1234</v>
      </c>
      <c r="C279" t="s">
        <v>1233</v>
      </c>
      <c r="D279"/>
      <c r="E279" s="3" t="s">
        <v>620</v>
      </c>
      <c r="F279" s="11" t="b">
        <f t="shared" si="4"/>
        <v>0</v>
      </c>
      <c r="G279" s="8"/>
      <c r="J279" s="14" t="s">
        <v>624</v>
      </c>
      <c r="K279" s="2" t="s">
        <v>1263</v>
      </c>
      <c r="L279" s="2" t="s">
        <v>686</v>
      </c>
      <c r="Q279"/>
    </row>
    <row r="280" spans="1:17" ht="14.4" hidden="1" x14ac:dyDescent="0.3">
      <c r="A280" s="2">
        <v>59960</v>
      </c>
      <c r="B280" s="8" t="s">
        <v>260</v>
      </c>
      <c r="C280" t="s">
        <v>1028</v>
      </c>
      <c r="D280"/>
      <c r="E280" s="3" t="s">
        <v>621</v>
      </c>
      <c r="F280" s="11" t="b">
        <f t="shared" si="4"/>
        <v>0</v>
      </c>
      <c r="G280" s="11" t="s">
        <v>402</v>
      </c>
      <c r="H280" s="1" t="s">
        <v>276</v>
      </c>
      <c r="J280" s="14" t="s">
        <v>624</v>
      </c>
      <c r="K280" s="2" t="s">
        <v>1261</v>
      </c>
      <c r="L280" s="2" t="s">
        <v>686</v>
      </c>
      <c r="Q280"/>
    </row>
    <row r="281" spans="1:17" ht="14.4" hidden="1" x14ac:dyDescent="0.3">
      <c r="A281" s="2">
        <v>56540</v>
      </c>
      <c r="B281" s="8" t="s">
        <v>111</v>
      </c>
      <c r="C281" t="s">
        <v>892</v>
      </c>
      <c r="D281"/>
      <c r="E281" s="3" t="s">
        <v>621</v>
      </c>
      <c r="F281" s="11" t="b">
        <f t="shared" si="4"/>
        <v>0</v>
      </c>
      <c r="G281" s="11" t="s">
        <v>400</v>
      </c>
      <c r="H281" s="1" t="s">
        <v>286</v>
      </c>
      <c r="J281" s="14" t="s">
        <v>624</v>
      </c>
      <c r="K281" s="2" t="s">
        <v>1263</v>
      </c>
      <c r="L281" s="2" t="s">
        <v>686</v>
      </c>
      <c r="Q281"/>
    </row>
    <row r="282" spans="1:17" ht="14.4" hidden="1" x14ac:dyDescent="0.3">
      <c r="A282" s="2">
        <v>56569</v>
      </c>
      <c r="B282" s="8" t="s">
        <v>138</v>
      </c>
      <c r="C282" t="s">
        <v>913</v>
      </c>
      <c r="D282"/>
      <c r="E282" s="3" t="s">
        <v>621</v>
      </c>
      <c r="F282" s="11" t="b">
        <f t="shared" si="4"/>
        <v>0</v>
      </c>
      <c r="G282" s="11" t="s">
        <v>400</v>
      </c>
      <c r="H282" s="1" t="s">
        <v>277</v>
      </c>
      <c r="J282" s="14" t="s">
        <v>628</v>
      </c>
      <c r="K282" s="2" t="s">
        <v>1263</v>
      </c>
      <c r="L282" s="2" t="s">
        <v>686</v>
      </c>
      <c r="Q282"/>
    </row>
    <row r="283" spans="1:17" ht="14.4" hidden="1" x14ac:dyDescent="0.3">
      <c r="A283" s="2">
        <v>6226</v>
      </c>
      <c r="B283" s="8" t="s">
        <v>1232</v>
      </c>
      <c r="C283" s="2" t="s">
        <v>1231</v>
      </c>
      <c r="E283" s="3" t="s">
        <v>620</v>
      </c>
      <c r="F283" s="11" t="b">
        <f t="shared" si="4"/>
        <v>0</v>
      </c>
      <c r="G283" s="11" t="s">
        <v>119</v>
      </c>
      <c r="J283" s="14" t="s">
        <v>624</v>
      </c>
      <c r="K283" s="2" t="s">
        <v>458</v>
      </c>
      <c r="L283" s="2" t="s">
        <v>623</v>
      </c>
    </row>
    <row r="284" spans="1:17" ht="14.4" hidden="1" x14ac:dyDescent="0.3">
      <c r="A284" s="2">
        <v>69953</v>
      </c>
      <c r="B284" s="8" t="s">
        <v>317</v>
      </c>
      <c r="C284" t="s">
        <v>1076</v>
      </c>
      <c r="D284"/>
      <c r="E284" s="3" t="s">
        <v>621</v>
      </c>
      <c r="F284" s="11" t="b">
        <f t="shared" si="4"/>
        <v>0</v>
      </c>
      <c r="G284" s="11" t="s">
        <v>403</v>
      </c>
      <c r="H284" s="1" t="s">
        <v>269</v>
      </c>
      <c r="J284" s="14" t="s">
        <v>624</v>
      </c>
      <c r="K284" s="2" t="s">
        <v>1260</v>
      </c>
      <c r="L284" s="2" t="s">
        <v>686</v>
      </c>
      <c r="Q284"/>
    </row>
    <row r="285" spans="1:17" ht="14.4" hidden="1" x14ac:dyDescent="0.3">
      <c r="A285" s="2">
        <v>79950</v>
      </c>
      <c r="B285" s="8" t="s">
        <v>161</v>
      </c>
      <c r="C285" t="s">
        <v>1127</v>
      </c>
      <c r="D285"/>
      <c r="E285" s="3" t="s">
        <v>621</v>
      </c>
      <c r="F285" s="11" t="b">
        <f t="shared" si="4"/>
        <v>0</v>
      </c>
      <c r="G285" s="11" t="s">
        <v>404</v>
      </c>
      <c r="H285" s="1" t="s">
        <v>275</v>
      </c>
      <c r="J285" s="14" t="s">
        <v>624</v>
      </c>
      <c r="K285" s="2" t="s">
        <v>1263</v>
      </c>
      <c r="L285" s="2" t="s">
        <v>686</v>
      </c>
      <c r="Q285"/>
    </row>
    <row r="286" spans="1:17" ht="14.4" hidden="1" x14ac:dyDescent="0.3">
      <c r="A286" s="2">
        <v>52865</v>
      </c>
      <c r="B286" s="8" t="s">
        <v>238</v>
      </c>
      <c r="C286" t="s">
        <v>872</v>
      </c>
      <c r="D286"/>
      <c r="E286" s="3" t="s">
        <v>621</v>
      </c>
      <c r="F286" s="11" t="b">
        <f t="shared" si="4"/>
        <v>0</v>
      </c>
      <c r="G286" s="11" t="s">
        <v>409</v>
      </c>
      <c r="H286" s="1" t="s">
        <v>287</v>
      </c>
      <c r="J286" s="14" t="s">
        <v>624</v>
      </c>
      <c r="K286" s="2" t="s">
        <v>1259</v>
      </c>
      <c r="L286" s="2" t="s">
        <v>686</v>
      </c>
      <c r="Q286"/>
    </row>
    <row r="287" spans="1:17" ht="14.4" hidden="1" x14ac:dyDescent="0.3">
      <c r="A287" s="2">
        <v>69945</v>
      </c>
      <c r="B287" s="8" t="s">
        <v>305</v>
      </c>
      <c r="C287" t="s">
        <v>1071</v>
      </c>
      <c r="D287"/>
      <c r="E287" s="3" t="s">
        <v>621</v>
      </c>
      <c r="F287" s="11" t="b">
        <f t="shared" si="4"/>
        <v>0</v>
      </c>
      <c r="G287" s="11" t="s">
        <v>403</v>
      </c>
      <c r="H287" s="1" t="s">
        <v>273</v>
      </c>
      <c r="J287" s="14" t="s">
        <v>624</v>
      </c>
      <c r="K287" s="2" t="s">
        <v>1260</v>
      </c>
      <c r="L287" s="2" t="s">
        <v>686</v>
      </c>
      <c r="Q287"/>
    </row>
    <row r="288" spans="1:17" ht="14.4" hidden="1" x14ac:dyDescent="0.3">
      <c r="A288" s="2">
        <v>79907</v>
      </c>
      <c r="B288" s="8" t="s">
        <v>148</v>
      </c>
      <c r="C288" t="s">
        <v>1108</v>
      </c>
      <c r="D288"/>
      <c r="E288" s="3" t="s">
        <v>621</v>
      </c>
      <c r="F288" s="11" t="b">
        <f t="shared" si="4"/>
        <v>0</v>
      </c>
      <c r="G288" s="11" t="s">
        <v>404</v>
      </c>
      <c r="H288" s="1" t="s">
        <v>266</v>
      </c>
      <c r="J288" s="14" t="s">
        <v>624</v>
      </c>
      <c r="K288" s="2" t="s">
        <v>1263</v>
      </c>
      <c r="L288" s="2" t="s">
        <v>686</v>
      </c>
      <c r="Q288"/>
    </row>
    <row r="289" spans="1:17" ht="14.4" hidden="1" x14ac:dyDescent="0.3">
      <c r="A289" s="2">
        <v>79952</v>
      </c>
      <c r="B289" s="8" t="s">
        <v>165</v>
      </c>
      <c r="C289" t="s">
        <v>1128</v>
      </c>
      <c r="D289"/>
      <c r="E289" s="3" t="s">
        <v>621</v>
      </c>
      <c r="F289" s="11" t="b">
        <f t="shared" si="4"/>
        <v>0</v>
      </c>
      <c r="G289" s="11" t="s">
        <v>404</v>
      </c>
      <c r="H289" s="1" t="s">
        <v>275</v>
      </c>
      <c r="J289" s="14" t="s">
        <v>624</v>
      </c>
      <c r="K289" s="2" t="s">
        <v>1263</v>
      </c>
      <c r="L289" s="2" t="s">
        <v>686</v>
      </c>
      <c r="Q289"/>
    </row>
    <row r="290" spans="1:17" ht="14.4" hidden="1" x14ac:dyDescent="0.3">
      <c r="A290" s="2">
        <v>69938</v>
      </c>
      <c r="B290" s="8" t="s">
        <v>302</v>
      </c>
      <c r="C290" t="s">
        <v>1068</v>
      </c>
      <c r="D290"/>
      <c r="E290" s="3" t="s">
        <v>621</v>
      </c>
      <c r="F290" s="11" t="b">
        <f t="shared" si="4"/>
        <v>0</v>
      </c>
      <c r="G290" s="11" t="s">
        <v>403</v>
      </c>
      <c r="H290" s="1" t="s">
        <v>272</v>
      </c>
      <c r="J290" s="14" t="s">
        <v>624</v>
      </c>
      <c r="K290" s="2" t="s">
        <v>1260</v>
      </c>
      <c r="L290" s="2" t="s">
        <v>686</v>
      </c>
      <c r="Q290"/>
    </row>
    <row r="291" spans="1:17" ht="14.4" x14ac:dyDescent="0.3">
      <c r="A291" s="2">
        <v>56674</v>
      </c>
      <c r="B291" s="8" t="s">
        <v>504</v>
      </c>
      <c r="C291" t="s">
        <v>969</v>
      </c>
      <c r="D291"/>
      <c r="E291" s="3" t="s">
        <v>621</v>
      </c>
      <c r="F291" s="11" t="b">
        <f t="shared" si="4"/>
        <v>0</v>
      </c>
      <c r="G291" s="11" t="s">
        <v>1265</v>
      </c>
      <c r="H291" s="1" t="s">
        <v>287</v>
      </c>
      <c r="J291" s="14" t="s">
        <v>624</v>
      </c>
      <c r="K291" s="2" t="s">
        <v>1289</v>
      </c>
      <c r="L291" s="2" t="s">
        <v>686</v>
      </c>
      <c r="Q291"/>
    </row>
    <row r="292" spans="1:17" ht="14.4" hidden="1" x14ac:dyDescent="0.3">
      <c r="A292" s="2">
        <v>39547</v>
      </c>
      <c r="B292" s="8" t="s">
        <v>441</v>
      </c>
      <c r="C292" t="s">
        <v>791</v>
      </c>
      <c r="D292"/>
      <c r="E292" s="3" t="s">
        <v>621</v>
      </c>
      <c r="F292" s="11" t="b">
        <f t="shared" si="4"/>
        <v>0</v>
      </c>
      <c r="G292" s="11" t="s">
        <v>409</v>
      </c>
      <c r="H292" s="1" t="s">
        <v>287</v>
      </c>
      <c r="J292" s="14" t="s">
        <v>624</v>
      </c>
      <c r="K292" s="2" t="s">
        <v>1259</v>
      </c>
      <c r="L292" s="2" t="s">
        <v>686</v>
      </c>
      <c r="Q292"/>
    </row>
    <row r="293" spans="1:17" ht="14.4" hidden="1" x14ac:dyDescent="0.3">
      <c r="A293" s="2">
        <v>33777</v>
      </c>
      <c r="B293" s="8" t="s">
        <v>235</v>
      </c>
      <c r="C293" t="s">
        <v>714</v>
      </c>
      <c r="D293"/>
      <c r="E293" s="3" t="s">
        <v>621</v>
      </c>
      <c r="F293" s="11" t="b">
        <f t="shared" si="4"/>
        <v>0</v>
      </c>
      <c r="G293" s="11" t="s">
        <v>408</v>
      </c>
      <c r="H293" s="1" t="s">
        <v>287</v>
      </c>
      <c r="J293" s="14" t="s">
        <v>624</v>
      </c>
      <c r="K293" s="2" t="s">
        <v>1259</v>
      </c>
      <c r="L293" s="2" t="s">
        <v>686</v>
      </c>
      <c r="Q293"/>
    </row>
    <row r="294" spans="1:17" ht="14.4" hidden="1" x14ac:dyDescent="0.3">
      <c r="A294" s="2">
        <v>33572</v>
      </c>
      <c r="B294" s="8" t="s">
        <v>5</v>
      </c>
      <c r="C294" t="s">
        <v>700</v>
      </c>
      <c r="D294"/>
      <c r="E294" s="3" t="s">
        <v>621</v>
      </c>
      <c r="F294" s="11" t="b">
        <f t="shared" si="4"/>
        <v>0</v>
      </c>
      <c r="G294" s="11" t="s">
        <v>396</v>
      </c>
      <c r="H294" s="1" t="s">
        <v>3</v>
      </c>
      <c r="J294" s="14" t="s">
        <v>624</v>
      </c>
      <c r="K294" s="2" t="s">
        <v>1259</v>
      </c>
      <c r="L294" s="2" t="s">
        <v>686</v>
      </c>
      <c r="Q294"/>
    </row>
    <row r="295" spans="1:17" ht="14.4" hidden="1" x14ac:dyDescent="0.3">
      <c r="A295" s="2">
        <v>69959</v>
      </c>
      <c r="B295" s="8" t="s">
        <v>304</v>
      </c>
      <c r="C295" t="s">
        <v>1080</v>
      </c>
      <c r="D295"/>
      <c r="E295" s="3" t="s">
        <v>621</v>
      </c>
      <c r="F295" s="11" t="b">
        <f t="shared" si="4"/>
        <v>0</v>
      </c>
      <c r="G295" s="11" t="s">
        <v>403</v>
      </c>
      <c r="H295" s="1" t="s">
        <v>273</v>
      </c>
      <c r="J295" s="14" t="s">
        <v>624</v>
      </c>
      <c r="K295" s="2" t="s">
        <v>1260</v>
      </c>
      <c r="L295" s="2" t="s">
        <v>686</v>
      </c>
      <c r="Q295"/>
    </row>
    <row r="296" spans="1:17" ht="14.4" hidden="1" x14ac:dyDescent="0.3">
      <c r="A296" s="2">
        <v>69960</v>
      </c>
      <c r="B296" s="8" t="s">
        <v>311</v>
      </c>
      <c r="C296" t="s">
        <v>1081</v>
      </c>
      <c r="D296"/>
      <c r="E296" s="3" t="s">
        <v>621</v>
      </c>
      <c r="F296" s="11" t="b">
        <f t="shared" si="4"/>
        <v>0</v>
      </c>
      <c r="G296" s="11" t="s">
        <v>403</v>
      </c>
      <c r="H296" s="1" t="s">
        <v>276</v>
      </c>
      <c r="J296" s="14" t="s">
        <v>624</v>
      </c>
      <c r="K296" s="2" t="s">
        <v>1260</v>
      </c>
      <c r="L296" s="2" t="s">
        <v>686</v>
      </c>
      <c r="Q296"/>
    </row>
    <row r="297" spans="1:17" ht="14.4" hidden="1" x14ac:dyDescent="0.3">
      <c r="A297" s="2">
        <v>33778</v>
      </c>
      <c r="B297" s="8" t="s">
        <v>236</v>
      </c>
      <c r="C297" t="s">
        <v>715</v>
      </c>
      <c r="D297"/>
      <c r="E297" s="3" t="s">
        <v>621</v>
      </c>
      <c r="F297" s="11" t="b">
        <f t="shared" si="4"/>
        <v>0</v>
      </c>
      <c r="G297" s="11" t="s">
        <v>408</v>
      </c>
      <c r="H297" s="1" t="s">
        <v>287</v>
      </c>
      <c r="J297" s="14" t="s">
        <v>624</v>
      </c>
      <c r="K297" s="2" t="s">
        <v>1259</v>
      </c>
      <c r="L297" s="2" t="s">
        <v>686</v>
      </c>
      <c r="Q297"/>
    </row>
    <row r="298" spans="1:17" ht="14.4" hidden="1" x14ac:dyDescent="0.3">
      <c r="A298" s="2">
        <v>33980</v>
      </c>
      <c r="B298" s="8" t="s">
        <v>11</v>
      </c>
      <c r="C298" t="s">
        <v>721</v>
      </c>
      <c r="D298"/>
      <c r="E298" s="3" t="s">
        <v>621</v>
      </c>
      <c r="F298" s="11" t="b">
        <f t="shared" si="4"/>
        <v>0</v>
      </c>
      <c r="G298" s="11" t="s">
        <v>408</v>
      </c>
      <c r="H298" s="1" t="s">
        <v>287</v>
      </c>
      <c r="J298" s="14" t="s">
        <v>624</v>
      </c>
      <c r="K298" s="2" t="s">
        <v>1259</v>
      </c>
      <c r="L298" s="2" t="s">
        <v>686</v>
      </c>
      <c r="Q298"/>
    </row>
    <row r="299" spans="1:17" ht="14.4" hidden="1" x14ac:dyDescent="0.3">
      <c r="A299" s="2">
        <v>56568</v>
      </c>
      <c r="B299" s="8" t="s">
        <v>44</v>
      </c>
      <c r="C299" t="s">
        <v>912</v>
      </c>
      <c r="D299"/>
      <c r="E299" s="3" t="s">
        <v>621</v>
      </c>
      <c r="F299" s="11" t="b">
        <f t="shared" si="4"/>
        <v>0</v>
      </c>
      <c r="G299" s="11" t="s">
        <v>400</v>
      </c>
      <c r="H299" s="1" t="s">
        <v>279</v>
      </c>
      <c r="J299" s="14" t="s">
        <v>628</v>
      </c>
      <c r="K299" s="2" t="s">
        <v>1263</v>
      </c>
      <c r="L299" s="2" t="s">
        <v>686</v>
      </c>
      <c r="Q299"/>
    </row>
    <row r="300" spans="1:17" ht="14.4" hidden="1" x14ac:dyDescent="0.3">
      <c r="A300" s="2">
        <v>69907</v>
      </c>
      <c r="B300" s="8" t="s">
        <v>313</v>
      </c>
      <c r="C300" t="s">
        <v>1055</v>
      </c>
      <c r="D300"/>
      <c r="E300" s="3" t="s">
        <v>621</v>
      </c>
      <c r="F300" s="11" t="b">
        <f t="shared" si="4"/>
        <v>0</v>
      </c>
      <c r="G300" s="11" t="s">
        <v>403</v>
      </c>
      <c r="H300" s="1" t="s">
        <v>266</v>
      </c>
      <c r="J300" s="14" t="s">
        <v>624</v>
      </c>
      <c r="K300" s="2" t="s">
        <v>1260</v>
      </c>
      <c r="L300" s="2" t="s">
        <v>686</v>
      </c>
      <c r="Q300"/>
    </row>
    <row r="301" spans="1:17" ht="14.4" hidden="1" x14ac:dyDescent="0.3">
      <c r="A301" s="2">
        <v>79960</v>
      </c>
      <c r="B301" s="8" t="s">
        <v>263</v>
      </c>
      <c r="C301" t="s">
        <v>1134</v>
      </c>
      <c r="D301"/>
      <c r="E301" s="3" t="s">
        <v>621</v>
      </c>
      <c r="F301" s="11" t="b">
        <f t="shared" si="4"/>
        <v>0</v>
      </c>
      <c r="G301" s="11" t="s">
        <v>404</v>
      </c>
      <c r="H301" s="1" t="s">
        <v>276</v>
      </c>
      <c r="J301" s="14" t="s">
        <v>624</v>
      </c>
      <c r="K301" s="2" t="s">
        <v>1263</v>
      </c>
      <c r="L301" s="2" t="s">
        <v>686</v>
      </c>
      <c r="Q301"/>
    </row>
    <row r="302" spans="1:17" ht="14.4" hidden="1" x14ac:dyDescent="0.3">
      <c r="A302" s="2">
        <v>69910</v>
      </c>
      <c r="B302" s="8" t="s">
        <v>315</v>
      </c>
      <c r="C302" t="s">
        <v>1056</v>
      </c>
      <c r="D302"/>
      <c r="E302" s="3" t="s">
        <v>621</v>
      </c>
      <c r="F302" s="11" t="b">
        <f t="shared" si="4"/>
        <v>0</v>
      </c>
      <c r="G302" s="11" t="s">
        <v>403</v>
      </c>
      <c r="H302" s="1" t="s">
        <v>266</v>
      </c>
      <c r="J302" s="14" t="s">
        <v>624</v>
      </c>
      <c r="K302" s="2" t="s">
        <v>1260</v>
      </c>
      <c r="L302" s="2" t="s">
        <v>686</v>
      </c>
      <c r="Q302"/>
    </row>
    <row r="303" spans="1:17" ht="14.4" hidden="1" x14ac:dyDescent="0.3">
      <c r="A303" s="2">
        <v>39838</v>
      </c>
      <c r="B303" s="8" t="s">
        <v>51</v>
      </c>
      <c r="C303" t="s">
        <v>829</v>
      </c>
      <c r="D303"/>
      <c r="E303" s="3" t="s">
        <v>621</v>
      </c>
      <c r="F303" s="11" t="b">
        <f t="shared" si="4"/>
        <v>0</v>
      </c>
      <c r="G303" s="11" t="s">
        <v>399</v>
      </c>
      <c r="H303" s="1" t="s">
        <v>272</v>
      </c>
      <c r="J303" s="14" t="s">
        <v>624</v>
      </c>
      <c r="K303" s="2" t="s">
        <v>1260</v>
      </c>
      <c r="L303" s="2" t="s">
        <v>686</v>
      </c>
      <c r="Q303"/>
    </row>
    <row r="304" spans="1:17" ht="14.4" hidden="1" x14ac:dyDescent="0.3">
      <c r="A304" s="2">
        <v>56868</v>
      </c>
      <c r="B304" s="8" t="s">
        <v>410</v>
      </c>
      <c r="C304" s="2" t="s">
        <v>986</v>
      </c>
      <c r="E304" s="3" t="s">
        <v>621</v>
      </c>
      <c r="F304" s="11" t="b">
        <f t="shared" si="4"/>
        <v>0</v>
      </c>
      <c r="G304" s="11" t="s">
        <v>405</v>
      </c>
      <c r="H304" s="1" t="s">
        <v>10</v>
      </c>
      <c r="J304" s="14" t="s">
        <v>624</v>
      </c>
      <c r="K304" s="2" t="s">
        <v>458</v>
      </c>
      <c r="L304" s="2" t="s">
        <v>623</v>
      </c>
    </row>
    <row r="305" spans="1:17" ht="14.4" hidden="1" x14ac:dyDescent="0.3">
      <c r="A305" s="2">
        <v>39200</v>
      </c>
      <c r="B305" s="8" t="s">
        <v>81</v>
      </c>
      <c r="C305" t="s">
        <v>735</v>
      </c>
      <c r="D305"/>
      <c r="E305" s="3" t="s">
        <v>621</v>
      </c>
      <c r="F305" s="11" t="b">
        <f t="shared" si="4"/>
        <v>0</v>
      </c>
      <c r="G305" s="11" t="s">
        <v>398</v>
      </c>
      <c r="H305" s="1" t="s">
        <v>265</v>
      </c>
      <c r="J305" s="14" t="s">
        <v>624</v>
      </c>
      <c r="K305" s="2" t="s">
        <v>1262</v>
      </c>
      <c r="L305" s="2" t="s">
        <v>686</v>
      </c>
      <c r="Q305"/>
    </row>
    <row r="306" spans="1:17" ht="14.4" hidden="1" x14ac:dyDescent="0.3">
      <c r="A306" s="2">
        <v>56528</v>
      </c>
      <c r="B306" s="8" t="s">
        <v>330</v>
      </c>
      <c r="C306" t="s">
        <v>887</v>
      </c>
      <c r="D306"/>
      <c r="E306" s="3" t="s">
        <v>621</v>
      </c>
      <c r="F306" s="11" t="b">
        <f t="shared" si="4"/>
        <v>0</v>
      </c>
      <c r="G306" s="11" t="s">
        <v>401</v>
      </c>
      <c r="H306" s="1" t="s">
        <v>269</v>
      </c>
      <c r="J306" s="14" t="s">
        <v>624</v>
      </c>
      <c r="K306" s="2" t="s">
        <v>1263</v>
      </c>
      <c r="L306" s="2" t="s">
        <v>686</v>
      </c>
      <c r="Q306"/>
    </row>
    <row r="307" spans="1:17" ht="14.4" hidden="1" x14ac:dyDescent="0.3">
      <c r="A307" s="2">
        <v>39220</v>
      </c>
      <c r="B307" s="8" t="s">
        <v>34</v>
      </c>
      <c r="C307" t="s">
        <v>747</v>
      </c>
      <c r="D307"/>
      <c r="E307" s="3" t="s">
        <v>621</v>
      </c>
      <c r="F307" s="11" t="b">
        <f t="shared" si="4"/>
        <v>0</v>
      </c>
      <c r="G307" s="11" t="s">
        <v>398</v>
      </c>
      <c r="H307" s="1" t="s">
        <v>267</v>
      </c>
      <c r="J307" s="14" t="s">
        <v>624</v>
      </c>
      <c r="K307" s="2" t="s">
        <v>1262</v>
      </c>
      <c r="L307" s="2" t="s">
        <v>686</v>
      </c>
      <c r="Q307"/>
    </row>
    <row r="308" spans="1:17" ht="14.4" hidden="1" x14ac:dyDescent="0.3">
      <c r="A308" s="2">
        <v>56578</v>
      </c>
      <c r="B308" s="8" t="s">
        <v>466</v>
      </c>
      <c r="C308" t="s">
        <v>920</v>
      </c>
      <c r="D308"/>
      <c r="E308" s="3" t="s">
        <v>621</v>
      </c>
      <c r="F308" s="11" t="b">
        <f t="shared" si="4"/>
        <v>0</v>
      </c>
      <c r="G308" s="11" t="s">
        <v>400</v>
      </c>
      <c r="H308" s="1" t="s">
        <v>287</v>
      </c>
      <c r="J308" s="14" t="s">
        <v>624</v>
      </c>
      <c r="K308" s="2" t="s">
        <v>1263</v>
      </c>
      <c r="L308" s="2" t="s">
        <v>686</v>
      </c>
      <c r="Q308"/>
    </row>
    <row r="309" spans="1:17" ht="14.4" hidden="1" x14ac:dyDescent="0.3">
      <c r="A309" s="2">
        <v>59917</v>
      </c>
      <c r="B309" s="8" t="s">
        <v>82</v>
      </c>
      <c r="C309" t="s">
        <v>1006</v>
      </c>
      <c r="D309"/>
      <c r="E309" s="3" t="s">
        <v>621</v>
      </c>
      <c r="F309" s="11" t="b">
        <f t="shared" si="4"/>
        <v>0</v>
      </c>
      <c r="G309" s="11" t="s">
        <v>402</v>
      </c>
      <c r="H309" s="1" t="s">
        <v>268</v>
      </c>
      <c r="J309" s="14" t="s">
        <v>624</v>
      </c>
      <c r="K309" s="2" t="s">
        <v>1261</v>
      </c>
      <c r="L309" s="2" t="s">
        <v>686</v>
      </c>
      <c r="Q309"/>
    </row>
    <row r="310" spans="1:17" ht="14.4" hidden="1" x14ac:dyDescent="0.3">
      <c r="A310" s="2">
        <v>59940</v>
      </c>
      <c r="B310" s="8" t="s">
        <v>176</v>
      </c>
      <c r="C310" t="s">
        <v>1016</v>
      </c>
      <c r="D310"/>
      <c r="E310" s="3" t="s">
        <v>621</v>
      </c>
      <c r="F310" s="11" t="b">
        <f t="shared" si="4"/>
        <v>0</v>
      </c>
      <c r="G310" s="11" t="s">
        <v>402</v>
      </c>
      <c r="H310" s="1" t="s">
        <v>273</v>
      </c>
      <c r="J310" s="14" t="s">
        <v>624</v>
      </c>
      <c r="K310" s="2" t="s">
        <v>1261</v>
      </c>
      <c r="L310" s="2" t="s">
        <v>686</v>
      </c>
      <c r="Q310"/>
    </row>
    <row r="311" spans="1:17" ht="14.4" hidden="1" x14ac:dyDescent="0.3">
      <c r="A311" s="2">
        <v>79925</v>
      </c>
      <c r="B311" s="8" t="s">
        <v>156</v>
      </c>
      <c r="C311" t="s">
        <v>1115</v>
      </c>
      <c r="D311"/>
      <c r="E311" s="3" t="s">
        <v>621</v>
      </c>
      <c r="F311" s="11" t="b">
        <f t="shared" si="4"/>
        <v>0</v>
      </c>
      <c r="G311" s="11" t="s">
        <v>404</v>
      </c>
      <c r="H311" s="1" t="s">
        <v>270</v>
      </c>
      <c r="J311" s="14" t="s">
        <v>624</v>
      </c>
      <c r="K311" s="2" t="s">
        <v>1263</v>
      </c>
      <c r="L311" s="2" t="s">
        <v>686</v>
      </c>
      <c r="Q311"/>
    </row>
    <row r="312" spans="1:17" ht="14.4" hidden="1" x14ac:dyDescent="0.3">
      <c r="A312" s="2">
        <v>33673</v>
      </c>
      <c r="B312" s="8" t="s">
        <v>239</v>
      </c>
      <c r="C312" t="s">
        <v>709</v>
      </c>
      <c r="D312"/>
      <c r="E312" s="3" t="s">
        <v>621</v>
      </c>
      <c r="F312" s="11" t="b">
        <f t="shared" si="4"/>
        <v>0</v>
      </c>
      <c r="G312" s="11" t="s">
        <v>397</v>
      </c>
      <c r="H312" s="1" t="s">
        <v>14</v>
      </c>
      <c r="J312" s="14" t="s">
        <v>628</v>
      </c>
      <c r="K312" s="2" t="s">
        <v>1259</v>
      </c>
      <c r="L312" s="2" t="s">
        <v>686</v>
      </c>
      <c r="Q312"/>
    </row>
    <row r="313" spans="1:17" ht="14.4" hidden="1" x14ac:dyDescent="0.3">
      <c r="A313" s="2">
        <v>39255</v>
      </c>
      <c r="B313" s="8" t="s">
        <v>68</v>
      </c>
      <c r="C313" t="s">
        <v>764</v>
      </c>
      <c r="D313"/>
      <c r="E313" s="3" t="s">
        <v>621</v>
      </c>
      <c r="F313" s="11" t="b">
        <f t="shared" si="4"/>
        <v>0</v>
      </c>
      <c r="G313" s="11" t="s">
        <v>398</v>
      </c>
      <c r="H313" s="1" t="s">
        <v>272</v>
      </c>
      <c r="J313" s="14" t="s">
        <v>624</v>
      </c>
      <c r="K313" s="2" t="s">
        <v>1262</v>
      </c>
      <c r="L313" s="2" t="s">
        <v>686</v>
      </c>
      <c r="Q313"/>
    </row>
    <row r="314" spans="1:17" ht="14.4" hidden="1" x14ac:dyDescent="0.3">
      <c r="A314" s="2">
        <v>69923</v>
      </c>
      <c r="B314" s="8" t="s">
        <v>316</v>
      </c>
      <c r="C314" t="s">
        <v>1061</v>
      </c>
      <c r="D314"/>
      <c r="E314" s="3" t="s">
        <v>621</v>
      </c>
      <c r="F314" s="11" t="b">
        <f t="shared" si="4"/>
        <v>0</v>
      </c>
      <c r="G314" s="11" t="s">
        <v>403</v>
      </c>
      <c r="H314" s="1" t="s">
        <v>269</v>
      </c>
      <c r="J314" s="14" t="s">
        <v>624</v>
      </c>
      <c r="K314" s="2" t="s">
        <v>1260</v>
      </c>
      <c r="L314" s="2" t="s">
        <v>686</v>
      </c>
      <c r="Q314"/>
    </row>
    <row r="315" spans="1:17" ht="14.4" hidden="1" x14ac:dyDescent="0.3">
      <c r="A315" s="2">
        <v>39250</v>
      </c>
      <c r="B315" s="8" t="s">
        <v>99</v>
      </c>
      <c r="C315" t="s">
        <v>761</v>
      </c>
      <c r="D315"/>
      <c r="E315" s="3" t="s">
        <v>621</v>
      </c>
      <c r="F315" s="11" t="b">
        <f t="shared" si="4"/>
        <v>0</v>
      </c>
      <c r="G315" s="11" t="s">
        <v>398</v>
      </c>
      <c r="H315" s="1" t="s">
        <v>275</v>
      </c>
      <c r="J315" s="14" t="s">
        <v>624</v>
      </c>
      <c r="K315" s="2" t="s">
        <v>1262</v>
      </c>
      <c r="L315" s="2" t="s">
        <v>686</v>
      </c>
      <c r="Q315"/>
    </row>
    <row r="316" spans="1:17" ht="14.4" hidden="1" x14ac:dyDescent="0.3">
      <c r="A316" s="2">
        <v>59911</v>
      </c>
      <c r="B316" s="8" t="s">
        <v>59</v>
      </c>
      <c r="C316" t="s">
        <v>1004</v>
      </c>
      <c r="D316"/>
      <c r="E316" s="3" t="s">
        <v>621</v>
      </c>
      <c r="F316" s="11" t="b">
        <f t="shared" si="4"/>
        <v>0</v>
      </c>
      <c r="G316" s="11" t="s">
        <v>402</v>
      </c>
      <c r="H316" s="1" t="s">
        <v>266</v>
      </c>
      <c r="J316" s="14" t="s">
        <v>624</v>
      </c>
      <c r="K316" s="2" t="s">
        <v>1261</v>
      </c>
      <c r="L316" s="2" t="s">
        <v>686</v>
      </c>
      <c r="Q316"/>
    </row>
    <row r="317" spans="1:17" ht="14.4" hidden="1" x14ac:dyDescent="0.3">
      <c r="A317" s="2">
        <v>69940</v>
      </c>
      <c r="B317" s="8" t="s">
        <v>306</v>
      </c>
      <c r="C317" t="s">
        <v>1069</v>
      </c>
      <c r="D317"/>
      <c r="E317" s="3" t="s">
        <v>621</v>
      </c>
      <c r="F317" s="11" t="b">
        <f t="shared" si="4"/>
        <v>0</v>
      </c>
      <c r="G317" s="11" t="s">
        <v>403</v>
      </c>
      <c r="H317" s="1" t="s">
        <v>273</v>
      </c>
      <c r="J317" s="14" t="s">
        <v>624</v>
      </c>
      <c r="K317" s="2" t="s">
        <v>1260</v>
      </c>
      <c r="L317" s="2" t="s">
        <v>686</v>
      </c>
      <c r="Q317"/>
    </row>
    <row r="318" spans="1:17" ht="14.4" hidden="1" x14ac:dyDescent="0.3">
      <c r="A318" s="2">
        <v>69943</v>
      </c>
      <c r="B318" s="8" t="s">
        <v>312</v>
      </c>
      <c r="C318" t="s">
        <v>1070</v>
      </c>
      <c r="D318"/>
      <c r="E318" s="3" t="s">
        <v>621</v>
      </c>
      <c r="F318" s="11" t="b">
        <f t="shared" si="4"/>
        <v>0</v>
      </c>
      <c r="G318" s="11" t="s">
        <v>403</v>
      </c>
      <c r="H318" s="1" t="s">
        <v>274</v>
      </c>
      <c r="J318" s="14" t="s">
        <v>624</v>
      </c>
      <c r="K318" s="2" t="s">
        <v>1260</v>
      </c>
      <c r="L318" s="2" t="s">
        <v>686</v>
      </c>
      <c r="Q318"/>
    </row>
    <row r="319" spans="1:17" ht="14.4" hidden="1" x14ac:dyDescent="0.3">
      <c r="A319" s="2">
        <v>79917</v>
      </c>
      <c r="B319" s="8" t="s">
        <v>155</v>
      </c>
      <c r="C319" t="s">
        <v>1112</v>
      </c>
      <c r="D319"/>
      <c r="E319" s="3" t="s">
        <v>621</v>
      </c>
      <c r="F319" s="11" t="b">
        <f t="shared" si="4"/>
        <v>0</v>
      </c>
      <c r="G319" s="11" t="s">
        <v>404</v>
      </c>
      <c r="H319" s="1" t="s">
        <v>268</v>
      </c>
      <c r="J319" s="14" t="s">
        <v>624</v>
      </c>
      <c r="K319" s="2" t="s">
        <v>1263</v>
      </c>
      <c r="L319" s="2" t="s">
        <v>686</v>
      </c>
      <c r="Q319"/>
    </row>
    <row r="320" spans="1:17" ht="14.4" hidden="1" x14ac:dyDescent="0.3">
      <c r="A320" s="2">
        <v>33060</v>
      </c>
      <c r="B320" s="8" t="s">
        <v>18</v>
      </c>
      <c r="C320" t="s">
        <v>689</v>
      </c>
      <c r="D320"/>
      <c r="E320" s="3" t="s">
        <v>621</v>
      </c>
      <c r="F320" s="11" t="b">
        <f t="shared" si="4"/>
        <v>0</v>
      </c>
      <c r="G320" s="11" t="s">
        <v>408</v>
      </c>
      <c r="H320" s="1" t="s">
        <v>284</v>
      </c>
      <c r="J320" s="14" t="s">
        <v>624</v>
      </c>
      <c r="K320" s="2" t="s">
        <v>1259</v>
      </c>
      <c r="L320" s="2" t="s">
        <v>686</v>
      </c>
      <c r="Q320"/>
    </row>
    <row r="321" spans="1:17" ht="14.4" x14ac:dyDescent="0.3">
      <c r="A321" s="2">
        <v>56668</v>
      </c>
      <c r="B321" s="8" t="s">
        <v>499</v>
      </c>
      <c r="C321" t="s">
        <v>963</v>
      </c>
      <c r="D321"/>
      <c r="E321" s="3" t="s">
        <v>621</v>
      </c>
      <c r="F321" s="11" t="b">
        <f t="shared" si="4"/>
        <v>0</v>
      </c>
      <c r="G321" s="11" t="s">
        <v>1265</v>
      </c>
      <c r="H321" s="1" t="s">
        <v>278</v>
      </c>
      <c r="J321" s="14" t="s">
        <v>628</v>
      </c>
      <c r="K321" s="2" t="s">
        <v>1289</v>
      </c>
      <c r="L321" s="2" t="s">
        <v>686</v>
      </c>
      <c r="Q321"/>
    </row>
    <row r="322" spans="1:17" ht="14.4" hidden="1" x14ac:dyDescent="0.3">
      <c r="A322" s="2">
        <v>6206</v>
      </c>
      <c r="B322" s="8" t="s">
        <v>123</v>
      </c>
      <c r="C322" s="2" t="s">
        <v>640</v>
      </c>
      <c r="E322" s="3" t="s">
        <v>621</v>
      </c>
      <c r="F322" s="11" t="b">
        <f t="shared" ref="F322:F385" si="5">ISNUMBER(SEARCH($F$1,B322))</f>
        <v>0</v>
      </c>
      <c r="G322" s="11" t="s">
        <v>119</v>
      </c>
      <c r="H322" s="1" t="s">
        <v>435</v>
      </c>
      <c r="J322" s="14" t="s">
        <v>624</v>
      </c>
      <c r="K322" s="2" t="s">
        <v>458</v>
      </c>
      <c r="L322" s="2" t="s">
        <v>623</v>
      </c>
    </row>
    <row r="323" spans="1:17" ht="14.4" hidden="1" x14ac:dyDescent="0.3">
      <c r="A323" s="2">
        <v>53500</v>
      </c>
      <c r="B323" s="8" t="s">
        <v>1236</v>
      </c>
      <c r="C323" s="2" t="s">
        <v>1235</v>
      </c>
      <c r="E323" s="3" t="s">
        <v>620</v>
      </c>
      <c r="F323" s="11" t="b">
        <f t="shared" si="5"/>
        <v>0</v>
      </c>
      <c r="G323" s="11" t="s">
        <v>401</v>
      </c>
      <c r="J323" s="14" t="s">
        <v>624</v>
      </c>
      <c r="K323" s="2" t="s">
        <v>458</v>
      </c>
      <c r="L323" s="2" t="s">
        <v>623</v>
      </c>
    </row>
    <row r="324" spans="1:17" ht="14.4" hidden="1" x14ac:dyDescent="0.3">
      <c r="A324" s="2">
        <v>39249</v>
      </c>
      <c r="B324" s="8" t="s">
        <v>98</v>
      </c>
      <c r="C324" t="s">
        <v>760</v>
      </c>
      <c r="D324"/>
      <c r="E324" s="3" t="s">
        <v>621</v>
      </c>
      <c r="F324" s="11" t="b">
        <f t="shared" si="5"/>
        <v>0</v>
      </c>
      <c r="G324" s="11" t="s">
        <v>398</v>
      </c>
      <c r="H324" s="1" t="s">
        <v>275</v>
      </c>
      <c r="J324" s="14" t="s">
        <v>624</v>
      </c>
      <c r="K324" s="2" t="s">
        <v>1262</v>
      </c>
      <c r="L324" s="2" t="s">
        <v>686</v>
      </c>
      <c r="Q324"/>
    </row>
    <row r="325" spans="1:17" ht="14.4" hidden="1" x14ac:dyDescent="0.3">
      <c r="A325" s="2">
        <v>39258</v>
      </c>
      <c r="B325" s="8" t="s">
        <v>198</v>
      </c>
      <c r="C325" t="s">
        <v>766</v>
      </c>
      <c r="D325"/>
      <c r="E325" s="3" t="s">
        <v>621</v>
      </c>
      <c r="F325" s="11" t="b">
        <f t="shared" si="5"/>
        <v>0</v>
      </c>
      <c r="G325" s="11" t="s">
        <v>398</v>
      </c>
      <c r="H325" s="1" t="s">
        <v>269</v>
      </c>
      <c r="J325" s="14" t="s">
        <v>624</v>
      </c>
      <c r="K325" s="2" t="s">
        <v>1262</v>
      </c>
      <c r="L325" s="2" t="s">
        <v>686</v>
      </c>
      <c r="Q325"/>
    </row>
    <row r="326" spans="1:17" ht="14.4" hidden="1" x14ac:dyDescent="0.3">
      <c r="A326" s="2">
        <v>39855</v>
      </c>
      <c r="B326" s="8" t="s">
        <v>53</v>
      </c>
      <c r="C326" t="s">
        <v>838</v>
      </c>
      <c r="D326"/>
      <c r="E326" s="3" t="s">
        <v>621</v>
      </c>
      <c r="F326" s="11" t="b">
        <f t="shared" si="5"/>
        <v>0</v>
      </c>
      <c r="G326" s="11" t="s">
        <v>399</v>
      </c>
      <c r="H326" s="1" t="s">
        <v>272</v>
      </c>
      <c r="J326" s="14" t="s">
        <v>624</v>
      </c>
      <c r="K326" s="2" t="s">
        <v>1260</v>
      </c>
      <c r="L326" s="2" t="s">
        <v>686</v>
      </c>
      <c r="Q326"/>
    </row>
    <row r="327" spans="1:17" ht="14.4" hidden="1" x14ac:dyDescent="0.3">
      <c r="A327" s="2">
        <v>79945</v>
      </c>
      <c r="B327" s="8" t="s">
        <v>189</v>
      </c>
      <c r="C327" t="s">
        <v>1124</v>
      </c>
      <c r="D327"/>
      <c r="E327" s="3" t="s">
        <v>621</v>
      </c>
      <c r="F327" s="11" t="b">
        <f t="shared" si="5"/>
        <v>0</v>
      </c>
      <c r="G327" s="11" t="s">
        <v>404</v>
      </c>
      <c r="H327" s="1" t="s">
        <v>273</v>
      </c>
      <c r="J327" s="14" t="s">
        <v>624</v>
      </c>
      <c r="K327" s="2" t="s">
        <v>1263</v>
      </c>
      <c r="L327" s="2" t="s">
        <v>686</v>
      </c>
      <c r="Q327"/>
    </row>
    <row r="328" spans="1:17" ht="14.4" hidden="1" x14ac:dyDescent="0.3">
      <c r="A328" s="2">
        <v>56538</v>
      </c>
      <c r="B328" s="8" t="s">
        <v>174</v>
      </c>
      <c r="C328" t="s">
        <v>890</v>
      </c>
      <c r="D328"/>
      <c r="E328" s="3" t="s">
        <v>621</v>
      </c>
      <c r="F328" s="11" t="b">
        <f t="shared" si="5"/>
        <v>0</v>
      </c>
      <c r="G328" s="11" t="s">
        <v>400</v>
      </c>
      <c r="H328" s="1" t="s">
        <v>285</v>
      </c>
      <c r="J328" s="14" t="s">
        <v>624</v>
      </c>
      <c r="K328" s="2" t="s">
        <v>1263</v>
      </c>
      <c r="L328" s="2" t="s">
        <v>686</v>
      </c>
      <c r="Q328"/>
    </row>
    <row r="329" spans="1:17" ht="14.4" hidden="1" x14ac:dyDescent="0.3">
      <c r="A329" s="2">
        <v>39825</v>
      </c>
      <c r="B329" s="8" t="s">
        <v>49</v>
      </c>
      <c r="C329" t="s">
        <v>823</v>
      </c>
      <c r="D329"/>
      <c r="E329" s="3" t="s">
        <v>621</v>
      </c>
      <c r="F329" s="11" t="b">
        <f t="shared" si="5"/>
        <v>0</v>
      </c>
      <c r="G329" s="11" t="s">
        <v>399</v>
      </c>
      <c r="H329" s="1" t="s">
        <v>270</v>
      </c>
      <c r="J329" s="14" t="s">
        <v>624</v>
      </c>
      <c r="K329" s="2" t="s">
        <v>1260</v>
      </c>
      <c r="L329" s="2" t="s">
        <v>686</v>
      </c>
      <c r="Q329"/>
    </row>
    <row r="330" spans="1:17" ht="14.4" hidden="1" x14ac:dyDescent="0.3">
      <c r="A330" s="2">
        <v>39849</v>
      </c>
      <c r="B330" s="8" t="s">
        <v>100</v>
      </c>
      <c r="C330" t="s">
        <v>834</v>
      </c>
      <c r="D330"/>
      <c r="E330" s="3" t="s">
        <v>621</v>
      </c>
      <c r="F330" s="11" t="b">
        <f t="shared" si="5"/>
        <v>0</v>
      </c>
      <c r="G330" s="11" t="s">
        <v>399</v>
      </c>
      <c r="H330" s="1" t="s">
        <v>275</v>
      </c>
      <c r="J330" s="14" t="s">
        <v>624</v>
      </c>
      <c r="K330" s="2" t="s">
        <v>1260</v>
      </c>
      <c r="L330" s="2" t="s">
        <v>686</v>
      </c>
      <c r="Q330"/>
    </row>
    <row r="331" spans="1:17" ht="14.4" hidden="1" x14ac:dyDescent="0.3">
      <c r="A331" s="2">
        <v>59920</v>
      </c>
      <c r="B331" s="8" t="s">
        <v>61</v>
      </c>
      <c r="C331" t="s">
        <v>1007</v>
      </c>
      <c r="D331"/>
      <c r="E331" s="3" t="s">
        <v>621</v>
      </c>
      <c r="F331" s="11" t="b">
        <f t="shared" si="5"/>
        <v>0</v>
      </c>
      <c r="G331" s="11" t="s">
        <v>402</v>
      </c>
      <c r="H331" s="1" t="s">
        <v>267</v>
      </c>
      <c r="J331" s="14" t="s">
        <v>624</v>
      </c>
      <c r="K331" s="2" t="s">
        <v>1261</v>
      </c>
      <c r="L331" s="2" t="s">
        <v>686</v>
      </c>
      <c r="Q331"/>
    </row>
    <row r="332" spans="1:17" ht="14.4" hidden="1" x14ac:dyDescent="0.3">
      <c r="A332" s="2">
        <v>69957</v>
      </c>
      <c r="B332" s="8" t="s">
        <v>301</v>
      </c>
      <c r="C332" t="s">
        <v>1078</v>
      </c>
      <c r="D332"/>
      <c r="E332" s="3" t="s">
        <v>621</v>
      </c>
      <c r="F332" s="11" t="b">
        <f t="shared" si="5"/>
        <v>0</v>
      </c>
      <c r="G332" s="11" t="s">
        <v>403</v>
      </c>
      <c r="H332" s="1" t="s">
        <v>272</v>
      </c>
      <c r="J332" s="14" t="s">
        <v>624</v>
      </c>
      <c r="K332" s="2" t="s">
        <v>1260</v>
      </c>
      <c r="L332" s="2" t="s">
        <v>686</v>
      </c>
      <c r="Q332"/>
    </row>
    <row r="333" spans="1:17" ht="14.4" hidden="1" x14ac:dyDescent="0.3">
      <c r="A333" s="2">
        <v>34000</v>
      </c>
      <c r="B333" s="8" t="s">
        <v>117</v>
      </c>
      <c r="C333" t="s">
        <v>722</v>
      </c>
      <c r="D333"/>
      <c r="E333" s="3" t="s">
        <v>621</v>
      </c>
      <c r="F333" s="11" t="b">
        <f t="shared" si="5"/>
        <v>0</v>
      </c>
      <c r="G333" s="11" t="s">
        <v>408</v>
      </c>
      <c r="H333" s="1" t="s">
        <v>15</v>
      </c>
      <c r="J333" s="14" t="s">
        <v>624</v>
      </c>
      <c r="K333" s="2" t="s">
        <v>1259</v>
      </c>
      <c r="L333" s="2" t="s">
        <v>686</v>
      </c>
      <c r="Q333"/>
    </row>
    <row r="334" spans="1:17" ht="14.4" hidden="1" x14ac:dyDescent="0.3">
      <c r="A334" s="2">
        <v>39253</v>
      </c>
      <c r="B334" s="8" t="s">
        <v>88</v>
      </c>
      <c r="C334" t="s">
        <v>763</v>
      </c>
      <c r="D334"/>
      <c r="E334" s="3" t="s">
        <v>621</v>
      </c>
      <c r="F334" s="11" t="b">
        <f t="shared" si="5"/>
        <v>0</v>
      </c>
      <c r="G334" s="11" t="s">
        <v>398</v>
      </c>
      <c r="H334" s="1" t="s">
        <v>269</v>
      </c>
      <c r="J334" s="14" t="s">
        <v>624</v>
      </c>
      <c r="K334" s="2" t="s">
        <v>1262</v>
      </c>
      <c r="L334" s="2" t="s">
        <v>686</v>
      </c>
      <c r="Q334"/>
    </row>
    <row r="335" spans="1:17" ht="14.4" x14ac:dyDescent="0.3">
      <c r="A335" s="2">
        <v>56604</v>
      </c>
      <c r="B335" s="8" t="s">
        <v>472</v>
      </c>
      <c r="C335" t="s">
        <v>929</v>
      </c>
      <c r="D335"/>
      <c r="E335" s="3" t="s">
        <v>621</v>
      </c>
      <c r="F335" s="11" t="b">
        <f t="shared" si="5"/>
        <v>0</v>
      </c>
      <c r="G335" s="11" t="s">
        <v>1265</v>
      </c>
      <c r="H335" s="1" t="s">
        <v>271</v>
      </c>
      <c r="J335" s="14" t="s">
        <v>624</v>
      </c>
      <c r="K335" s="2" t="s">
        <v>1289</v>
      </c>
      <c r="L335" s="2" t="s">
        <v>686</v>
      </c>
      <c r="Q335"/>
    </row>
    <row r="336" spans="1:17" ht="14.4" hidden="1" x14ac:dyDescent="0.3">
      <c r="A336" s="2">
        <v>59959</v>
      </c>
      <c r="B336" s="8" t="s">
        <v>84</v>
      </c>
      <c r="C336" t="s">
        <v>1027</v>
      </c>
      <c r="D336"/>
      <c r="E336" s="3" t="s">
        <v>621</v>
      </c>
      <c r="F336" s="11" t="b">
        <f t="shared" si="5"/>
        <v>0</v>
      </c>
      <c r="G336" s="11" t="s">
        <v>402</v>
      </c>
      <c r="H336" s="1" t="s">
        <v>273</v>
      </c>
      <c r="J336" s="14" t="s">
        <v>624</v>
      </c>
      <c r="K336" s="2" t="s">
        <v>1261</v>
      </c>
      <c r="L336" s="2" t="s">
        <v>686</v>
      </c>
      <c r="Q336"/>
    </row>
    <row r="337" spans="1:17" ht="14.4" hidden="1" x14ac:dyDescent="0.3">
      <c r="A337" s="2">
        <v>6030</v>
      </c>
      <c r="B337" s="8" t="s">
        <v>24</v>
      </c>
      <c r="C337" s="2" t="s">
        <v>636</v>
      </c>
      <c r="E337" s="3" t="s">
        <v>621</v>
      </c>
      <c r="F337" s="11" t="b">
        <f t="shared" si="5"/>
        <v>0</v>
      </c>
      <c r="G337" s="11" t="s">
        <v>119</v>
      </c>
      <c r="H337" s="1" t="s">
        <v>435</v>
      </c>
      <c r="J337" s="14" t="s">
        <v>624</v>
      </c>
      <c r="K337" s="2" t="s">
        <v>458</v>
      </c>
      <c r="L337" s="2" t="s">
        <v>623</v>
      </c>
    </row>
    <row r="338" spans="1:17" ht="14.4" hidden="1" x14ac:dyDescent="0.3">
      <c r="A338" s="2">
        <v>33573</v>
      </c>
      <c r="B338" s="8" t="s">
        <v>601</v>
      </c>
      <c r="C338" t="s">
        <v>701</v>
      </c>
      <c r="D338"/>
      <c r="E338" s="3" t="s">
        <v>621</v>
      </c>
      <c r="F338" s="11" t="b">
        <f t="shared" si="5"/>
        <v>0</v>
      </c>
      <c r="G338" s="11" t="s">
        <v>396</v>
      </c>
      <c r="H338" s="1" t="s">
        <v>14</v>
      </c>
      <c r="J338" s="14" t="s">
        <v>628</v>
      </c>
      <c r="K338" s="2" t="s">
        <v>1259</v>
      </c>
      <c r="L338" s="2" t="s">
        <v>686</v>
      </c>
      <c r="Q338"/>
    </row>
    <row r="339" spans="1:17" ht="14.4" hidden="1" x14ac:dyDescent="0.3">
      <c r="A339" s="2">
        <v>39853</v>
      </c>
      <c r="B339" s="8" t="s">
        <v>91</v>
      </c>
      <c r="C339" t="s">
        <v>837</v>
      </c>
      <c r="D339"/>
      <c r="E339" s="3" t="s">
        <v>621</v>
      </c>
      <c r="F339" s="11" t="b">
        <f t="shared" si="5"/>
        <v>0</v>
      </c>
      <c r="G339" s="11" t="s">
        <v>399</v>
      </c>
      <c r="H339" s="1" t="s">
        <v>269</v>
      </c>
      <c r="J339" s="14" t="s">
        <v>624</v>
      </c>
      <c r="K339" s="2" t="s">
        <v>1260</v>
      </c>
      <c r="L339" s="2" t="s">
        <v>686</v>
      </c>
      <c r="Q339"/>
    </row>
    <row r="340" spans="1:17" ht="14.4" hidden="1" x14ac:dyDescent="0.3">
      <c r="A340" s="2">
        <v>56507</v>
      </c>
      <c r="B340" s="8" t="s">
        <v>41</v>
      </c>
      <c r="C340" t="s">
        <v>877</v>
      </c>
      <c r="D340"/>
      <c r="E340" s="3" t="s">
        <v>621</v>
      </c>
      <c r="F340" s="11" t="b">
        <f t="shared" si="5"/>
        <v>0</v>
      </c>
      <c r="G340" s="11" t="s">
        <v>400</v>
      </c>
      <c r="H340" s="1" t="s">
        <v>270</v>
      </c>
      <c r="J340" s="14" t="s">
        <v>624</v>
      </c>
      <c r="K340" s="2" t="s">
        <v>1263</v>
      </c>
      <c r="L340" s="2" t="s">
        <v>686</v>
      </c>
      <c r="Q340"/>
    </row>
    <row r="341" spans="1:17" ht="14.4" hidden="1" x14ac:dyDescent="0.3">
      <c r="A341" s="2">
        <v>56523</v>
      </c>
      <c r="B341" s="8" t="s">
        <v>173</v>
      </c>
      <c r="C341" t="s">
        <v>882</v>
      </c>
      <c r="D341"/>
      <c r="E341" s="3" t="s">
        <v>621</v>
      </c>
      <c r="F341" s="11" t="b">
        <f t="shared" si="5"/>
        <v>0</v>
      </c>
      <c r="G341" s="11" t="s">
        <v>400</v>
      </c>
      <c r="H341" s="1" t="s">
        <v>269</v>
      </c>
      <c r="J341" s="14" t="s">
        <v>624</v>
      </c>
      <c r="K341" s="2" t="s">
        <v>1263</v>
      </c>
      <c r="L341" s="2" t="s">
        <v>686</v>
      </c>
      <c r="Q341"/>
    </row>
    <row r="342" spans="1:17" ht="14.4" hidden="1" x14ac:dyDescent="0.3">
      <c r="A342" s="2">
        <v>69952</v>
      </c>
      <c r="B342" s="8" t="s">
        <v>307</v>
      </c>
      <c r="C342" t="s">
        <v>1075</v>
      </c>
      <c r="D342"/>
      <c r="E342" s="3" t="s">
        <v>621</v>
      </c>
      <c r="F342" s="11" t="b">
        <f t="shared" si="5"/>
        <v>0</v>
      </c>
      <c r="G342" s="11" t="s">
        <v>403</v>
      </c>
      <c r="H342" s="1" t="s">
        <v>275</v>
      </c>
      <c r="J342" s="14" t="s">
        <v>624</v>
      </c>
      <c r="K342" s="2" t="s">
        <v>1260</v>
      </c>
      <c r="L342" s="2" t="s">
        <v>686</v>
      </c>
      <c r="Q342"/>
    </row>
    <row r="343" spans="1:17" ht="14.4" hidden="1" x14ac:dyDescent="0.3">
      <c r="A343" s="2">
        <v>56504</v>
      </c>
      <c r="B343" s="8" t="s">
        <v>40</v>
      </c>
      <c r="C343" t="s">
        <v>876</v>
      </c>
      <c r="D343"/>
      <c r="E343" s="3" t="s">
        <v>621</v>
      </c>
      <c r="F343" s="11" t="b">
        <f t="shared" si="5"/>
        <v>0</v>
      </c>
      <c r="G343" s="11" t="s">
        <v>400</v>
      </c>
      <c r="H343" s="1" t="s">
        <v>271</v>
      </c>
      <c r="J343" s="14" t="s">
        <v>624</v>
      </c>
      <c r="K343" s="2" t="s">
        <v>1263</v>
      </c>
      <c r="L343" s="2" t="s">
        <v>686</v>
      </c>
      <c r="Q343"/>
    </row>
    <row r="344" spans="1:17" ht="14.4" hidden="1" x14ac:dyDescent="0.3">
      <c r="A344" s="2">
        <v>80623</v>
      </c>
      <c r="B344" s="8" t="s">
        <v>1238</v>
      </c>
      <c r="C344" s="2" t="s">
        <v>1237</v>
      </c>
      <c r="E344" s="3" t="s">
        <v>620</v>
      </c>
      <c r="F344" s="11" t="b">
        <f t="shared" si="5"/>
        <v>0</v>
      </c>
      <c r="G344" s="11" t="s">
        <v>405</v>
      </c>
      <c r="J344" s="14" t="s">
        <v>624</v>
      </c>
      <c r="K344" s="2" t="s">
        <v>458</v>
      </c>
      <c r="L344" s="2" t="s">
        <v>623</v>
      </c>
    </row>
    <row r="345" spans="1:17" ht="14.4" hidden="1" x14ac:dyDescent="0.3">
      <c r="A345" s="2">
        <v>20204</v>
      </c>
      <c r="B345" s="8" t="s">
        <v>202</v>
      </c>
      <c r="C345" s="2" t="s">
        <v>684</v>
      </c>
      <c r="E345" s="3" t="s">
        <v>621</v>
      </c>
      <c r="F345" s="11" t="b">
        <f t="shared" si="5"/>
        <v>0</v>
      </c>
      <c r="G345" s="11" t="s">
        <v>119</v>
      </c>
      <c r="H345" s="1" t="s">
        <v>434</v>
      </c>
      <c r="J345" s="14" t="s">
        <v>624</v>
      </c>
      <c r="K345" s="2" t="s">
        <v>458</v>
      </c>
      <c r="L345" s="2" t="s">
        <v>623</v>
      </c>
    </row>
    <row r="346" spans="1:17" ht="14.4" hidden="1" x14ac:dyDescent="0.3">
      <c r="A346" s="2">
        <v>33675</v>
      </c>
      <c r="B346" s="8" t="s">
        <v>135</v>
      </c>
      <c r="C346" t="s">
        <v>711</v>
      </c>
      <c r="D346"/>
      <c r="E346" s="3" t="s">
        <v>621</v>
      </c>
      <c r="F346" s="11" t="b">
        <f t="shared" si="5"/>
        <v>0</v>
      </c>
      <c r="G346" s="11" t="s">
        <v>397</v>
      </c>
      <c r="H346" s="1" t="s">
        <v>3</v>
      </c>
      <c r="J346" s="14" t="s">
        <v>624</v>
      </c>
      <c r="K346" s="2" t="s">
        <v>1259</v>
      </c>
      <c r="L346" s="2" t="s">
        <v>686</v>
      </c>
      <c r="Q346"/>
    </row>
    <row r="347" spans="1:17" ht="14.4" hidden="1" x14ac:dyDescent="0.3">
      <c r="A347" s="2">
        <v>39217</v>
      </c>
      <c r="B347" s="8" t="s">
        <v>33</v>
      </c>
      <c r="C347" t="s">
        <v>746</v>
      </c>
      <c r="D347"/>
      <c r="E347" s="3" t="s">
        <v>621</v>
      </c>
      <c r="F347" s="11" t="b">
        <f t="shared" si="5"/>
        <v>0</v>
      </c>
      <c r="G347" s="11" t="s">
        <v>398</v>
      </c>
      <c r="H347" s="1" t="s">
        <v>268</v>
      </c>
      <c r="J347" s="14" t="s">
        <v>624</v>
      </c>
      <c r="K347" s="2" t="s">
        <v>1262</v>
      </c>
      <c r="L347" s="2" t="s">
        <v>686</v>
      </c>
      <c r="Q347"/>
    </row>
    <row r="348" spans="1:17" ht="14.4" hidden="1" x14ac:dyDescent="0.3">
      <c r="A348" s="2">
        <v>39223</v>
      </c>
      <c r="B348" s="8" t="s">
        <v>87</v>
      </c>
      <c r="C348" t="s">
        <v>748</v>
      </c>
      <c r="D348"/>
      <c r="E348" s="3" t="s">
        <v>621</v>
      </c>
      <c r="F348" s="11" t="b">
        <f t="shared" si="5"/>
        <v>0</v>
      </c>
      <c r="G348" s="11" t="s">
        <v>398</v>
      </c>
      <c r="H348" s="1" t="s">
        <v>269</v>
      </c>
      <c r="J348" s="14" t="s">
        <v>624</v>
      </c>
      <c r="K348" s="2" t="s">
        <v>1262</v>
      </c>
      <c r="L348" s="2" t="s">
        <v>686</v>
      </c>
      <c r="Q348"/>
    </row>
    <row r="349" spans="1:17" ht="14.4" hidden="1" x14ac:dyDescent="0.3">
      <c r="A349" s="2">
        <v>39245</v>
      </c>
      <c r="B349" s="8" t="s">
        <v>187</v>
      </c>
      <c r="C349" t="s">
        <v>758</v>
      </c>
      <c r="D349"/>
      <c r="E349" s="3" t="s">
        <v>621</v>
      </c>
      <c r="F349" s="11" t="b">
        <f t="shared" si="5"/>
        <v>0</v>
      </c>
      <c r="G349" s="11" t="s">
        <v>398</v>
      </c>
      <c r="H349" s="1" t="s">
        <v>273</v>
      </c>
      <c r="J349" s="14" t="s">
        <v>624</v>
      </c>
      <c r="K349" s="2" t="s">
        <v>1262</v>
      </c>
      <c r="L349" s="2" t="s">
        <v>686</v>
      </c>
      <c r="Q349"/>
    </row>
    <row r="350" spans="1:17" ht="14.4" hidden="1" x14ac:dyDescent="0.3">
      <c r="A350" s="2">
        <v>39259</v>
      </c>
      <c r="B350" s="8" t="s">
        <v>86</v>
      </c>
      <c r="C350" t="s">
        <v>767</v>
      </c>
      <c r="D350"/>
      <c r="E350" s="3" t="s">
        <v>621</v>
      </c>
      <c r="F350" s="11" t="b">
        <f t="shared" si="5"/>
        <v>0</v>
      </c>
      <c r="G350" s="11" t="s">
        <v>398</v>
      </c>
      <c r="H350" s="1" t="s">
        <v>273</v>
      </c>
      <c r="J350" s="14" t="s">
        <v>624</v>
      </c>
      <c r="K350" s="2" t="s">
        <v>1262</v>
      </c>
      <c r="L350" s="2" t="s">
        <v>686</v>
      </c>
      <c r="Q350"/>
    </row>
    <row r="351" spans="1:17" ht="14.4" hidden="1" x14ac:dyDescent="0.3">
      <c r="A351" s="2">
        <v>39820</v>
      </c>
      <c r="B351" s="8" t="s">
        <v>48</v>
      </c>
      <c r="C351" t="s">
        <v>821</v>
      </c>
      <c r="D351"/>
      <c r="E351" s="3" t="s">
        <v>621</v>
      </c>
      <c r="F351" s="11" t="b">
        <f t="shared" si="5"/>
        <v>0</v>
      </c>
      <c r="G351" s="11" t="s">
        <v>399</v>
      </c>
      <c r="H351" s="1" t="s">
        <v>267</v>
      </c>
      <c r="J351" s="14" t="s">
        <v>624</v>
      </c>
      <c r="K351" s="2" t="s">
        <v>1260</v>
      </c>
      <c r="L351" s="2" t="s">
        <v>686</v>
      </c>
      <c r="Q351"/>
    </row>
    <row r="352" spans="1:17" ht="14.4" hidden="1" x14ac:dyDescent="0.3">
      <c r="A352" s="2">
        <v>39840</v>
      </c>
      <c r="B352" s="8" t="s">
        <v>178</v>
      </c>
      <c r="C352" t="s">
        <v>830</v>
      </c>
      <c r="D352"/>
      <c r="E352" s="3" t="s">
        <v>621</v>
      </c>
      <c r="F352" s="11" t="b">
        <f t="shared" si="5"/>
        <v>0</v>
      </c>
      <c r="G352" s="11" t="s">
        <v>399</v>
      </c>
      <c r="H352" s="1" t="s">
        <v>273</v>
      </c>
      <c r="J352" s="14" t="s">
        <v>624</v>
      </c>
      <c r="K352" s="2" t="s">
        <v>1260</v>
      </c>
      <c r="L352" s="2" t="s">
        <v>686</v>
      </c>
      <c r="Q352"/>
    </row>
    <row r="353" spans="1:17" ht="14.4" hidden="1" x14ac:dyDescent="0.3">
      <c r="A353" s="2">
        <v>6204</v>
      </c>
      <c r="B353" s="8" t="s">
        <v>28</v>
      </c>
      <c r="C353" s="2" t="s">
        <v>639</v>
      </c>
      <c r="E353" s="3" t="s">
        <v>621</v>
      </c>
      <c r="F353" s="11" t="b">
        <f t="shared" si="5"/>
        <v>0</v>
      </c>
      <c r="G353" s="11" t="s">
        <v>119</v>
      </c>
      <c r="H353" s="1" t="s">
        <v>435</v>
      </c>
      <c r="J353" s="14" t="s">
        <v>624</v>
      </c>
      <c r="K353" s="2" t="s">
        <v>458</v>
      </c>
      <c r="L353" s="2" t="s">
        <v>623</v>
      </c>
    </row>
    <row r="354" spans="1:17" ht="14.4" hidden="1" x14ac:dyDescent="0.3">
      <c r="A354" s="2">
        <v>39857</v>
      </c>
      <c r="B354" s="8" t="s">
        <v>54</v>
      </c>
      <c r="C354" t="s">
        <v>839</v>
      </c>
      <c r="D354"/>
      <c r="E354" s="3" t="s">
        <v>621</v>
      </c>
      <c r="F354" s="11" t="b">
        <f t="shared" si="5"/>
        <v>0</v>
      </c>
      <c r="G354" s="11" t="s">
        <v>399</v>
      </c>
      <c r="H354" s="1" t="s">
        <v>272</v>
      </c>
      <c r="J354" s="14" t="s">
        <v>624</v>
      </c>
      <c r="K354" s="2" t="s">
        <v>1260</v>
      </c>
      <c r="L354" s="2" t="s">
        <v>686</v>
      </c>
      <c r="Q354"/>
    </row>
    <row r="355" spans="1:17" ht="14.4" hidden="1" x14ac:dyDescent="0.3">
      <c r="A355" s="2">
        <v>33420</v>
      </c>
      <c r="B355" s="8" t="s">
        <v>8</v>
      </c>
      <c r="C355" t="s">
        <v>695</v>
      </c>
      <c r="D355"/>
      <c r="E355" s="3" t="s">
        <v>621</v>
      </c>
      <c r="F355" s="11" t="b">
        <f t="shared" si="5"/>
        <v>0</v>
      </c>
      <c r="G355" s="11" t="s">
        <v>407</v>
      </c>
      <c r="H355" s="1" t="s">
        <v>276</v>
      </c>
      <c r="J355" s="14" t="s">
        <v>624</v>
      </c>
      <c r="K355" s="2" t="s">
        <v>1259</v>
      </c>
      <c r="L355" s="2" t="s">
        <v>686</v>
      </c>
      <c r="Q355"/>
    </row>
    <row r="356" spans="1:17" ht="14.4" hidden="1" x14ac:dyDescent="0.3">
      <c r="A356" s="2">
        <v>59952</v>
      </c>
      <c r="B356" s="8" t="s">
        <v>92</v>
      </c>
      <c r="C356" t="s">
        <v>1022</v>
      </c>
      <c r="D356"/>
      <c r="E356" s="3" t="s">
        <v>621</v>
      </c>
      <c r="F356" s="11" t="b">
        <f t="shared" si="5"/>
        <v>0</v>
      </c>
      <c r="G356" s="11" t="s">
        <v>402</v>
      </c>
      <c r="H356" s="1" t="s">
        <v>275</v>
      </c>
      <c r="J356" s="14" t="s">
        <v>624</v>
      </c>
      <c r="K356" s="2" t="s">
        <v>1261</v>
      </c>
      <c r="L356" s="2" t="s">
        <v>686</v>
      </c>
      <c r="Q356"/>
    </row>
    <row r="357" spans="1:17" ht="14.4" hidden="1" x14ac:dyDescent="0.3">
      <c r="A357" s="2">
        <v>79949</v>
      </c>
      <c r="B357" s="8" t="s">
        <v>160</v>
      </c>
      <c r="C357" t="s">
        <v>1126</v>
      </c>
      <c r="D357"/>
      <c r="E357" s="3" t="s">
        <v>621</v>
      </c>
      <c r="F357" s="11" t="b">
        <f t="shared" si="5"/>
        <v>0</v>
      </c>
      <c r="G357" s="11" t="s">
        <v>404</v>
      </c>
      <c r="H357" s="1" t="s">
        <v>275</v>
      </c>
      <c r="J357" s="14" t="s">
        <v>624</v>
      </c>
      <c r="K357" s="2" t="s">
        <v>1263</v>
      </c>
      <c r="L357" s="2" t="s">
        <v>686</v>
      </c>
      <c r="Q357"/>
    </row>
    <row r="358" spans="1:17" ht="14.4" hidden="1" x14ac:dyDescent="0.3">
      <c r="A358" s="2">
        <v>39211</v>
      </c>
      <c r="B358" s="8" t="s">
        <v>57</v>
      </c>
      <c r="C358" t="s">
        <v>744</v>
      </c>
      <c r="D358"/>
      <c r="E358" s="3" t="s">
        <v>621</v>
      </c>
      <c r="F358" s="11" t="b">
        <f t="shared" si="5"/>
        <v>0</v>
      </c>
      <c r="G358" s="11" t="s">
        <v>398</v>
      </c>
      <c r="H358" s="1" t="s">
        <v>266</v>
      </c>
      <c r="J358" s="14" t="s">
        <v>624</v>
      </c>
      <c r="K358" s="2" t="s">
        <v>1262</v>
      </c>
      <c r="L358" s="2" t="s">
        <v>686</v>
      </c>
      <c r="Q358"/>
    </row>
    <row r="359" spans="1:17" ht="14.4" hidden="1" x14ac:dyDescent="0.3">
      <c r="A359" s="2">
        <v>79959</v>
      </c>
      <c r="B359" s="8" t="s">
        <v>167</v>
      </c>
      <c r="C359" t="s">
        <v>1133</v>
      </c>
      <c r="D359"/>
      <c r="E359" s="3" t="s">
        <v>621</v>
      </c>
      <c r="F359" s="11" t="b">
        <f t="shared" si="5"/>
        <v>0</v>
      </c>
      <c r="G359" s="11" t="s">
        <v>404</v>
      </c>
      <c r="H359" s="1" t="s">
        <v>273</v>
      </c>
      <c r="J359" s="14" t="s">
        <v>624</v>
      </c>
      <c r="K359" s="2" t="s">
        <v>1263</v>
      </c>
      <c r="L359" s="2" t="s">
        <v>686</v>
      </c>
      <c r="Q359"/>
    </row>
    <row r="360" spans="1:17" ht="14.4" hidden="1" x14ac:dyDescent="0.3">
      <c r="A360" s="2">
        <v>5050</v>
      </c>
      <c r="B360" s="8" t="s">
        <v>228</v>
      </c>
      <c r="C360" s="2" t="s">
        <v>625</v>
      </c>
      <c r="E360" s="3" t="s">
        <v>621</v>
      </c>
      <c r="F360" s="11" t="b">
        <f t="shared" si="5"/>
        <v>0</v>
      </c>
      <c r="G360" s="11" t="s">
        <v>119</v>
      </c>
      <c r="H360" s="1" t="s">
        <v>354</v>
      </c>
      <c r="J360" s="14" t="s">
        <v>624</v>
      </c>
      <c r="K360" s="2" t="s">
        <v>458</v>
      </c>
      <c r="L360" s="2" t="s">
        <v>623</v>
      </c>
    </row>
    <row r="361" spans="1:17" ht="14.4" hidden="1" x14ac:dyDescent="0.3">
      <c r="A361" s="2">
        <v>39207</v>
      </c>
      <c r="B361" s="8" t="s">
        <v>31</v>
      </c>
      <c r="C361" t="s">
        <v>742</v>
      </c>
      <c r="D361"/>
      <c r="E361" s="3" t="s">
        <v>621</v>
      </c>
      <c r="F361" s="11" t="b">
        <f t="shared" si="5"/>
        <v>0</v>
      </c>
      <c r="G361" s="11" t="s">
        <v>398</v>
      </c>
      <c r="H361" s="1" t="s">
        <v>266</v>
      </c>
      <c r="J361" s="14" t="s">
        <v>624</v>
      </c>
      <c r="K361" s="2" t="s">
        <v>1262</v>
      </c>
      <c r="L361" s="2" t="s">
        <v>686</v>
      </c>
      <c r="Q361"/>
    </row>
    <row r="362" spans="1:17" ht="14.4" hidden="1" x14ac:dyDescent="0.3">
      <c r="A362" s="2">
        <v>39567</v>
      </c>
      <c r="B362" s="8" t="s">
        <v>442</v>
      </c>
      <c r="C362" t="s">
        <v>793</v>
      </c>
      <c r="D362"/>
      <c r="E362" s="3" t="s">
        <v>621</v>
      </c>
      <c r="F362" s="11" t="b">
        <f t="shared" si="5"/>
        <v>0</v>
      </c>
      <c r="G362" s="11" t="s">
        <v>409</v>
      </c>
      <c r="H362" s="1" t="s">
        <v>287</v>
      </c>
      <c r="J362" s="14" t="s">
        <v>624</v>
      </c>
      <c r="K362" s="2" t="s">
        <v>1259</v>
      </c>
      <c r="L362" s="2" t="s">
        <v>686</v>
      </c>
      <c r="Q362"/>
    </row>
    <row r="363" spans="1:17" ht="14.4" hidden="1" x14ac:dyDescent="0.3">
      <c r="A363" s="2">
        <v>59915</v>
      </c>
      <c r="B363" s="8" t="s">
        <v>60</v>
      </c>
      <c r="C363" t="s">
        <v>1005</v>
      </c>
      <c r="D363"/>
      <c r="E363" s="3" t="s">
        <v>621</v>
      </c>
      <c r="F363" s="11" t="b">
        <f t="shared" si="5"/>
        <v>0</v>
      </c>
      <c r="G363" s="11" t="s">
        <v>402</v>
      </c>
      <c r="H363" s="1" t="s">
        <v>267</v>
      </c>
      <c r="J363" s="14" t="s">
        <v>624</v>
      </c>
      <c r="K363" s="2" t="s">
        <v>1261</v>
      </c>
      <c r="L363" s="2" t="s">
        <v>686</v>
      </c>
      <c r="Q363"/>
    </row>
    <row r="364" spans="1:17" ht="14.4" hidden="1" x14ac:dyDescent="0.3">
      <c r="A364" s="2">
        <v>52820</v>
      </c>
      <c r="B364" s="8" t="s">
        <v>433</v>
      </c>
      <c r="C364" s="2" t="s">
        <v>868</v>
      </c>
      <c r="E364" s="3" t="s">
        <v>621</v>
      </c>
      <c r="F364" s="11" t="b">
        <f t="shared" si="5"/>
        <v>0</v>
      </c>
      <c r="G364" s="11" t="s">
        <v>405</v>
      </c>
      <c r="H364" s="1" t="s">
        <v>283</v>
      </c>
      <c r="J364" s="14" t="s">
        <v>624</v>
      </c>
      <c r="K364" s="2" t="s">
        <v>458</v>
      </c>
      <c r="L364" s="2" t="s">
        <v>623</v>
      </c>
    </row>
    <row r="365" spans="1:17" ht="14.4" hidden="1" x14ac:dyDescent="0.3">
      <c r="A365" s="2">
        <v>33571</v>
      </c>
      <c r="B365" s="8" t="s">
        <v>4</v>
      </c>
      <c r="C365" t="s">
        <v>699</v>
      </c>
      <c r="D365"/>
      <c r="E365" s="3" t="s">
        <v>621</v>
      </c>
      <c r="F365" s="11" t="b">
        <f t="shared" si="5"/>
        <v>0</v>
      </c>
      <c r="G365" s="11" t="s">
        <v>396</v>
      </c>
      <c r="H365" s="1" t="s">
        <v>3</v>
      </c>
      <c r="J365" s="14" t="s">
        <v>624</v>
      </c>
      <c r="K365" s="2" t="s">
        <v>1259</v>
      </c>
      <c r="L365" s="2" t="s">
        <v>686</v>
      </c>
      <c r="Q365"/>
    </row>
    <row r="366" spans="1:17" ht="14.4" x14ac:dyDescent="0.3">
      <c r="A366" s="2">
        <v>56607</v>
      </c>
      <c r="B366" s="8" t="s">
        <v>473</v>
      </c>
      <c r="C366" t="s">
        <v>930</v>
      </c>
      <c r="D366"/>
      <c r="E366" s="3" t="s">
        <v>621</v>
      </c>
      <c r="F366" s="11" t="b">
        <f t="shared" si="5"/>
        <v>0</v>
      </c>
      <c r="G366" s="11" t="s">
        <v>1265</v>
      </c>
      <c r="H366" s="1" t="s">
        <v>270</v>
      </c>
      <c r="J366" s="14" t="s">
        <v>624</v>
      </c>
      <c r="K366" s="2" t="s">
        <v>1289</v>
      </c>
      <c r="L366" s="2" t="s">
        <v>686</v>
      </c>
      <c r="Q366"/>
    </row>
    <row r="367" spans="1:17" ht="14.4" hidden="1" x14ac:dyDescent="0.3">
      <c r="A367" s="2">
        <v>6208</v>
      </c>
      <c r="B367" s="8" t="s">
        <v>124</v>
      </c>
      <c r="C367" s="2" t="s">
        <v>641</v>
      </c>
      <c r="E367" s="3" t="s">
        <v>621</v>
      </c>
      <c r="F367" s="11" t="b">
        <f t="shared" si="5"/>
        <v>0</v>
      </c>
      <c r="G367" s="11" t="s">
        <v>119</v>
      </c>
      <c r="H367" s="1" t="s">
        <v>435</v>
      </c>
      <c r="J367" s="14" t="s">
        <v>624</v>
      </c>
      <c r="K367" s="2" t="s">
        <v>458</v>
      </c>
      <c r="L367" s="2" t="s">
        <v>623</v>
      </c>
    </row>
    <row r="368" spans="1:17" ht="14.4" hidden="1" x14ac:dyDescent="0.3">
      <c r="A368" s="2">
        <v>59925</v>
      </c>
      <c r="B368" s="8" t="s">
        <v>62</v>
      </c>
      <c r="C368" t="s">
        <v>1009</v>
      </c>
      <c r="D368"/>
      <c r="E368" s="3" t="s">
        <v>621</v>
      </c>
      <c r="F368" s="11" t="b">
        <f t="shared" si="5"/>
        <v>0</v>
      </c>
      <c r="G368" s="11" t="s">
        <v>402</v>
      </c>
      <c r="H368" s="1" t="s">
        <v>270</v>
      </c>
      <c r="J368" s="14" t="s">
        <v>624</v>
      </c>
      <c r="K368" s="2" t="s">
        <v>1261</v>
      </c>
      <c r="L368" s="2" t="s">
        <v>686</v>
      </c>
      <c r="Q368"/>
    </row>
    <row r="369" spans="1:17" ht="14.4" hidden="1" x14ac:dyDescent="0.3">
      <c r="A369" s="2">
        <v>79957</v>
      </c>
      <c r="B369" s="8" t="s">
        <v>166</v>
      </c>
      <c r="C369" t="s">
        <v>1131</v>
      </c>
      <c r="D369"/>
      <c r="E369" s="3" t="s">
        <v>621</v>
      </c>
      <c r="F369" s="11" t="b">
        <f t="shared" si="5"/>
        <v>0</v>
      </c>
      <c r="G369" s="11" t="s">
        <v>404</v>
      </c>
      <c r="H369" s="1" t="s">
        <v>272</v>
      </c>
      <c r="J369" s="14" t="s">
        <v>624</v>
      </c>
      <c r="K369" s="2" t="s">
        <v>1263</v>
      </c>
      <c r="L369" s="2" t="s">
        <v>686</v>
      </c>
      <c r="Q369"/>
    </row>
    <row r="370" spans="1:17" ht="14.4" hidden="1" x14ac:dyDescent="0.3">
      <c r="A370" s="2">
        <v>33400</v>
      </c>
      <c r="B370" s="8" t="s">
        <v>6</v>
      </c>
      <c r="C370" t="s">
        <v>693</v>
      </c>
      <c r="D370"/>
      <c r="E370" s="3" t="s">
        <v>621</v>
      </c>
      <c r="F370" s="11" t="b">
        <f t="shared" si="5"/>
        <v>0</v>
      </c>
      <c r="G370" s="11" t="s">
        <v>407</v>
      </c>
      <c r="H370" s="1" t="s">
        <v>276</v>
      </c>
      <c r="J370" s="14" t="s">
        <v>624</v>
      </c>
      <c r="K370" s="2" t="s">
        <v>1259</v>
      </c>
      <c r="L370" s="2" t="s">
        <v>686</v>
      </c>
      <c r="Q370"/>
    </row>
    <row r="371" spans="1:17" ht="14.4" hidden="1" x14ac:dyDescent="0.3">
      <c r="A371" s="2">
        <v>39817</v>
      </c>
      <c r="B371" s="8" t="s">
        <v>47</v>
      </c>
      <c r="C371" t="s">
        <v>820</v>
      </c>
      <c r="D371"/>
      <c r="E371" s="3" t="s">
        <v>621</v>
      </c>
      <c r="F371" s="11" t="b">
        <f t="shared" si="5"/>
        <v>0</v>
      </c>
      <c r="G371" s="11" t="s">
        <v>399</v>
      </c>
      <c r="H371" s="1" t="s">
        <v>268</v>
      </c>
      <c r="J371" s="14" t="s">
        <v>624</v>
      </c>
      <c r="K371" s="2" t="s">
        <v>1260</v>
      </c>
      <c r="L371" s="2" t="s">
        <v>686</v>
      </c>
      <c r="Q371"/>
    </row>
    <row r="372" spans="1:17" ht="14.4" hidden="1" x14ac:dyDescent="0.3">
      <c r="A372" s="2">
        <v>39843</v>
      </c>
      <c r="B372" s="8" t="s">
        <v>52</v>
      </c>
      <c r="C372" t="s">
        <v>831</v>
      </c>
      <c r="D372"/>
      <c r="E372" s="3" t="s">
        <v>621</v>
      </c>
      <c r="F372" s="11" t="b">
        <f t="shared" si="5"/>
        <v>0</v>
      </c>
      <c r="G372" s="11" t="s">
        <v>399</v>
      </c>
      <c r="H372" s="1" t="s">
        <v>274</v>
      </c>
      <c r="J372" s="14" t="s">
        <v>624</v>
      </c>
      <c r="K372" s="2" t="s">
        <v>1260</v>
      </c>
      <c r="L372" s="2" t="s">
        <v>686</v>
      </c>
      <c r="Q372"/>
    </row>
    <row r="373" spans="1:17" ht="14.4" hidden="1" x14ac:dyDescent="0.3">
      <c r="A373" s="2">
        <v>39852</v>
      </c>
      <c r="B373" s="8" t="s">
        <v>102</v>
      </c>
      <c r="C373" t="s">
        <v>836</v>
      </c>
      <c r="D373"/>
      <c r="E373" s="3" t="s">
        <v>621</v>
      </c>
      <c r="F373" s="11" t="b">
        <f t="shared" si="5"/>
        <v>0</v>
      </c>
      <c r="G373" s="11" t="s">
        <v>399</v>
      </c>
      <c r="H373" s="1" t="s">
        <v>275</v>
      </c>
      <c r="J373" s="14" t="s">
        <v>624</v>
      </c>
      <c r="K373" s="2" t="s">
        <v>1260</v>
      </c>
      <c r="L373" s="2" t="s">
        <v>686</v>
      </c>
      <c r="Q373"/>
    </row>
    <row r="374" spans="1:17" ht="14.4" hidden="1" x14ac:dyDescent="0.3">
      <c r="A374" s="2">
        <v>56502</v>
      </c>
      <c r="B374" s="8" t="s">
        <v>38</v>
      </c>
      <c r="C374" t="s">
        <v>874</v>
      </c>
      <c r="D374"/>
      <c r="E374" s="3" t="s">
        <v>621</v>
      </c>
      <c r="F374" s="11" t="b">
        <f t="shared" si="5"/>
        <v>0</v>
      </c>
      <c r="G374" s="11" t="s">
        <v>400</v>
      </c>
      <c r="H374" s="1" t="s">
        <v>267</v>
      </c>
      <c r="J374" s="14" t="s">
        <v>624</v>
      </c>
      <c r="K374" s="2" t="s">
        <v>1263</v>
      </c>
      <c r="L374" s="2" t="s">
        <v>686</v>
      </c>
      <c r="Q374"/>
    </row>
    <row r="375" spans="1:17" ht="14.4" hidden="1" x14ac:dyDescent="0.3">
      <c r="A375" s="2">
        <v>6040</v>
      </c>
      <c r="B375" s="8" t="s">
        <v>27</v>
      </c>
      <c r="C375" s="2" t="s">
        <v>637</v>
      </c>
      <c r="E375" s="3" t="s">
        <v>621</v>
      </c>
      <c r="F375" s="11" t="b">
        <f t="shared" si="5"/>
        <v>0</v>
      </c>
      <c r="G375" s="11" t="s">
        <v>119</v>
      </c>
      <c r="H375" s="1" t="s">
        <v>435</v>
      </c>
      <c r="J375" s="14" t="s">
        <v>624</v>
      </c>
      <c r="K375" s="2" t="s">
        <v>458</v>
      </c>
      <c r="L375" s="2" t="s">
        <v>623</v>
      </c>
    </row>
    <row r="376" spans="1:17" ht="14.4" hidden="1" x14ac:dyDescent="0.3">
      <c r="A376" s="2">
        <v>59943</v>
      </c>
      <c r="B376" s="8" t="s">
        <v>66</v>
      </c>
      <c r="C376" t="s">
        <v>1017</v>
      </c>
      <c r="D376"/>
      <c r="E376" s="3" t="s">
        <v>621</v>
      </c>
      <c r="F376" s="11" t="b">
        <f t="shared" si="5"/>
        <v>0</v>
      </c>
      <c r="G376" s="11" t="s">
        <v>402</v>
      </c>
      <c r="H376" s="1" t="s">
        <v>274</v>
      </c>
      <c r="J376" s="14" t="s">
        <v>624</v>
      </c>
      <c r="K376" s="2" t="s">
        <v>1261</v>
      </c>
      <c r="L376" s="2" t="s">
        <v>686</v>
      </c>
      <c r="Q376"/>
    </row>
    <row r="377" spans="1:17" ht="14.4" hidden="1" x14ac:dyDescent="0.3">
      <c r="A377" s="2">
        <v>79915</v>
      </c>
      <c r="B377" s="8" t="s">
        <v>154</v>
      </c>
      <c r="C377" t="s">
        <v>1111</v>
      </c>
      <c r="D377"/>
      <c r="E377" s="3" t="s">
        <v>621</v>
      </c>
      <c r="F377" s="11" t="b">
        <f t="shared" si="5"/>
        <v>0</v>
      </c>
      <c r="G377" s="11" t="s">
        <v>404</v>
      </c>
      <c r="H377" s="1" t="s">
        <v>267</v>
      </c>
      <c r="J377" s="14" t="s">
        <v>624</v>
      </c>
      <c r="K377" s="2" t="s">
        <v>1263</v>
      </c>
      <c r="L377" s="2" t="s">
        <v>686</v>
      </c>
      <c r="Q377"/>
    </row>
    <row r="378" spans="1:17" ht="14.4" hidden="1" x14ac:dyDescent="0.3">
      <c r="A378" s="2">
        <v>79943</v>
      </c>
      <c r="B378" s="8" t="s">
        <v>159</v>
      </c>
      <c r="C378" t="s">
        <v>1123</v>
      </c>
      <c r="D378"/>
      <c r="E378" s="3" t="s">
        <v>621</v>
      </c>
      <c r="F378" s="11" t="b">
        <f t="shared" si="5"/>
        <v>0</v>
      </c>
      <c r="G378" s="11" t="s">
        <v>404</v>
      </c>
      <c r="H378" s="1" t="s">
        <v>274</v>
      </c>
      <c r="J378" s="14" t="s">
        <v>624</v>
      </c>
      <c r="K378" s="2" t="s">
        <v>1263</v>
      </c>
      <c r="L378" s="2" t="s">
        <v>686</v>
      </c>
      <c r="Q378"/>
    </row>
    <row r="379" spans="1:17" ht="14.4" hidden="1" x14ac:dyDescent="0.3">
      <c r="A379" s="2">
        <v>39238</v>
      </c>
      <c r="B379" s="8" t="s">
        <v>65</v>
      </c>
      <c r="C379" t="s">
        <v>755</v>
      </c>
      <c r="D379"/>
      <c r="E379" s="3" t="s">
        <v>621</v>
      </c>
      <c r="F379" s="11" t="b">
        <f t="shared" si="5"/>
        <v>0</v>
      </c>
      <c r="G379" s="11" t="s">
        <v>398</v>
      </c>
      <c r="H379" s="1" t="s">
        <v>272</v>
      </c>
      <c r="J379" s="14" t="s">
        <v>624</v>
      </c>
      <c r="K379" s="2" t="s">
        <v>1262</v>
      </c>
      <c r="L379" s="2" t="s">
        <v>686</v>
      </c>
      <c r="Q379"/>
    </row>
    <row r="380" spans="1:17" ht="14.4" hidden="1" x14ac:dyDescent="0.3">
      <c r="A380" s="2">
        <v>32475</v>
      </c>
      <c r="B380" s="8" t="s">
        <v>204</v>
      </c>
      <c r="C380" t="s">
        <v>688</v>
      </c>
      <c r="D380"/>
      <c r="E380" s="3" t="s">
        <v>621</v>
      </c>
      <c r="F380" s="11" t="b">
        <f t="shared" si="5"/>
        <v>0</v>
      </c>
      <c r="G380" s="11" t="s">
        <v>407</v>
      </c>
      <c r="H380" s="1" t="s">
        <v>266</v>
      </c>
      <c r="J380" s="14" t="s">
        <v>624</v>
      </c>
      <c r="K380" s="2" t="s">
        <v>1259</v>
      </c>
      <c r="L380" s="2" t="s">
        <v>686</v>
      </c>
      <c r="Q380"/>
    </row>
    <row r="381" spans="1:17" ht="14.4" hidden="1" x14ac:dyDescent="0.3">
      <c r="A381" s="2">
        <v>39260</v>
      </c>
      <c r="B381" s="8" t="s">
        <v>261</v>
      </c>
      <c r="C381" t="s">
        <v>768</v>
      </c>
      <c r="D381"/>
      <c r="E381" s="3" t="s">
        <v>621</v>
      </c>
      <c r="F381" s="11" t="b">
        <f t="shared" si="5"/>
        <v>0</v>
      </c>
      <c r="G381" s="11" t="s">
        <v>398</v>
      </c>
      <c r="H381" s="1" t="s">
        <v>276</v>
      </c>
      <c r="J381" s="14" t="s">
        <v>624</v>
      </c>
      <c r="K381" s="2" t="s">
        <v>1262</v>
      </c>
      <c r="L381" s="2" t="s">
        <v>686</v>
      </c>
      <c r="Q381"/>
    </row>
    <row r="382" spans="1:17" ht="14.4" hidden="1" x14ac:dyDescent="0.3">
      <c r="A382" s="2">
        <v>39571</v>
      </c>
      <c r="B382" s="8" t="s">
        <v>443</v>
      </c>
      <c r="C382" t="s">
        <v>795</v>
      </c>
      <c r="D382"/>
      <c r="E382" s="3" t="s">
        <v>621</v>
      </c>
      <c r="F382" s="11" t="b">
        <f t="shared" si="5"/>
        <v>0</v>
      </c>
      <c r="G382" s="11" t="s">
        <v>409</v>
      </c>
      <c r="H382" s="1" t="s">
        <v>287</v>
      </c>
      <c r="J382" s="14" t="s">
        <v>624</v>
      </c>
      <c r="K382" s="2" t="s">
        <v>1259</v>
      </c>
      <c r="L382" s="2" t="s">
        <v>686</v>
      </c>
      <c r="Q382"/>
    </row>
    <row r="383" spans="1:17" ht="14.4" hidden="1" x14ac:dyDescent="0.3">
      <c r="A383" s="2">
        <v>39811</v>
      </c>
      <c r="B383" s="8" t="s">
        <v>58</v>
      </c>
      <c r="C383" t="s">
        <v>818</v>
      </c>
      <c r="D383"/>
      <c r="E383" s="3" t="s">
        <v>621</v>
      </c>
      <c r="F383" s="11" t="b">
        <f t="shared" si="5"/>
        <v>0</v>
      </c>
      <c r="G383" s="11" t="s">
        <v>399</v>
      </c>
      <c r="H383" s="1" t="s">
        <v>266</v>
      </c>
      <c r="J383" s="14" t="s">
        <v>624</v>
      </c>
      <c r="K383" s="2" t="s">
        <v>1260</v>
      </c>
      <c r="L383" s="2" t="s">
        <v>686</v>
      </c>
      <c r="Q383"/>
    </row>
    <row r="384" spans="1:17" ht="14.4" hidden="1" x14ac:dyDescent="0.3">
      <c r="A384" s="2">
        <v>69911</v>
      </c>
      <c r="B384" s="8" t="s">
        <v>314</v>
      </c>
      <c r="C384" t="s">
        <v>1057</v>
      </c>
      <c r="D384"/>
      <c r="E384" s="3" t="s">
        <v>621</v>
      </c>
      <c r="F384" s="11" t="b">
        <f t="shared" si="5"/>
        <v>0</v>
      </c>
      <c r="G384" s="11" t="s">
        <v>403</v>
      </c>
      <c r="H384" s="1" t="s">
        <v>266</v>
      </c>
      <c r="J384" s="14" t="s">
        <v>624</v>
      </c>
      <c r="K384" s="2" t="s">
        <v>1260</v>
      </c>
      <c r="L384" s="2" t="s">
        <v>686</v>
      </c>
      <c r="Q384"/>
    </row>
    <row r="385" spans="1:17" ht="14.4" hidden="1" x14ac:dyDescent="0.3">
      <c r="A385" s="2">
        <v>79940</v>
      </c>
      <c r="B385" s="8" t="s">
        <v>179</v>
      </c>
      <c r="C385" t="s">
        <v>1122</v>
      </c>
      <c r="D385"/>
      <c r="E385" s="3" t="s">
        <v>621</v>
      </c>
      <c r="F385" s="11" t="b">
        <f t="shared" si="5"/>
        <v>0</v>
      </c>
      <c r="G385" s="11" t="s">
        <v>404</v>
      </c>
      <c r="H385" s="1" t="s">
        <v>273</v>
      </c>
      <c r="J385" s="14" t="s">
        <v>624</v>
      </c>
      <c r="K385" s="2" t="s">
        <v>1263</v>
      </c>
      <c r="L385" s="2" t="s">
        <v>686</v>
      </c>
      <c r="Q385"/>
    </row>
    <row r="386" spans="1:17" ht="14.4" hidden="1" x14ac:dyDescent="0.3">
      <c r="A386" s="2">
        <v>39810</v>
      </c>
      <c r="B386" s="8" t="s">
        <v>78</v>
      </c>
      <c r="C386" t="s">
        <v>817</v>
      </c>
      <c r="D386"/>
      <c r="E386" s="3" t="s">
        <v>621</v>
      </c>
      <c r="F386" s="11" t="b">
        <f t="shared" ref="F386:F449" si="6">ISNUMBER(SEARCH($F$1,B386))</f>
        <v>0</v>
      </c>
      <c r="G386" s="11" t="s">
        <v>399</v>
      </c>
      <c r="H386" s="1" t="s">
        <v>266</v>
      </c>
      <c r="J386" s="14" t="s">
        <v>624</v>
      </c>
      <c r="K386" s="2" t="s">
        <v>1260</v>
      </c>
      <c r="L386" s="2" t="s">
        <v>686</v>
      </c>
      <c r="Q386"/>
    </row>
    <row r="387" spans="1:17" ht="14.4" hidden="1" x14ac:dyDescent="0.3">
      <c r="A387" s="2">
        <v>39583</v>
      </c>
      <c r="B387" s="8" t="s">
        <v>449</v>
      </c>
      <c r="C387" t="s">
        <v>802</v>
      </c>
      <c r="D387"/>
      <c r="E387" s="3" t="s">
        <v>621</v>
      </c>
      <c r="F387" s="11" t="b">
        <f t="shared" si="6"/>
        <v>0</v>
      </c>
      <c r="G387" s="11" t="s">
        <v>409</v>
      </c>
      <c r="H387" s="1" t="s">
        <v>287</v>
      </c>
      <c r="J387" s="14" t="s">
        <v>624</v>
      </c>
      <c r="K387" s="2" t="s">
        <v>1259</v>
      </c>
      <c r="L387" s="2" t="s">
        <v>686</v>
      </c>
      <c r="Q387"/>
    </row>
    <row r="388" spans="1:17" ht="14.4" hidden="1" x14ac:dyDescent="0.3">
      <c r="A388" s="2">
        <v>39215</v>
      </c>
      <c r="B388" s="8" t="s">
        <v>32</v>
      </c>
      <c r="C388" t="s">
        <v>745</v>
      </c>
      <c r="D388"/>
      <c r="E388" s="3" t="s">
        <v>621</v>
      </c>
      <c r="F388" s="11" t="b">
        <f t="shared" si="6"/>
        <v>0</v>
      </c>
      <c r="G388" s="11" t="s">
        <v>398</v>
      </c>
      <c r="H388" s="1" t="s">
        <v>267</v>
      </c>
      <c r="J388" s="14" t="s">
        <v>624</v>
      </c>
      <c r="K388" s="2" t="s">
        <v>1262</v>
      </c>
      <c r="L388" s="2" t="s">
        <v>686</v>
      </c>
      <c r="Q388"/>
    </row>
    <row r="389" spans="1:17" ht="14.4" hidden="1" x14ac:dyDescent="0.3">
      <c r="A389" s="2">
        <v>39240</v>
      </c>
      <c r="B389" s="8" t="s">
        <v>177</v>
      </c>
      <c r="C389" t="s">
        <v>756</v>
      </c>
      <c r="D389"/>
      <c r="E389" s="3" t="s">
        <v>621</v>
      </c>
      <c r="F389" s="11" t="b">
        <f t="shared" si="6"/>
        <v>0</v>
      </c>
      <c r="G389" s="11" t="s">
        <v>398</v>
      </c>
      <c r="H389" s="1" t="s">
        <v>273</v>
      </c>
      <c r="J389" s="14" t="s">
        <v>624</v>
      </c>
      <c r="K389" s="2" t="s">
        <v>1262</v>
      </c>
      <c r="L389" s="2" t="s">
        <v>686</v>
      </c>
      <c r="Q389"/>
    </row>
    <row r="390" spans="1:17" ht="14.4" hidden="1" x14ac:dyDescent="0.3">
      <c r="A390" s="2">
        <v>59950</v>
      </c>
      <c r="B390" s="8" t="s">
        <v>95</v>
      </c>
      <c r="C390" t="s">
        <v>1021</v>
      </c>
      <c r="D390"/>
      <c r="E390" s="3" t="s">
        <v>621</v>
      </c>
      <c r="F390" s="11" t="b">
        <f t="shared" si="6"/>
        <v>0</v>
      </c>
      <c r="G390" s="11" t="s">
        <v>402</v>
      </c>
      <c r="H390" s="1" t="s">
        <v>275</v>
      </c>
      <c r="J390" s="14" t="s">
        <v>624</v>
      </c>
      <c r="K390" s="2" t="s">
        <v>1261</v>
      </c>
      <c r="L390" s="2" t="s">
        <v>686</v>
      </c>
      <c r="Q390"/>
    </row>
    <row r="391" spans="1:17" ht="14.4" hidden="1" x14ac:dyDescent="0.3">
      <c r="A391" s="2">
        <v>33671</v>
      </c>
      <c r="B391" s="8" t="s">
        <v>137</v>
      </c>
      <c r="C391" t="s">
        <v>707</v>
      </c>
      <c r="D391"/>
      <c r="E391" s="3" t="s">
        <v>621</v>
      </c>
      <c r="F391" s="11" t="b">
        <f t="shared" si="6"/>
        <v>0</v>
      </c>
      <c r="G391" s="11" t="s">
        <v>397</v>
      </c>
      <c r="H391" s="1" t="s">
        <v>3</v>
      </c>
      <c r="J391" s="14" t="s">
        <v>624</v>
      </c>
      <c r="K391" s="2" t="s">
        <v>1259</v>
      </c>
      <c r="L391" s="2" t="s">
        <v>686</v>
      </c>
      <c r="Q391"/>
    </row>
    <row r="392" spans="1:17" ht="14.4" hidden="1" x14ac:dyDescent="0.3">
      <c r="A392" s="2">
        <v>39572</v>
      </c>
      <c r="B392" s="8" t="s">
        <v>444</v>
      </c>
      <c r="C392" t="s">
        <v>796</v>
      </c>
      <c r="D392"/>
      <c r="E392" s="3" t="s">
        <v>621</v>
      </c>
      <c r="F392" s="11" t="b">
        <f t="shared" si="6"/>
        <v>0</v>
      </c>
      <c r="G392" s="11" t="s">
        <v>409</v>
      </c>
      <c r="H392" s="1" t="s">
        <v>287</v>
      </c>
      <c r="J392" s="14" t="s">
        <v>624</v>
      </c>
      <c r="K392" s="2" t="s">
        <v>1259</v>
      </c>
      <c r="L392" s="2" t="s">
        <v>686</v>
      </c>
      <c r="Q392"/>
    </row>
    <row r="393" spans="1:17" ht="14.4" hidden="1" x14ac:dyDescent="0.3">
      <c r="A393" s="2">
        <v>39845</v>
      </c>
      <c r="B393" s="8" t="s">
        <v>188</v>
      </c>
      <c r="C393" t="s">
        <v>832</v>
      </c>
      <c r="D393"/>
      <c r="E393" s="3" t="s">
        <v>621</v>
      </c>
      <c r="F393" s="11" t="b">
        <f t="shared" si="6"/>
        <v>0</v>
      </c>
      <c r="G393" s="11" t="s">
        <v>399</v>
      </c>
      <c r="H393" s="1" t="s">
        <v>273</v>
      </c>
      <c r="J393" s="14" t="s">
        <v>624</v>
      </c>
      <c r="K393" s="2" t="s">
        <v>1260</v>
      </c>
      <c r="L393" s="2" t="s">
        <v>686</v>
      </c>
      <c r="Q393"/>
    </row>
    <row r="394" spans="1:17" ht="14.4" hidden="1" x14ac:dyDescent="0.3">
      <c r="A394" s="2">
        <v>39248</v>
      </c>
      <c r="B394" s="8" t="s">
        <v>97</v>
      </c>
      <c r="C394" t="s">
        <v>759</v>
      </c>
      <c r="D394"/>
      <c r="E394" s="3" t="s">
        <v>621</v>
      </c>
      <c r="F394" s="11" t="b">
        <f t="shared" si="6"/>
        <v>0</v>
      </c>
      <c r="G394" s="11" t="s">
        <v>398</v>
      </c>
      <c r="H394" s="1" t="s">
        <v>275</v>
      </c>
      <c r="J394" s="14" t="s">
        <v>624</v>
      </c>
      <c r="K394" s="2" t="s">
        <v>1262</v>
      </c>
      <c r="L394" s="2" t="s">
        <v>686</v>
      </c>
      <c r="Q394"/>
    </row>
    <row r="395" spans="1:17" ht="14.4" hidden="1" x14ac:dyDescent="0.3">
      <c r="A395" s="2">
        <v>59948</v>
      </c>
      <c r="B395" s="8" t="s">
        <v>93</v>
      </c>
      <c r="C395" t="s">
        <v>1019</v>
      </c>
      <c r="D395"/>
      <c r="E395" s="3" t="s">
        <v>621</v>
      </c>
      <c r="F395" s="11" t="b">
        <f t="shared" si="6"/>
        <v>0</v>
      </c>
      <c r="G395" s="11" t="s">
        <v>402</v>
      </c>
      <c r="H395" s="1" t="s">
        <v>275</v>
      </c>
      <c r="J395" s="14" t="s">
        <v>624</v>
      </c>
      <c r="K395" s="2" t="s">
        <v>1261</v>
      </c>
      <c r="L395" s="2" t="s">
        <v>686</v>
      </c>
      <c r="Q395"/>
    </row>
    <row r="396" spans="1:17" ht="14.4" hidden="1" x14ac:dyDescent="0.3">
      <c r="A396" s="2">
        <v>34120</v>
      </c>
      <c r="B396" s="8" t="s">
        <v>237</v>
      </c>
      <c r="C396" t="s">
        <v>723</v>
      </c>
      <c r="D396"/>
      <c r="E396" s="3" t="s">
        <v>621</v>
      </c>
      <c r="F396" s="11" t="b">
        <f t="shared" si="6"/>
        <v>0</v>
      </c>
      <c r="G396" s="11" t="s">
        <v>408</v>
      </c>
      <c r="H396" s="1" t="s">
        <v>15</v>
      </c>
      <c r="J396" s="14" t="s">
        <v>624</v>
      </c>
      <c r="K396" s="2" t="s">
        <v>1259</v>
      </c>
      <c r="L396" s="2" t="s">
        <v>686</v>
      </c>
      <c r="Q396"/>
    </row>
    <row r="397" spans="1:17" ht="14.4" hidden="1" x14ac:dyDescent="0.3">
      <c r="A397" s="2">
        <v>33670</v>
      </c>
      <c r="B397" s="8" t="s">
        <v>134</v>
      </c>
      <c r="C397" t="s">
        <v>706</v>
      </c>
      <c r="D397"/>
      <c r="E397" s="3" t="s">
        <v>621</v>
      </c>
      <c r="F397" s="11" t="b">
        <f t="shared" si="6"/>
        <v>0</v>
      </c>
      <c r="G397" s="11" t="s">
        <v>397</v>
      </c>
      <c r="H397" s="1" t="s">
        <v>3</v>
      </c>
      <c r="J397" s="14" t="s">
        <v>624</v>
      </c>
      <c r="K397" s="2" t="s">
        <v>1259</v>
      </c>
      <c r="L397" s="2" t="s">
        <v>686</v>
      </c>
      <c r="Q397"/>
    </row>
    <row r="398" spans="1:17" ht="14.4" hidden="1" x14ac:dyDescent="0.3">
      <c r="A398" s="2">
        <v>56556</v>
      </c>
      <c r="B398" s="8" t="s">
        <v>113</v>
      </c>
      <c r="C398" t="s">
        <v>903</v>
      </c>
      <c r="D398"/>
      <c r="E398" s="3" t="s">
        <v>621</v>
      </c>
      <c r="F398" s="11" t="b">
        <f t="shared" si="6"/>
        <v>0</v>
      </c>
      <c r="G398" s="11" t="s">
        <v>400</v>
      </c>
      <c r="H398" s="1" t="s">
        <v>269</v>
      </c>
      <c r="J398" s="14" t="s">
        <v>624</v>
      </c>
      <c r="K398" s="2" t="s">
        <v>1263</v>
      </c>
      <c r="L398" s="2" t="s">
        <v>686</v>
      </c>
      <c r="Q398"/>
    </row>
    <row r="399" spans="1:17" ht="14.4" hidden="1" x14ac:dyDescent="0.3">
      <c r="A399" s="2">
        <v>33120</v>
      </c>
      <c r="B399" s="8" t="s">
        <v>194</v>
      </c>
      <c r="C399" t="s">
        <v>692</v>
      </c>
      <c r="D399"/>
      <c r="E399" s="3" t="s">
        <v>621</v>
      </c>
      <c r="F399" s="11" t="b">
        <f t="shared" si="6"/>
        <v>0</v>
      </c>
      <c r="G399" s="11" t="s">
        <v>409</v>
      </c>
      <c r="H399" s="1" t="s">
        <v>284</v>
      </c>
      <c r="J399" s="14" t="s">
        <v>624</v>
      </c>
      <c r="K399" s="2" t="s">
        <v>1259</v>
      </c>
      <c r="L399" s="2" t="s">
        <v>686</v>
      </c>
      <c r="Q399"/>
    </row>
    <row r="400" spans="1:17" ht="14.4" hidden="1" x14ac:dyDescent="0.3">
      <c r="A400" s="2">
        <v>33658</v>
      </c>
      <c r="B400" s="8" t="s">
        <v>109</v>
      </c>
      <c r="C400" t="s">
        <v>705</v>
      </c>
      <c r="D400"/>
      <c r="E400" s="3" t="s">
        <v>621</v>
      </c>
      <c r="F400" s="11" t="b">
        <f t="shared" si="6"/>
        <v>0</v>
      </c>
      <c r="G400" s="11" t="s">
        <v>408</v>
      </c>
      <c r="H400" s="1" t="s">
        <v>284</v>
      </c>
      <c r="J400" s="14" t="s">
        <v>624</v>
      </c>
      <c r="K400" s="2" t="s">
        <v>1259</v>
      </c>
      <c r="L400" s="2" t="s">
        <v>686</v>
      </c>
      <c r="Q400"/>
    </row>
    <row r="401" spans="1:17" ht="14.4" hidden="1" x14ac:dyDescent="0.3">
      <c r="A401" s="2">
        <v>39574</v>
      </c>
      <c r="B401" s="8" t="s">
        <v>446</v>
      </c>
      <c r="C401" t="s">
        <v>798</v>
      </c>
      <c r="D401"/>
      <c r="E401" s="3" t="s">
        <v>621</v>
      </c>
      <c r="F401" s="11" t="b">
        <f t="shared" si="6"/>
        <v>0</v>
      </c>
      <c r="G401" s="11" t="s">
        <v>409</v>
      </c>
      <c r="H401" s="1" t="s">
        <v>287</v>
      </c>
      <c r="J401" s="14" t="s">
        <v>624</v>
      </c>
      <c r="K401" s="2" t="s">
        <v>1259</v>
      </c>
      <c r="L401" s="2" t="s">
        <v>686</v>
      </c>
      <c r="Q401"/>
    </row>
    <row r="402" spans="1:17" ht="14.4" hidden="1" x14ac:dyDescent="0.3">
      <c r="A402" s="2">
        <v>39823</v>
      </c>
      <c r="B402" s="8" t="s">
        <v>90</v>
      </c>
      <c r="C402" t="s">
        <v>822</v>
      </c>
      <c r="D402"/>
      <c r="E402" s="3" t="s">
        <v>621</v>
      </c>
      <c r="F402" s="11" t="b">
        <f t="shared" si="6"/>
        <v>0</v>
      </c>
      <c r="G402" s="11" t="s">
        <v>399</v>
      </c>
      <c r="H402" s="1" t="s">
        <v>269</v>
      </c>
      <c r="J402" s="14" t="s">
        <v>624</v>
      </c>
      <c r="K402" s="2" t="s">
        <v>1260</v>
      </c>
      <c r="L402" s="2" t="s">
        <v>686</v>
      </c>
      <c r="Q402"/>
    </row>
    <row r="403" spans="1:17" ht="14.4" hidden="1" x14ac:dyDescent="0.3">
      <c r="A403" s="2">
        <v>39859</v>
      </c>
      <c r="B403" s="8" t="s">
        <v>89</v>
      </c>
      <c r="C403" t="s">
        <v>841</v>
      </c>
      <c r="D403"/>
      <c r="E403" s="3" t="s">
        <v>621</v>
      </c>
      <c r="F403" s="11" t="b">
        <f t="shared" si="6"/>
        <v>0</v>
      </c>
      <c r="G403" s="11" t="s">
        <v>399</v>
      </c>
      <c r="H403" s="1" t="s">
        <v>273</v>
      </c>
      <c r="J403" s="14" t="s">
        <v>624</v>
      </c>
      <c r="K403" s="2" t="s">
        <v>1260</v>
      </c>
      <c r="L403" s="2" t="s">
        <v>686</v>
      </c>
      <c r="Q403"/>
    </row>
    <row r="404" spans="1:17" ht="14.4" hidden="1" x14ac:dyDescent="0.3">
      <c r="A404" s="2">
        <v>69917</v>
      </c>
      <c r="B404" s="8" t="s">
        <v>322</v>
      </c>
      <c r="C404" t="s">
        <v>1059</v>
      </c>
      <c r="D404"/>
      <c r="E404" s="3" t="s">
        <v>621</v>
      </c>
      <c r="F404" s="11" t="b">
        <f t="shared" si="6"/>
        <v>0</v>
      </c>
      <c r="G404" s="11" t="s">
        <v>403</v>
      </c>
      <c r="H404" s="1" t="s">
        <v>268</v>
      </c>
      <c r="J404" s="14" t="s">
        <v>624</v>
      </c>
      <c r="K404" s="2" t="s">
        <v>1260</v>
      </c>
      <c r="L404" s="2" t="s">
        <v>686</v>
      </c>
      <c r="Q404"/>
    </row>
    <row r="405" spans="1:17" ht="14.4" hidden="1" x14ac:dyDescent="0.3">
      <c r="A405" s="2">
        <v>56509</v>
      </c>
      <c r="B405" s="8" t="s">
        <v>127</v>
      </c>
      <c r="C405" t="s">
        <v>878</v>
      </c>
      <c r="D405"/>
      <c r="E405" s="3" t="s">
        <v>621</v>
      </c>
      <c r="F405" s="11" t="b">
        <f t="shared" si="6"/>
        <v>0</v>
      </c>
      <c r="G405" s="11" t="s">
        <v>400</v>
      </c>
      <c r="H405" s="1" t="s">
        <v>269</v>
      </c>
      <c r="J405" s="14" t="s">
        <v>624</v>
      </c>
      <c r="K405" s="2" t="s">
        <v>1263</v>
      </c>
      <c r="L405" s="2" t="s">
        <v>686</v>
      </c>
      <c r="Q405"/>
    </row>
    <row r="406" spans="1:17" ht="14.4" hidden="1" x14ac:dyDescent="0.3">
      <c r="A406" s="2">
        <v>7454</v>
      </c>
      <c r="B406" s="8" t="s">
        <v>424</v>
      </c>
      <c r="C406" s="2" t="s">
        <v>656</v>
      </c>
      <c r="E406" s="3" t="s">
        <v>621</v>
      </c>
      <c r="F406" s="11" t="b">
        <f t="shared" si="6"/>
        <v>0</v>
      </c>
      <c r="G406" s="11" t="s">
        <v>394</v>
      </c>
      <c r="H406" s="1" t="s">
        <v>293</v>
      </c>
      <c r="J406" s="14" t="s">
        <v>624</v>
      </c>
      <c r="K406" s="2" t="s">
        <v>458</v>
      </c>
      <c r="L406" s="2" t="s">
        <v>623</v>
      </c>
    </row>
    <row r="407" spans="1:17" ht="14.4" hidden="1" x14ac:dyDescent="0.3">
      <c r="A407" s="2">
        <v>56513</v>
      </c>
      <c r="B407" s="8" t="s">
        <v>43</v>
      </c>
      <c r="C407" t="s">
        <v>881</v>
      </c>
      <c r="D407"/>
      <c r="E407" s="3" t="s">
        <v>621</v>
      </c>
      <c r="F407" s="11" t="b">
        <f t="shared" si="6"/>
        <v>0</v>
      </c>
      <c r="G407" s="11" t="s">
        <v>400</v>
      </c>
      <c r="H407" s="1" t="s">
        <v>272</v>
      </c>
      <c r="J407" s="14" t="s">
        <v>624</v>
      </c>
      <c r="K407" s="2" t="s">
        <v>1263</v>
      </c>
      <c r="L407" s="2" t="s">
        <v>686</v>
      </c>
      <c r="Q407"/>
    </row>
    <row r="408" spans="1:17" ht="14.4" x14ac:dyDescent="0.3">
      <c r="A408" s="2">
        <v>56638</v>
      </c>
      <c r="B408" s="8" t="s">
        <v>483</v>
      </c>
      <c r="C408" t="s">
        <v>941</v>
      </c>
      <c r="D408"/>
      <c r="E408" s="3" t="s">
        <v>621</v>
      </c>
      <c r="F408" s="11" t="b">
        <f t="shared" si="6"/>
        <v>0</v>
      </c>
      <c r="G408" s="11" t="s">
        <v>1265</v>
      </c>
      <c r="H408" s="1" t="s">
        <v>285</v>
      </c>
      <c r="J408" s="14" t="s">
        <v>624</v>
      </c>
      <c r="K408" s="2" t="s">
        <v>1289</v>
      </c>
      <c r="L408" s="2" t="s">
        <v>686</v>
      </c>
      <c r="Q408"/>
    </row>
    <row r="409" spans="1:17" ht="14.4" x14ac:dyDescent="0.3">
      <c r="A409" s="2">
        <v>56657</v>
      </c>
      <c r="B409" s="8" t="s">
        <v>492</v>
      </c>
      <c r="C409" t="s">
        <v>955</v>
      </c>
      <c r="D409"/>
      <c r="E409" s="3" t="s">
        <v>621</v>
      </c>
      <c r="F409" s="11" t="b">
        <f t="shared" si="6"/>
        <v>0</v>
      </c>
      <c r="G409" s="11" t="s">
        <v>1265</v>
      </c>
      <c r="H409" s="1" t="s">
        <v>284</v>
      </c>
      <c r="J409" s="14" t="s">
        <v>624</v>
      </c>
      <c r="K409" s="2" t="s">
        <v>1289</v>
      </c>
      <c r="L409" s="2" t="s">
        <v>686</v>
      </c>
      <c r="Q409"/>
    </row>
    <row r="410" spans="1:17" ht="14.4" hidden="1" x14ac:dyDescent="0.3">
      <c r="A410" s="2">
        <v>79910</v>
      </c>
      <c r="B410" s="8" t="s">
        <v>150</v>
      </c>
      <c r="C410" t="s">
        <v>1109</v>
      </c>
      <c r="D410"/>
      <c r="E410" s="3" t="s">
        <v>621</v>
      </c>
      <c r="F410" s="11" t="b">
        <f t="shared" si="6"/>
        <v>0</v>
      </c>
      <c r="G410" s="11" t="s">
        <v>404</v>
      </c>
      <c r="H410" s="1" t="s">
        <v>266</v>
      </c>
      <c r="J410" s="14" t="s">
        <v>624</v>
      </c>
      <c r="K410" s="2" t="s">
        <v>1263</v>
      </c>
      <c r="L410" s="2" t="s">
        <v>686</v>
      </c>
      <c r="Q410"/>
    </row>
    <row r="411" spans="1:17" ht="14.4" hidden="1" x14ac:dyDescent="0.3">
      <c r="A411" s="2">
        <v>33820</v>
      </c>
      <c r="B411" s="8" t="s">
        <v>195</v>
      </c>
      <c r="C411" t="s">
        <v>719</v>
      </c>
      <c r="D411"/>
      <c r="E411" s="3" t="s">
        <v>621</v>
      </c>
      <c r="F411" s="11" t="b">
        <f t="shared" si="6"/>
        <v>0</v>
      </c>
      <c r="G411" s="11" t="s">
        <v>408</v>
      </c>
      <c r="H411" s="1" t="s">
        <v>287</v>
      </c>
      <c r="J411" s="14" t="s">
        <v>624</v>
      </c>
      <c r="K411" s="2" t="s">
        <v>1259</v>
      </c>
      <c r="L411" s="2" t="s">
        <v>686</v>
      </c>
      <c r="Q411"/>
    </row>
    <row r="412" spans="1:17" ht="14.4" hidden="1" x14ac:dyDescent="0.3">
      <c r="A412" s="2">
        <v>39225</v>
      </c>
      <c r="B412" s="8" t="s">
        <v>35</v>
      </c>
      <c r="C412" t="s">
        <v>749</v>
      </c>
      <c r="D412"/>
      <c r="E412" s="3" t="s">
        <v>621</v>
      </c>
      <c r="F412" s="11" t="b">
        <f t="shared" si="6"/>
        <v>0</v>
      </c>
      <c r="G412" s="11" t="s">
        <v>398</v>
      </c>
      <c r="H412" s="1" t="s">
        <v>270</v>
      </c>
      <c r="J412" s="14" t="s">
        <v>624</v>
      </c>
      <c r="K412" s="2" t="s">
        <v>1262</v>
      </c>
      <c r="L412" s="2" t="s">
        <v>686</v>
      </c>
      <c r="Q412"/>
    </row>
    <row r="413" spans="1:17" ht="14.4" hidden="1" x14ac:dyDescent="0.3">
      <c r="A413" s="2">
        <v>69915</v>
      </c>
      <c r="B413" s="8" t="s">
        <v>321</v>
      </c>
      <c r="C413" t="s">
        <v>1058</v>
      </c>
      <c r="D413"/>
      <c r="E413" s="3" t="s">
        <v>621</v>
      </c>
      <c r="F413" s="11" t="b">
        <f t="shared" si="6"/>
        <v>0</v>
      </c>
      <c r="G413" s="11" t="s">
        <v>403</v>
      </c>
      <c r="H413" s="1" t="s">
        <v>267</v>
      </c>
      <c r="J413" s="14" t="s">
        <v>624</v>
      </c>
      <c r="K413" s="2" t="s">
        <v>1260</v>
      </c>
      <c r="L413" s="2" t="s">
        <v>686</v>
      </c>
      <c r="Q413"/>
    </row>
    <row r="414" spans="1:17" ht="14.4" hidden="1" x14ac:dyDescent="0.3">
      <c r="A414" s="2">
        <v>33835</v>
      </c>
      <c r="B414" s="8" t="s">
        <v>196</v>
      </c>
      <c r="C414" t="s">
        <v>720</v>
      </c>
      <c r="D414"/>
      <c r="E414" s="3" t="s">
        <v>621</v>
      </c>
      <c r="F414" s="11" t="b">
        <f t="shared" si="6"/>
        <v>0</v>
      </c>
      <c r="G414" s="11" t="s">
        <v>408</v>
      </c>
      <c r="H414" s="1" t="s">
        <v>287</v>
      </c>
      <c r="J414" s="14" t="s">
        <v>624</v>
      </c>
      <c r="K414" s="2" t="s">
        <v>1259</v>
      </c>
      <c r="L414" s="2" t="s">
        <v>686</v>
      </c>
      <c r="Q414"/>
    </row>
    <row r="415" spans="1:17" ht="14.4" hidden="1" x14ac:dyDescent="0.3">
      <c r="A415" s="2">
        <v>80523</v>
      </c>
      <c r="B415" s="8" t="s">
        <v>362</v>
      </c>
      <c r="C415" s="2" t="s">
        <v>1159</v>
      </c>
      <c r="E415" s="3" t="s">
        <v>621</v>
      </c>
      <c r="F415" s="11" t="b">
        <f t="shared" si="6"/>
        <v>0</v>
      </c>
      <c r="G415" s="11" t="s">
        <v>405</v>
      </c>
      <c r="H415" s="1" t="s">
        <v>436</v>
      </c>
      <c r="J415" s="14" t="s">
        <v>624</v>
      </c>
      <c r="K415" s="2" t="s">
        <v>1262</v>
      </c>
      <c r="L415" s="2" t="s">
        <v>623</v>
      </c>
    </row>
    <row r="416" spans="1:17" ht="14.4" hidden="1" x14ac:dyDescent="0.3">
      <c r="A416" s="2">
        <v>59958</v>
      </c>
      <c r="B416" s="8" t="s">
        <v>197</v>
      </c>
      <c r="C416" t="s">
        <v>1026</v>
      </c>
      <c r="D416"/>
      <c r="E416" s="3" t="s">
        <v>621</v>
      </c>
      <c r="F416" s="11" t="b">
        <f t="shared" si="6"/>
        <v>0</v>
      </c>
      <c r="G416" s="11" t="s">
        <v>402</v>
      </c>
      <c r="H416" s="1" t="s">
        <v>269</v>
      </c>
      <c r="J416" s="14" t="s">
        <v>624</v>
      </c>
      <c r="K416" s="2" t="s">
        <v>1261</v>
      </c>
      <c r="L416" s="2" t="s">
        <v>686</v>
      </c>
      <c r="Q416"/>
    </row>
    <row r="417" spans="1:17" ht="14.4" hidden="1" x14ac:dyDescent="0.3">
      <c r="A417" s="2">
        <v>59910</v>
      </c>
      <c r="B417" s="8" t="s">
        <v>76</v>
      </c>
      <c r="C417" t="s">
        <v>1003</v>
      </c>
      <c r="D417"/>
      <c r="E417" s="3" t="s">
        <v>621</v>
      </c>
      <c r="F417" s="11" t="b">
        <f t="shared" si="6"/>
        <v>0</v>
      </c>
      <c r="G417" s="11" t="s">
        <v>402</v>
      </c>
      <c r="H417" s="1" t="s">
        <v>266</v>
      </c>
      <c r="J417" s="14" t="s">
        <v>624</v>
      </c>
      <c r="K417" s="2" t="s">
        <v>1261</v>
      </c>
      <c r="L417" s="2" t="s">
        <v>686</v>
      </c>
      <c r="Q417"/>
    </row>
    <row r="418" spans="1:17" ht="14.4" hidden="1" x14ac:dyDescent="0.3">
      <c r="A418" s="2">
        <v>82510</v>
      </c>
      <c r="B418" s="8" t="s">
        <v>366</v>
      </c>
      <c r="C418" s="2" t="s">
        <v>1163</v>
      </c>
      <c r="E418" s="3" t="s">
        <v>621</v>
      </c>
      <c r="F418" s="11" t="b">
        <f t="shared" si="6"/>
        <v>0</v>
      </c>
      <c r="G418" s="11" t="s">
        <v>405</v>
      </c>
      <c r="H418" s="1" t="s">
        <v>436</v>
      </c>
      <c r="J418" s="14" t="s">
        <v>624</v>
      </c>
      <c r="K418" s="2" t="s">
        <v>458</v>
      </c>
      <c r="L418" s="2" t="s">
        <v>623</v>
      </c>
    </row>
    <row r="419" spans="1:17" ht="14.4" hidden="1" x14ac:dyDescent="0.3">
      <c r="A419" s="2">
        <v>7024</v>
      </c>
      <c r="B419" s="8" t="s">
        <v>1240</v>
      </c>
      <c r="C419" s="2" t="s">
        <v>1239</v>
      </c>
      <c r="E419" s="3" t="s">
        <v>620</v>
      </c>
      <c r="F419" s="11" t="b">
        <f t="shared" si="6"/>
        <v>0</v>
      </c>
      <c r="G419" s="11" t="s">
        <v>394</v>
      </c>
      <c r="J419" s="14" t="s">
        <v>628</v>
      </c>
      <c r="K419" s="2" t="s">
        <v>458</v>
      </c>
      <c r="L419" s="2" t="s">
        <v>623</v>
      </c>
    </row>
    <row r="420" spans="1:17" ht="14.4" hidden="1" x14ac:dyDescent="0.3">
      <c r="A420" s="2">
        <v>56510</v>
      </c>
      <c r="B420" s="8" t="s">
        <v>42</v>
      </c>
      <c r="C420" t="s">
        <v>879</v>
      </c>
      <c r="D420"/>
      <c r="E420" s="3" t="s">
        <v>621</v>
      </c>
      <c r="F420" s="11" t="b">
        <f t="shared" si="6"/>
        <v>0</v>
      </c>
      <c r="G420" s="11" t="s">
        <v>400</v>
      </c>
      <c r="H420" s="1" t="s">
        <v>275</v>
      </c>
      <c r="J420" s="14" t="s">
        <v>624</v>
      </c>
      <c r="K420" s="2" t="s">
        <v>1263</v>
      </c>
      <c r="L420" s="2" t="s">
        <v>686</v>
      </c>
      <c r="Q420"/>
    </row>
    <row r="421" spans="1:17" ht="14.4" hidden="1" x14ac:dyDescent="0.3">
      <c r="A421" s="2">
        <v>39210</v>
      </c>
      <c r="B421" s="8" t="s">
        <v>77</v>
      </c>
      <c r="C421" t="s">
        <v>743</v>
      </c>
      <c r="D421"/>
      <c r="E421" s="3" t="s">
        <v>621</v>
      </c>
      <c r="F421" s="11" t="b">
        <f t="shared" si="6"/>
        <v>0</v>
      </c>
      <c r="G421" s="11" t="s">
        <v>398</v>
      </c>
      <c r="H421" s="1" t="s">
        <v>266</v>
      </c>
      <c r="J421" s="14" t="s">
        <v>624</v>
      </c>
      <c r="K421" s="2" t="s">
        <v>1262</v>
      </c>
      <c r="L421" s="2" t="s">
        <v>686</v>
      </c>
      <c r="Q421"/>
    </row>
    <row r="422" spans="1:17" ht="14.4" hidden="1" x14ac:dyDescent="0.3">
      <c r="A422" s="2">
        <v>5099</v>
      </c>
      <c r="B422" s="8" t="s">
        <v>122</v>
      </c>
      <c r="C422" s="2" t="s">
        <v>630</v>
      </c>
      <c r="E422" s="3" t="s">
        <v>621</v>
      </c>
      <c r="F422" s="11" t="b">
        <f t="shared" si="6"/>
        <v>0</v>
      </c>
      <c r="G422" s="11" t="s">
        <v>119</v>
      </c>
      <c r="H422" s="1" t="s">
        <v>354</v>
      </c>
      <c r="J422" s="14" t="s">
        <v>624</v>
      </c>
      <c r="K422" s="2" t="s">
        <v>458</v>
      </c>
      <c r="L422" s="2" t="s">
        <v>623</v>
      </c>
    </row>
    <row r="423" spans="1:17" ht="14.4" hidden="1" x14ac:dyDescent="0.3">
      <c r="A423" s="2">
        <v>39848</v>
      </c>
      <c r="B423" s="8" t="s">
        <v>101</v>
      </c>
      <c r="C423" t="s">
        <v>833</v>
      </c>
      <c r="D423"/>
      <c r="E423" s="3" t="s">
        <v>621</v>
      </c>
      <c r="F423" s="11" t="b">
        <f t="shared" si="6"/>
        <v>0</v>
      </c>
      <c r="G423" s="11" t="s">
        <v>399</v>
      </c>
      <c r="H423" s="1" t="s">
        <v>275</v>
      </c>
      <c r="J423" s="14" t="s">
        <v>624</v>
      </c>
      <c r="K423" s="2" t="s">
        <v>1260</v>
      </c>
      <c r="L423" s="2" t="s">
        <v>686</v>
      </c>
      <c r="Q423"/>
    </row>
    <row r="424" spans="1:17" ht="14.4" x14ac:dyDescent="0.3">
      <c r="A424" s="2">
        <v>56639</v>
      </c>
      <c r="B424" s="8" t="s">
        <v>484</v>
      </c>
      <c r="C424" t="s">
        <v>942</v>
      </c>
      <c r="D424"/>
      <c r="E424" s="3" t="s">
        <v>621</v>
      </c>
      <c r="F424" s="11" t="b">
        <f t="shared" si="6"/>
        <v>0</v>
      </c>
      <c r="G424" s="11" t="s">
        <v>1265</v>
      </c>
      <c r="H424" s="1" t="s">
        <v>287</v>
      </c>
      <c r="J424" s="14" t="s">
        <v>624</v>
      </c>
      <c r="K424" s="2" t="s">
        <v>1289</v>
      </c>
      <c r="L424" s="2" t="s">
        <v>686</v>
      </c>
      <c r="Q424"/>
    </row>
    <row r="425" spans="1:17" ht="14.4" hidden="1" x14ac:dyDescent="0.3">
      <c r="A425" s="2">
        <v>80316</v>
      </c>
      <c r="B425" s="8" t="s">
        <v>357</v>
      </c>
      <c r="C425" s="2" t="s">
        <v>1154</v>
      </c>
      <c r="E425" s="3" t="s">
        <v>621</v>
      </c>
      <c r="F425" s="11" t="b">
        <f t="shared" si="6"/>
        <v>0</v>
      </c>
      <c r="G425" s="11" t="s">
        <v>405</v>
      </c>
      <c r="H425" s="1" t="s">
        <v>436</v>
      </c>
      <c r="J425" s="14" t="s">
        <v>624</v>
      </c>
      <c r="K425" s="2" t="s">
        <v>1262</v>
      </c>
      <c r="L425" s="2" t="s">
        <v>623</v>
      </c>
    </row>
    <row r="426" spans="1:17" ht="14.4" hidden="1" x14ac:dyDescent="0.3">
      <c r="A426" s="2">
        <v>33100</v>
      </c>
      <c r="B426" s="8" t="s">
        <v>13</v>
      </c>
      <c r="C426" t="s">
        <v>690</v>
      </c>
      <c r="D426"/>
      <c r="E426" s="3" t="s">
        <v>621</v>
      </c>
      <c r="F426" s="11" t="b">
        <f t="shared" si="6"/>
        <v>0</v>
      </c>
      <c r="G426" s="11" t="s">
        <v>408</v>
      </c>
      <c r="H426" s="1" t="s">
        <v>284</v>
      </c>
      <c r="J426" s="14" t="s">
        <v>624</v>
      </c>
      <c r="K426" s="2" t="s">
        <v>1259</v>
      </c>
      <c r="L426" s="2" t="s">
        <v>686</v>
      </c>
      <c r="Q426"/>
    </row>
    <row r="427" spans="1:17" ht="14.4" hidden="1" x14ac:dyDescent="0.3">
      <c r="A427" s="2">
        <v>34240</v>
      </c>
      <c r="B427" s="8" t="s">
        <v>431</v>
      </c>
      <c r="C427" t="s">
        <v>726</v>
      </c>
      <c r="D427"/>
      <c r="E427" s="3" t="s">
        <v>621</v>
      </c>
      <c r="F427" s="11" t="b">
        <f t="shared" si="6"/>
        <v>0</v>
      </c>
      <c r="G427" s="11" t="s">
        <v>409</v>
      </c>
      <c r="H427" s="1" t="s">
        <v>289</v>
      </c>
      <c r="J427" s="14" t="s">
        <v>624</v>
      </c>
      <c r="K427" s="2" t="s">
        <v>1259</v>
      </c>
      <c r="L427" s="2" t="s">
        <v>686</v>
      </c>
      <c r="Q427"/>
    </row>
    <row r="428" spans="1:17" ht="14.4" hidden="1" x14ac:dyDescent="0.3">
      <c r="A428" s="2">
        <v>59938</v>
      </c>
      <c r="B428" s="8" t="s">
        <v>64</v>
      </c>
      <c r="C428" t="s">
        <v>1015</v>
      </c>
      <c r="D428"/>
      <c r="E428" s="3" t="s">
        <v>621</v>
      </c>
      <c r="F428" s="11" t="b">
        <f t="shared" si="6"/>
        <v>0</v>
      </c>
      <c r="G428" s="11" t="s">
        <v>402</v>
      </c>
      <c r="H428" s="1" t="s">
        <v>272</v>
      </c>
      <c r="J428" s="14" t="s">
        <v>624</v>
      </c>
      <c r="K428" s="2" t="s">
        <v>1261</v>
      </c>
      <c r="L428" s="2" t="s">
        <v>686</v>
      </c>
      <c r="Q428"/>
    </row>
    <row r="429" spans="1:17" ht="14.4" hidden="1" x14ac:dyDescent="0.3">
      <c r="A429" s="2">
        <v>82318</v>
      </c>
      <c r="B429" s="8" t="s">
        <v>364</v>
      </c>
      <c r="C429" s="2" t="s">
        <v>1161</v>
      </c>
      <c r="E429" s="3" t="s">
        <v>621</v>
      </c>
      <c r="F429" s="11" t="b">
        <f t="shared" si="6"/>
        <v>0</v>
      </c>
      <c r="G429" s="11" t="s">
        <v>405</v>
      </c>
      <c r="H429" s="1" t="s">
        <v>437</v>
      </c>
      <c r="J429" s="14" t="s">
        <v>624</v>
      </c>
      <c r="K429" s="2" t="s">
        <v>1262</v>
      </c>
      <c r="L429" s="2" t="s">
        <v>623</v>
      </c>
    </row>
    <row r="430" spans="1:17" ht="14.4" hidden="1" x14ac:dyDescent="0.3">
      <c r="A430" s="2">
        <v>80616</v>
      </c>
      <c r="B430" s="8" t="s">
        <v>1242</v>
      </c>
      <c r="C430" s="2" t="s">
        <v>1241</v>
      </c>
      <c r="E430" s="3" t="s">
        <v>620</v>
      </c>
      <c r="F430" s="11" t="b">
        <f t="shared" si="6"/>
        <v>0</v>
      </c>
      <c r="G430" s="11" t="s">
        <v>405</v>
      </c>
      <c r="J430" s="14" t="s">
        <v>624</v>
      </c>
      <c r="K430" s="2" t="s">
        <v>458</v>
      </c>
      <c r="L430" s="2" t="s">
        <v>623</v>
      </c>
    </row>
    <row r="431" spans="1:17" ht="14.4" hidden="1" x14ac:dyDescent="0.3">
      <c r="A431" s="2">
        <v>33570</v>
      </c>
      <c r="B431" s="8" t="s">
        <v>2</v>
      </c>
      <c r="C431" t="s">
        <v>698</v>
      </c>
      <c r="D431"/>
      <c r="E431" s="3" t="s">
        <v>621</v>
      </c>
      <c r="F431" s="11" t="b">
        <f t="shared" si="6"/>
        <v>0</v>
      </c>
      <c r="G431" s="11" t="s">
        <v>396</v>
      </c>
      <c r="H431" s="1" t="s">
        <v>3</v>
      </c>
      <c r="J431" s="14" t="s">
        <v>624</v>
      </c>
      <c r="K431" s="2" t="s">
        <v>1259</v>
      </c>
      <c r="L431" s="2" t="s">
        <v>686</v>
      </c>
      <c r="Q431"/>
    </row>
    <row r="432" spans="1:17" ht="14.4" hidden="1" x14ac:dyDescent="0.3">
      <c r="A432" s="2">
        <v>56777</v>
      </c>
      <c r="B432" s="8" t="s">
        <v>514</v>
      </c>
      <c r="C432" t="s">
        <v>980</v>
      </c>
      <c r="D432"/>
      <c r="E432" s="3" t="s">
        <v>621</v>
      </c>
      <c r="F432" s="11" t="b">
        <f t="shared" si="6"/>
        <v>0</v>
      </c>
      <c r="G432" s="11" t="s">
        <v>459</v>
      </c>
      <c r="H432" s="1" t="s">
        <v>287</v>
      </c>
      <c r="J432" s="14" t="s">
        <v>624</v>
      </c>
      <c r="K432" s="2" t="s">
        <v>1262</v>
      </c>
      <c r="L432" s="2" t="s">
        <v>686</v>
      </c>
      <c r="Q432"/>
    </row>
    <row r="433" spans="1:17" ht="14.4" hidden="1" x14ac:dyDescent="0.3">
      <c r="A433" s="2">
        <v>7466</v>
      </c>
      <c r="B433" s="8" t="s">
        <v>1244</v>
      </c>
      <c r="C433" s="2" t="s">
        <v>1243</v>
      </c>
      <c r="E433" s="3" t="s">
        <v>620</v>
      </c>
      <c r="F433" s="11" t="b">
        <f t="shared" si="6"/>
        <v>0</v>
      </c>
      <c r="G433" s="11" t="s">
        <v>394</v>
      </c>
      <c r="J433" s="14" t="s">
        <v>624</v>
      </c>
      <c r="K433" s="2" t="s">
        <v>458</v>
      </c>
      <c r="L433" s="2" t="s">
        <v>623</v>
      </c>
    </row>
    <row r="434" spans="1:17" ht="14.4" hidden="1" x14ac:dyDescent="0.3">
      <c r="A434" s="2">
        <v>52821</v>
      </c>
      <c r="B434" s="8" t="s">
        <v>120</v>
      </c>
      <c r="C434" s="2" t="s">
        <v>869</v>
      </c>
      <c r="E434" s="3" t="s">
        <v>621</v>
      </c>
      <c r="F434" s="11" t="b">
        <f t="shared" si="6"/>
        <v>0</v>
      </c>
      <c r="G434" s="11" t="s">
        <v>405</v>
      </c>
      <c r="H434" s="1" t="s">
        <v>265</v>
      </c>
      <c r="J434" s="14" t="s">
        <v>624</v>
      </c>
      <c r="K434" s="2" t="s">
        <v>458</v>
      </c>
      <c r="L434" s="2" t="s">
        <v>623</v>
      </c>
    </row>
    <row r="435" spans="1:17" ht="14.4" hidden="1" x14ac:dyDescent="0.3">
      <c r="A435" s="2">
        <v>56543</v>
      </c>
      <c r="B435" s="8" t="s">
        <v>75</v>
      </c>
      <c r="C435" t="s">
        <v>893</v>
      </c>
      <c r="D435"/>
      <c r="E435" s="3" t="s">
        <v>621</v>
      </c>
      <c r="F435" s="11" t="b">
        <f t="shared" si="6"/>
        <v>0</v>
      </c>
      <c r="G435" s="11" t="s">
        <v>400</v>
      </c>
      <c r="H435" s="1" t="s">
        <v>274</v>
      </c>
      <c r="J435" s="14" t="s">
        <v>624</v>
      </c>
      <c r="K435" s="2" t="s">
        <v>1263</v>
      </c>
      <c r="L435" s="2" t="s">
        <v>686</v>
      </c>
      <c r="Q435"/>
    </row>
    <row r="436" spans="1:17" ht="14.4" hidden="1" x14ac:dyDescent="0.3">
      <c r="A436" s="2">
        <v>33119</v>
      </c>
      <c r="B436" s="8" t="s">
        <v>193</v>
      </c>
      <c r="C436" t="s">
        <v>691</v>
      </c>
      <c r="D436"/>
      <c r="E436" s="3" t="s">
        <v>621</v>
      </c>
      <c r="F436" s="11" t="b">
        <f t="shared" si="6"/>
        <v>0</v>
      </c>
      <c r="G436" s="11" t="s">
        <v>409</v>
      </c>
      <c r="H436" s="1" t="s">
        <v>284</v>
      </c>
      <c r="J436" s="14" t="s">
        <v>624</v>
      </c>
      <c r="K436" s="2" t="s">
        <v>1259</v>
      </c>
      <c r="L436" s="2" t="s">
        <v>686</v>
      </c>
      <c r="Q436"/>
    </row>
    <row r="437" spans="1:17" ht="14.4" hidden="1" x14ac:dyDescent="0.3">
      <c r="A437" s="2">
        <v>79948</v>
      </c>
      <c r="B437" s="8" t="s">
        <v>151</v>
      </c>
      <c r="C437" t="s">
        <v>1125</v>
      </c>
      <c r="D437"/>
      <c r="E437" s="3" t="s">
        <v>621</v>
      </c>
      <c r="F437" s="11" t="b">
        <f t="shared" si="6"/>
        <v>0</v>
      </c>
      <c r="G437" s="11" t="s">
        <v>404</v>
      </c>
      <c r="H437" s="1" t="s">
        <v>275</v>
      </c>
      <c r="J437" s="14" t="s">
        <v>624</v>
      </c>
      <c r="K437" s="2" t="s">
        <v>1263</v>
      </c>
      <c r="L437" s="2" t="s">
        <v>686</v>
      </c>
      <c r="Q437"/>
    </row>
    <row r="438" spans="1:17" ht="14.4" hidden="1" x14ac:dyDescent="0.3">
      <c r="A438" s="2">
        <v>5051</v>
      </c>
      <c r="B438" s="8" t="s">
        <v>110</v>
      </c>
      <c r="C438" s="2" t="s">
        <v>626</v>
      </c>
      <c r="E438" s="3" t="s">
        <v>621</v>
      </c>
      <c r="F438" s="11" t="b">
        <f t="shared" si="6"/>
        <v>0</v>
      </c>
      <c r="G438" s="11" t="s">
        <v>119</v>
      </c>
      <c r="H438" s="1" t="s">
        <v>354</v>
      </c>
      <c r="J438" s="14" t="s">
        <v>624</v>
      </c>
      <c r="K438" s="2" t="s">
        <v>458</v>
      </c>
      <c r="L438" s="2" t="s">
        <v>623</v>
      </c>
    </row>
    <row r="439" spans="1:17" ht="14.4" hidden="1" x14ac:dyDescent="0.3">
      <c r="A439" s="2">
        <v>56740</v>
      </c>
      <c r="B439" s="8" t="s">
        <v>513</v>
      </c>
      <c r="C439" t="s">
        <v>979</v>
      </c>
      <c r="D439"/>
      <c r="E439" s="3" t="s">
        <v>621</v>
      </c>
      <c r="F439" s="11" t="b">
        <f t="shared" si="6"/>
        <v>0</v>
      </c>
      <c r="G439" s="11" t="s">
        <v>459</v>
      </c>
      <c r="H439" s="1" t="s">
        <v>286</v>
      </c>
      <c r="J439" s="14" t="s">
        <v>624</v>
      </c>
      <c r="K439" s="2" t="s">
        <v>1262</v>
      </c>
      <c r="L439" s="2" t="s">
        <v>686</v>
      </c>
      <c r="Q439"/>
    </row>
    <row r="440" spans="1:17" ht="14.4" hidden="1" x14ac:dyDescent="0.3">
      <c r="A440" s="2">
        <v>56738</v>
      </c>
      <c r="B440" s="8" t="s">
        <v>512</v>
      </c>
      <c r="C440" t="s">
        <v>977</v>
      </c>
      <c r="D440"/>
      <c r="E440" s="3" t="s">
        <v>621</v>
      </c>
      <c r="F440" s="11" t="b">
        <f t="shared" si="6"/>
        <v>0</v>
      </c>
      <c r="G440" s="11" t="s">
        <v>459</v>
      </c>
      <c r="H440" s="1" t="s">
        <v>285</v>
      </c>
      <c r="J440" s="14" t="s">
        <v>624</v>
      </c>
      <c r="K440" s="2" t="s">
        <v>1262</v>
      </c>
      <c r="L440" s="2" t="s">
        <v>686</v>
      </c>
      <c r="Q440"/>
    </row>
    <row r="441" spans="1:17" ht="14.4" hidden="1" x14ac:dyDescent="0.3">
      <c r="A441" s="2">
        <v>56739</v>
      </c>
      <c r="B441" s="8" t="s">
        <v>516</v>
      </c>
      <c r="C441" t="s">
        <v>978</v>
      </c>
      <c r="D441"/>
      <c r="E441" s="3" t="s">
        <v>621</v>
      </c>
      <c r="F441" s="11" t="b">
        <f t="shared" si="6"/>
        <v>0</v>
      </c>
      <c r="G441" s="11" t="s">
        <v>459</v>
      </c>
      <c r="H441" s="1" t="s">
        <v>287</v>
      </c>
      <c r="J441" s="14" t="s">
        <v>624</v>
      </c>
      <c r="K441" s="2" t="s">
        <v>1262</v>
      </c>
      <c r="L441" s="2" t="s">
        <v>686</v>
      </c>
      <c r="Q441"/>
    </row>
    <row r="442" spans="1:17" ht="14.4" hidden="1" x14ac:dyDescent="0.3">
      <c r="A442" s="2">
        <v>56778</v>
      </c>
      <c r="B442" s="8" t="s">
        <v>515</v>
      </c>
      <c r="C442" t="s">
        <v>981</v>
      </c>
      <c r="D442"/>
      <c r="E442" s="3" t="s">
        <v>621</v>
      </c>
      <c r="F442" s="11" t="b">
        <f t="shared" si="6"/>
        <v>0</v>
      </c>
      <c r="G442" s="11" t="s">
        <v>459</v>
      </c>
      <c r="H442" s="1" t="s">
        <v>287</v>
      </c>
      <c r="J442" s="14" t="s">
        <v>624</v>
      </c>
      <c r="K442" s="2" t="s">
        <v>1262</v>
      </c>
      <c r="L442" s="2" t="s">
        <v>686</v>
      </c>
      <c r="Q442"/>
    </row>
    <row r="443" spans="1:17" ht="14.4" x14ac:dyDescent="0.3">
      <c r="A443" s="2">
        <v>56660</v>
      </c>
      <c r="B443" s="8" t="s">
        <v>493</v>
      </c>
      <c r="C443" t="s">
        <v>957</v>
      </c>
      <c r="D443"/>
      <c r="E443" s="3" t="s">
        <v>621</v>
      </c>
      <c r="F443" s="11" t="b">
        <f t="shared" si="6"/>
        <v>0</v>
      </c>
      <c r="G443" s="11" t="s">
        <v>1265</v>
      </c>
      <c r="H443" s="1" t="s">
        <v>276</v>
      </c>
      <c r="J443" s="14" t="s">
        <v>624</v>
      </c>
      <c r="K443" s="2" t="s">
        <v>1289</v>
      </c>
      <c r="L443" s="2" t="s">
        <v>686</v>
      </c>
      <c r="Q443"/>
    </row>
    <row r="444" spans="1:17" ht="14.4" hidden="1" x14ac:dyDescent="0.3">
      <c r="A444" s="2">
        <v>81217</v>
      </c>
      <c r="B444" s="8" t="s">
        <v>363</v>
      </c>
      <c r="C444" s="2" t="s">
        <v>1160</v>
      </c>
      <c r="E444" s="3" t="s">
        <v>621</v>
      </c>
      <c r="F444" s="11" t="b">
        <f t="shared" si="6"/>
        <v>0</v>
      </c>
      <c r="G444" s="11" t="s">
        <v>405</v>
      </c>
      <c r="H444" s="1" t="s">
        <v>436</v>
      </c>
      <c r="J444" s="14" t="s">
        <v>624</v>
      </c>
      <c r="K444" s="2" t="s">
        <v>458</v>
      </c>
      <c r="L444" s="2" t="s">
        <v>623</v>
      </c>
    </row>
    <row r="445" spans="1:17" ht="14.4" hidden="1" x14ac:dyDescent="0.3">
      <c r="A445" s="2">
        <v>34222</v>
      </c>
      <c r="B445" s="8" t="s">
        <v>74</v>
      </c>
      <c r="C445" t="s">
        <v>725</v>
      </c>
      <c r="D445"/>
      <c r="E445" s="3" t="s">
        <v>621</v>
      </c>
      <c r="F445" s="11" t="b">
        <f t="shared" si="6"/>
        <v>0</v>
      </c>
      <c r="G445" s="11" t="s">
        <v>408</v>
      </c>
      <c r="H445" s="1" t="s">
        <v>289</v>
      </c>
      <c r="J445" s="14" t="s">
        <v>624</v>
      </c>
      <c r="K445" s="2" t="s">
        <v>1259</v>
      </c>
      <c r="L445" s="2" t="s">
        <v>686</v>
      </c>
      <c r="Q445"/>
    </row>
    <row r="446" spans="1:17" ht="14.4" hidden="1" x14ac:dyDescent="0.3">
      <c r="A446" s="2">
        <v>39566</v>
      </c>
      <c r="B446" s="8" t="s">
        <v>438</v>
      </c>
      <c r="C446" t="s">
        <v>792</v>
      </c>
      <c r="D446"/>
      <c r="E446" s="3" t="s">
        <v>621</v>
      </c>
      <c r="F446" s="11" t="b">
        <f t="shared" si="6"/>
        <v>0</v>
      </c>
      <c r="G446" s="11" t="s">
        <v>409</v>
      </c>
      <c r="H446" s="1" t="s">
        <v>15</v>
      </c>
      <c r="J446" s="14" t="s">
        <v>624</v>
      </c>
      <c r="K446" s="2" t="s">
        <v>1259</v>
      </c>
      <c r="L446" s="2" t="s">
        <v>686</v>
      </c>
      <c r="Q446"/>
    </row>
    <row r="447" spans="1:17" ht="14.4" hidden="1" x14ac:dyDescent="0.3">
      <c r="A447" s="2">
        <v>56866</v>
      </c>
      <c r="B447" s="8" t="s">
        <v>411</v>
      </c>
      <c r="C447" s="2" t="s">
        <v>984</v>
      </c>
      <c r="E447" s="3" t="s">
        <v>621</v>
      </c>
      <c r="F447" s="11" t="b">
        <f t="shared" si="6"/>
        <v>0</v>
      </c>
      <c r="G447" s="11" t="s">
        <v>405</v>
      </c>
      <c r="H447" s="1" t="s">
        <v>10</v>
      </c>
      <c r="J447" s="14" t="s">
        <v>624</v>
      </c>
      <c r="K447" s="2" t="s">
        <v>458</v>
      </c>
      <c r="L447" s="2" t="s">
        <v>623</v>
      </c>
    </row>
    <row r="448" spans="1:17" ht="14.4" hidden="1" x14ac:dyDescent="0.3">
      <c r="A448" s="2">
        <v>33779</v>
      </c>
      <c r="B448" s="8" t="s">
        <v>230</v>
      </c>
      <c r="C448" t="s">
        <v>716</v>
      </c>
      <c r="D448"/>
      <c r="E448" s="3" t="s">
        <v>621</v>
      </c>
      <c r="F448" s="11" t="b">
        <f t="shared" si="6"/>
        <v>0</v>
      </c>
      <c r="G448" s="11" t="s">
        <v>408</v>
      </c>
      <c r="H448" s="1" t="s">
        <v>287</v>
      </c>
      <c r="J448" s="14" t="s">
        <v>624</v>
      </c>
      <c r="K448" s="2" t="s">
        <v>1259</v>
      </c>
      <c r="L448" s="2" t="s">
        <v>686</v>
      </c>
      <c r="Q448"/>
    </row>
    <row r="449" spans="1:17" ht="14.4" hidden="1" x14ac:dyDescent="0.3">
      <c r="A449" s="2">
        <v>33720</v>
      </c>
      <c r="B449" s="8" t="s">
        <v>233</v>
      </c>
      <c r="C449" t="s">
        <v>712</v>
      </c>
      <c r="D449"/>
      <c r="E449" s="3" t="s">
        <v>621</v>
      </c>
      <c r="F449" s="11" t="b">
        <f t="shared" si="6"/>
        <v>0</v>
      </c>
      <c r="G449" s="11" t="s">
        <v>408</v>
      </c>
      <c r="H449" s="1" t="s">
        <v>287</v>
      </c>
      <c r="J449" s="14" t="s">
        <v>624</v>
      </c>
      <c r="K449" s="2" t="s">
        <v>1259</v>
      </c>
      <c r="L449" s="2" t="s">
        <v>686</v>
      </c>
      <c r="Q449"/>
    </row>
    <row r="450" spans="1:17" ht="14.4" hidden="1" x14ac:dyDescent="0.3">
      <c r="A450" s="2">
        <v>33579</v>
      </c>
      <c r="B450" s="8" t="s">
        <v>282</v>
      </c>
      <c r="C450" t="s">
        <v>703</v>
      </c>
      <c r="D450"/>
      <c r="E450" s="3" t="s">
        <v>621</v>
      </c>
      <c r="F450" s="11" t="b">
        <f t="shared" ref="F450:F513" si="7">ISNUMBER(SEARCH($F$1,B450))</f>
        <v>0</v>
      </c>
      <c r="G450" s="11" t="s">
        <v>396</v>
      </c>
      <c r="H450" s="1" t="s">
        <v>3</v>
      </c>
      <c r="J450" s="14" t="s">
        <v>624</v>
      </c>
      <c r="K450" s="2" t="s">
        <v>1259</v>
      </c>
      <c r="L450" s="2" t="s">
        <v>686</v>
      </c>
      <c r="Q450"/>
    </row>
    <row r="451" spans="1:17" ht="14.4" hidden="1" x14ac:dyDescent="0.3">
      <c r="A451" s="2">
        <v>52818</v>
      </c>
      <c r="B451" s="8" t="s">
        <v>125</v>
      </c>
      <c r="C451" t="s">
        <v>866</v>
      </c>
      <c r="D451"/>
      <c r="E451" s="3" t="s">
        <v>621</v>
      </c>
      <c r="F451" s="11" t="b">
        <f t="shared" si="7"/>
        <v>0</v>
      </c>
      <c r="G451" s="11" t="s">
        <v>405</v>
      </c>
      <c r="H451" s="1" t="s">
        <v>283</v>
      </c>
      <c r="J451" s="14" t="s">
        <v>624</v>
      </c>
      <c r="K451" s="2" t="s">
        <v>1263</v>
      </c>
      <c r="L451" s="2" t="s">
        <v>686</v>
      </c>
      <c r="Q451"/>
    </row>
    <row r="452" spans="1:17" ht="14.4" hidden="1" x14ac:dyDescent="0.3">
      <c r="A452" s="2">
        <v>39573</v>
      </c>
      <c r="B452" s="8" t="s">
        <v>445</v>
      </c>
      <c r="C452" t="s">
        <v>797</v>
      </c>
      <c r="D452"/>
      <c r="E452" s="3" t="s">
        <v>621</v>
      </c>
      <c r="F452" s="11" t="b">
        <f t="shared" si="7"/>
        <v>0</v>
      </c>
      <c r="G452" s="11" t="s">
        <v>409</v>
      </c>
      <c r="H452" s="1" t="s">
        <v>287</v>
      </c>
      <c r="J452" s="14" t="s">
        <v>624</v>
      </c>
      <c r="K452" s="2" t="s">
        <v>1259</v>
      </c>
      <c r="L452" s="2" t="s">
        <v>686</v>
      </c>
      <c r="Q452"/>
    </row>
    <row r="453" spans="1:17" ht="14.4" hidden="1" x14ac:dyDescent="0.3">
      <c r="A453" s="2">
        <v>52819</v>
      </c>
      <c r="B453" s="8" t="s">
        <v>126</v>
      </c>
      <c r="C453" s="2" t="s">
        <v>867</v>
      </c>
      <c r="E453" s="3" t="s">
        <v>621</v>
      </c>
      <c r="F453" s="11" t="b">
        <f t="shared" si="7"/>
        <v>0</v>
      </c>
      <c r="G453" s="11" t="s">
        <v>405</v>
      </c>
      <c r="H453" s="1" t="s">
        <v>283</v>
      </c>
      <c r="J453" s="14" t="s">
        <v>624</v>
      </c>
      <c r="K453" s="2" t="s">
        <v>458</v>
      </c>
      <c r="L453" s="2" t="s">
        <v>623</v>
      </c>
    </row>
    <row r="454" spans="1:17" ht="14.4" hidden="1" x14ac:dyDescent="0.3">
      <c r="A454" s="2">
        <v>33807</v>
      </c>
      <c r="B454" s="8" t="s">
        <v>232</v>
      </c>
      <c r="C454" t="s">
        <v>718</v>
      </c>
      <c r="D454"/>
      <c r="E454" s="3" t="s">
        <v>621</v>
      </c>
      <c r="F454" s="11" t="b">
        <f t="shared" si="7"/>
        <v>0</v>
      </c>
      <c r="G454" s="11" t="s">
        <v>408</v>
      </c>
      <c r="H454" s="1" t="s">
        <v>287</v>
      </c>
      <c r="J454" s="14" t="s">
        <v>624</v>
      </c>
      <c r="K454" s="2" t="s">
        <v>1259</v>
      </c>
      <c r="L454" s="2" t="s">
        <v>686</v>
      </c>
      <c r="Q454"/>
    </row>
    <row r="455" spans="1:17" ht="14.4" hidden="1" x14ac:dyDescent="0.3">
      <c r="A455" s="2">
        <v>33782</v>
      </c>
      <c r="B455" s="8" t="s">
        <v>231</v>
      </c>
      <c r="C455" t="s">
        <v>717</v>
      </c>
      <c r="D455"/>
      <c r="E455" s="3" t="s">
        <v>621</v>
      </c>
      <c r="F455" s="11" t="b">
        <f t="shared" si="7"/>
        <v>0</v>
      </c>
      <c r="G455" s="11" t="s">
        <v>408</v>
      </c>
      <c r="H455" s="1" t="s">
        <v>287</v>
      </c>
      <c r="J455" s="14" t="s">
        <v>624</v>
      </c>
      <c r="K455" s="2" t="s">
        <v>1259</v>
      </c>
      <c r="L455" s="2" t="s">
        <v>686</v>
      </c>
      <c r="Q455"/>
    </row>
    <row r="456" spans="1:17" ht="14.4" hidden="1" x14ac:dyDescent="0.3">
      <c r="A456" s="2">
        <v>34220</v>
      </c>
      <c r="B456" s="8" t="s">
        <v>12</v>
      </c>
      <c r="C456" t="s">
        <v>724</v>
      </c>
      <c r="D456"/>
      <c r="E456" s="3" t="s">
        <v>621</v>
      </c>
      <c r="F456" s="11" t="b">
        <f t="shared" si="7"/>
        <v>0</v>
      </c>
      <c r="G456" s="11" t="s">
        <v>408</v>
      </c>
      <c r="H456" s="1" t="s">
        <v>289</v>
      </c>
      <c r="J456" s="14" t="s">
        <v>624</v>
      </c>
      <c r="K456" s="2" t="s">
        <v>1259</v>
      </c>
      <c r="L456" s="2" t="s">
        <v>686</v>
      </c>
      <c r="Q456"/>
    </row>
    <row r="457" spans="1:17" ht="14.4" x14ac:dyDescent="0.3">
      <c r="A457" s="2">
        <v>56678</v>
      </c>
      <c r="B457" s="8" t="s">
        <v>506</v>
      </c>
      <c r="C457" t="s">
        <v>971</v>
      </c>
      <c r="D457"/>
      <c r="E457" s="3" t="s">
        <v>621</v>
      </c>
      <c r="F457" s="11" t="b">
        <f t="shared" si="7"/>
        <v>0</v>
      </c>
      <c r="G457" s="11" t="s">
        <v>1265</v>
      </c>
      <c r="H457" s="1" t="s">
        <v>287</v>
      </c>
      <c r="J457" s="14" t="s">
        <v>624</v>
      </c>
      <c r="K457" s="2" t="s">
        <v>1289</v>
      </c>
      <c r="L457" s="2" t="s">
        <v>686</v>
      </c>
      <c r="Q457"/>
    </row>
    <row r="458" spans="1:17" ht="14.4" hidden="1" x14ac:dyDescent="0.3">
      <c r="A458" s="2">
        <v>56558</v>
      </c>
      <c r="B458" s="8" t="s">
        <v>331</v>
      </c>
      <c r="C458" t="s">
        <v>905</v>
      </c>
      <c r="D458"/>
      <c r="E458" s="3" t="s">
        <v>621</v>
      </c>
      <c r="F458" s="11" t="b">
        <f t="shared" si="7"/>
        <v>0</v>
      </c>
      <c r="G458" s="11" t="s">
        <v>401</v>
      </c>
      <c r="H458" s="1" t="s">
        <v>269</v>
      </c>
      <c r="J458" s="14" t="s">
        <v>624</v>
      </c>
      <c r="K458" s="2" t="s">
        <v>1263</v>
      </c>
      <c r="L458" s="2" t="s">
        <v>686</v>
      </c>
      <c r="Q458"/>
    </row>
    <row r="459" spans="1:17" ht="14.4" hidden="1" x14ac:dyDescent="0.3">
      <c r="A459" s="2">
        <v>59953</v>
      </c>
      <c r="B459" s="8" t="s">
        <v>85</v>
      </c>
      <c r="C459" t="s">
        <v>1023</v>
      </c>
      <c r="D459"/>
      <c r="E459" s="3" t="s">
        <v>621</v>
      </c>
      <c r="F459" s="11" t="b">
        <f t="shared" si="7"/>
        <v>0</v>
      </c>
      <c r="G459" s="11" t="s">
        <v>402</v>
      </c>
      <c r="H459" s="1" t="s">
        <v>269</v>
      </c>
      <c r="J459" s="14" t="s">
        <v>624</v>
      </c>
      <c r="K459" s="2" t="s">
        <v>1261</v>
      </c>
      <c r="L459" s="2" t="s">
        <v>686</v>
      </c>
      <c r="Q459"/>
    </row>
    <row r="460" spans="1:17" ht="14.4" hidden="1" x14ac:dyDescent="0.3">
      <c r="A460" s="2">
        <v>56865</v>
      </c>
      <c r="B460" s="8" t="s">
        <v>413</v>
      </c>
      <c r="C460" s="2" t="s">
        <v>983</v>
      </c>
      <c r="E460" s="3" t="s">
        <v>621</v>
      </c>
      <c r="F460" s="11" t="b">
        <f t="shared" si="7"/>
        <v>0</v>
      </c>
      <c r="G460" s="11" t="s">
        <v>405</v>
      </c>
      <c r="H460" s="1" t="s">
        <v>10</v>
      </c>
      <c r="J460" s="14" t="s">
        <v>624</v>
      </c>
      <c r="K460" s="2" t="s">
        <v>458</v>
      </c>
      <c r="L460" s="2" t="s">
        <v>623</v>
      </c>
    </row>
    <row r="461" spans="1:17" ht="14.4" x14ac:dyDescent="0.3">
      <c r="A461" s="2">
        <v>56677</v>
      </c>
      <c r="B461" s="8" t="s">
        <v>505</v>
      </c>
      <c r="C461" t="s">
        <v>970</v>
      </c>
      <c r="D461"/>
      <c r="E461" s="3" t="s">
        <v>621</v>
      </c>
      <c r="F461" s="11" t="b">
        <f t="shared" si="7"/>
        <v>0</v>
      </c>
      <c r="G461" s="11" t="s">
        <v>1265</v>
      </c>
      <c r="H461" s="1" t="s">
        <v>287</v>
      </c>
      <c r="J461" s="14" t="s">
        <v>624</v>
      </c>
      <c r="K461" s="2" t="s">
        <v>1289</v>
      </c>
      <c r="L461" s="2" t="s">
        <v>686</v>
      </c>
      <c r="Q461"/>
    </row>
    <row r="462" spans="1:17" ht="14.4" hidden="1" x14ac:dyDescent="0.3">
      <c r="A462" s="2">
        <v>33672</v>
      </c>
      <c r="B462" s="8" t="s">
        <v>136</v>
      </c>
      <c r="C462" t="s">
        <v>708</v>
      </c>
      <c r="D462"/>
      <c r="E462" s="3" t="s">
        <v>621</v>
      </c>
      <c r="F462" s="11" t="b">
        <f t="shared" si="7"/>
        <v>0</v>
      </c>
      <c r="G462" s="11" t="s">
        <v>397</v>
      </c>
      <c r="H462" s="1" t="s">
        <v>3</v>
      </c>
      <c r="J462" s="14" t="s">
        <v>624</v>
      </c>
      <c r="K462" s="2" t="s">
        <v>1259</v>
      </c>
      <c r="L462" s="2" t="s">
        <v>686</v>
      </c>
      <c r="Q462"/>
    </row>
    <row r="463" spans="1:17" ht="14.4" hidden="1" x14ac:dyDescent="0.3">
      <c r="A463" s="2">
        <v>34245</v>
      </c>
      <c r="B463" s="8" t="s">
        <v>432</v>
      </c>
      <c r="C463" t="s">
        <v>727</v>
      </c>
      <c r="D463"/>
      <c r="E463" s="3" t="s">
        <v>621</v>
      </c>
      <c r="F463" s="11" t="b">
        <f t="shared" si="7"/>
        <v>0</v>
      </c>
      <c r="G463" s="11" t="s">
        <v>409</v>
      </c>
      <c r="H463" s="1" t="s">
        <v>289</v>
      </c>
      <c r="J463" s="14" t="s">
        <v>624</v>
      </c>
      <c r="K463" s="2" t="s">
        <v>1259</v>
      </c>
      <c r="L463" s="2" t="s">
        <v>686</v>
      </c>
      <c r="Q463"/>
    </row>
    <row r="464" spans="1:17" ht="14.4" hidden="1" x14ac:dyDescent="0.3">
      <c r="A464" s="2">
        <v>56512</v>
      </c>
      <c r="B464" s="8" t="s">
        <v>185</v>
      </c>
      <c r="C464" t="s">
        <v>880</v>
      </c>
      <c r="D464"/>
      <c r="E464" s="3" t="s">
        <v>621</v>
      </c>
      <c r="F464" s="11" t="b">
        <f t="shared" si="7"/>
        <v>0</v>
      </c>
      <c r="G464" s="11" t="s">
        <v>400</v>
      </c>
      <c r="H464" s="1" t="s">
        <v>273</v>
      </c>
      <c r="J464" s="14" t="s">
        <v>624</v>
      </c>
      <c r="K464" s="2" t="s">
        <v>1263</v>
      </c>
      <c r="L464" s="2" t="s">
        <v>686</v>
      </c>
      <c r="Q464"/>
    </row>
    <row r="465" spans="1:17" ht="14.4" hidden="1" x14ac:dyDescent="0.3">
      <c r="A465" s="2">
        <v>39850</v>
      </c>
      <c r="B465" s="8" t="s">
        <v>201</v>
      </c>
      <c r="C465" t="s">
        <v>835</v>
      </c>
      <c r="D465"/>
      <c r="E465" s="3" t="s">
        <v>621</v>
      </c>
      <c r="F465" s="11" t="b">
        <f t="shared" si="7"/>
        <v>0</v>
      </c>
      <c r="G465" s="11" t="s">
        <v>399</v>
      </c>
      <c r="H465" s="1" t="s">
        <v>275</v>
      </c>
      <c r="J465" s="14" t="s">
        <v>624</v>
      </c>
      <c r="K465" s="2" t="s">
        <v>1260</v>
      </c>
      <c r="L465" s="2" t="s">
        <v>686</v>
      </c>
      <c r="Q465"/>
    </row>
    <row r="466" spans="1:17" ht="14.4" hidden="1" x14ac:dyDescent="0.3">
      <c r="A466" s="2">
        <v>7458</v>
      </c>
      <c r="B466" s="8" t="s">
        <v>427</v>
      </c>
      <c r="C466" s="2" t="s">
        <v>660</v>
      </c>
      <c r="E466" s="3" t="s">
        <v>621</v>
      </c>
      <c r="F466" s="11" t="b">
        <f t="shared" si="7"/>
        <v>0</v>
      </c>
      <c r="G466" s="11" t="s">
        <v>394</v>
      </c>
      <c r="H466" s="1" t="s">
        <v>293</v>
      </c>
      <c r="J466" s="14" t="s">
        <v>624</v>
      </c>
      <c r="K466" s="2" t="s">
        <v>458</v>
      </c>
      <c r="L466" s="2" t="s">
        <v>623</v>
      </c>
    </row>
    <row r="467" spans="1:17" ht="14.4" hidden="1" x14ac:dyDescent="0.3">
      <c r="A467" s="2">
        <v>56557</v>
      </c>
      <c r="B467" s="8" t="s">
        <v>114</v>
      </c>
      <c r="C467" t="s">
        <v>904</v>
      </c>
      <c r="D467"/>
      <c r="E467" s="3" t="s">
        <v>621</v>
      </c>
      <c r="F467" s="11" t="b">
        <f t="shared" si="7"/>
        <v>0</v>
      </c>
      <c r="G467" s="11" t="s">
        <v>400</v>
      </c>
      <c r="H467" s="1" t="s">
        <v>269</v>
      </c>
      <c r="J467" s="14" t="s">
        <v>624</v>
      </c>
      <c r="K467" s="2" t="s">
        <v>1263</v>
      </c>
      <c r="L467" s="2" t="s">
        <v>686</v>
      </c>
      <c r="Q467"/>
    </row>
    <row r="468" spans="1:17" ht="14.4" hidden="1" x14ac:dyDescent="0.3">
      <c r="A468" s="2">
        <v>39579</v>
      </c>
      <c r="B468" s="8" t="s">
        <v>448</v>
      </c>
      <c r="C468" t="s">
        <v>800</v>
      </c>
      <c r="D468"/>
      <c r="E468" s="3" t="s">
        <v>621</v>
      </c>
      <c r="F468" s="11" t="b">
        <f t="shared" si="7"/>
        <v>0</v>
      </c>
      <c r="G468" s="11" t="s">
        <v>409</v>
      </c>
      <c r="H468" s="1" t="s">
        <v>287</v>
      </c>
      <c r="J468" s="14" t="s">
        <v>624</v>
      </c>
      <c r="K468" s="2" t="s">
        <v>1259</v>
      </c>
      <c r="L468" s="2" t="s">
        <v>686</v>
      </c>
      <c r="Q468"/>
    </row>
    <row r="469" spans="1:17" ht="14.4" hidden="1" x14ac:dyDescent="0.3">
      <c r="A469" s="2">
        <v>6024</v>
      </c>
      <c r="B469" s="8" t="s">
        <v>23</v>
      </c>
      <c r="C469" s="2" t="s">
        <v>634</v>
      </c>
      <c r="E469" s="3" t="s">
        <v>621</v>
      </c>
      <c r="F469" s="11" t="b">
        <f t="shared" si="7"/>
        <v>0</v>
      </c>
      <c r="G469" s="11" t="s">
        <v>119</v>
      </c>
      <c r="H469" s="1" t="s">
        <v>435</v>
      </c>
      <c r="J469" s="14" t="s">
        <v>624</v>
      </c>
      <c r="K469" s="2" t="s">
        <v>458</v>
      </c>
      <c r="L469" s="2" t="s">
        <v>623</v>
      </c>
    </row>
    <row r="470" spans="1:17" ht="14.4" hidden="1" x14ac:dyDescent="0.3">
      <c r="A470" s="2">
        <v>69950</v>
      </c>
      <c r="B470" s="8" t="s">
        <v>310</v>
      </c>
      <c r="C470" t="s">
        <v>1074</v>
      </c>
      <c r="D470"/>
      <c r="E470" s="3" t="s">
        <v>621</v>
      </c>
      <c r="F470" s="11" t="b">
        <f t="shared" si="7"/>
        <v>0</v>
      </c>
      <c r="G470" s="11" t="s">
        <v>403</v>
      </c>
      <c r="H470" s="1" t="s">
        <v>275</v>
      </c>
      <c r="J470" s="14" t="s">
        <v>624</v>
      </c>
      <c r="K470" s="2" t="s">
        <v>1260</v>
      </c>
      <c r="L470" s="2" t="s">
        <v>686</v>
      </c>
      <c r="Q470"/>
    </row>
    <row r="471" spans="1:17" ht="14.4" hidden="1" x14ac:dyDescent="0.3">
      <c r="A471" s="2">
        <v>6200</v>
      </c>
      <c r="B471" s="8" t="s">
        <v>29</v>
      </c>
      <c r="C471" s="2" t="s">
        <v>638</v>
      </c>
      <c r="E471" s="3" t="s">
        <v>621</v>
      </c>
      <c r="F471" s="11" t="b">
        <f t="shared" si="7"/>
        <v>0</v>
      </c>
      <c r="G471" s="11" t="s">
        <v>119</v>
      </c>
      <c r="H471" s="1" t="s">
        <v>435</v>
      </c>
      <c r="J471" s="14" t="s">
        <v>624</v>
      </c>
      <c r="K471" s="2" t="s">
        <v>458</v>
      </c>
      <c r="L471" s="2" t="s">
        <v>623</v>
      </c>
    </row>
    <row r="472" spans="1:17" ht="14.4" hidden="1" x14ac:dyDescent="0.3">
      <c r="A472" s="2">
        <v>80516</v>
      </c>
      <c r="B472" s="8" t="s">
        <v>361</v>
      </c>
      <c r="C472" s="2" t="s">
        <v>1158</v>
      </c>
      <c r="E472" s="3" t="s">
        <v>621</v>
      </c>
      <c r="F472" s="11" t="b">
        <f t="shared" si="7"/>
        <v>0</v>
      </c>
      <c r="G472" s="11" t="s">
        <v>405</v>
      </c>
      <c r="H472" s="1" t="s">
        <v>436</v>
      </c>
      <c r="J472" s="14" t="s">
        <v>624</v>
      </c>
      <c r="K472" s="2" t="s">
        <v>458</v>
      </c>
      <c r="L472" s="2" t="s">
        <v>623</v>
      </c>
    </row>
    <row r="473" spans="1:17" ht="14.4" hidden="1" x14ac:dyDescent="0.3">
      <c r="A473" s="2">
        <v>39455</v>
      </c>
      <c r="B473" s="8" t="s">
        <v>457</v>
      </c>
      <c r="C473" t="s">
        <v>788</v>
      </c>
      <c r="D473"/>
      <c r="E473" s="3" t="s">
        <v>621</v>
      </c>
      <c r="F473" s="11" t="b">
        <f t="shared" si="7"/>
        <v>0</v>
      </c>
      <c r="G473" s="11" t="s">
        <v>408</v>
      </c>
      <c r="H473" s="1" t="s">
        <v>15</v>
      </c>
      <c r="J473" s="14" t="s">
        <v>624</v>
      </c>
      <c r="K473" s="2" t="s">
        <v>1259</v>
      </c>
      <c r="L473" s="2" t="s">
        <v>686</v>
      </c>
      <c r="Q473"/>
    </row>
    <row r="474" spans="1:17" ht="14.4" hidden="1" x14ac:dyDescent="0.3">
      <c r="A474" s="2">
        <v>80423</v>
      </c>
      <c r="B474" s="8" t="s">
        <v>360</v>
      </c>
      <c r="C474" s="2" t="s">
        <v>1157</v>
      </c>
      <c r="E474" s="3" t="s">
        <v>621</v>
      </c>
      <c r="F474" s="11" t="b">
        <f t="shared" si="7"/>
        <v>0</v>
      </c>
      <c r="G474" s="11" t="s">
        <v>405</v>
      </c>
      <c r="H474" s="1" t="s">
        <v>436</v>
      </c>
      <c r="J474" s="14" t="s">
        <v>624</v>
      </c>
      <c r="K474" s="2" t="s">
        <v>458</v>
      </c>
      <c r="L474" s="2" t="s">
        <v>623</v>
      </c>
    </row>
    <row r="475" spans="1:17" ht="14.4" hidden="1" x14ac:dyDescent="0.3">
      <c r="A475" s="2">
        <v>6010</v>
      </c>
      <c r="B475" s="8" t="s">
        <v>103</v>
      </c>
      <c r="C475" s="2" t="s">
        <v>632</v>
      </c>
      <c r="E475" s="3" t="s">
        <v>621</v>
      </c>
      <c r="F475" s="11" t="b">
        <f t="shared" si="7"/>
        <v>0</v>
      </c>
      <c r="G475" s="11" t="s">
        <v>119</v>
      </c>
      <c r="H475" s="1" t="s">
        <v>435</v>
      </c>
      <c r="J475" s="14" t="s">
        <v>624</v>
      </c>
      <c r="K475" s="2" t="s">
        <v>458</v>
      </c>
      <c r="L475" s="2" t="s">
        <v>623</v>
      </c>
    </row>
    <row r="476" spans="1:17" ht="14.4" hidden="1" x14ac:dyDescent="0.3">
      <c r="A476" s="2">
        <v>39590</v>
      </c>
      <c r="B476" s="8" t="s">
        <v>451</v>
      </c>
      <c r="C476" t="s">
        <v>806</v>
      </c>
      <c r="D476"/>
      <c r="E476" s="3" t="s">
        <v>621</v>
      </c>
      <c r="F476" s="11" t="b">
        <f t="shared" si="7"/>
        <v>0</v>
      </c>
      <c r="G476" s="11" t="s">
        <v>409</v>
      </c>
      <c r="H476" s="1" t="s">
        <v>287</v>
      </c>
      <c r="J476" s="14" t="s">
        <v>624</v>
      </c>
      <c r="K476" s="2" t="s">
        <v>1259</v>
      </c>
      <c r="L476" s="2" t="s">
        <v>686</v>
      </c>
      <c r="Q476"/>
    </row>
    <row r="477" spans="1:17" ht="14.4" hidden="1" x14ac:dyDescent="0.3">
      <c r="A477" s="2">
        <v>52816</v>
      </c>
      <c r="B477" s="8" t="s">
        <v>191</v>
      </c>
      <c r="C477" s="2" t="s">
        <v>864</v>
      </c>
      <c r="E477" s="3" t="s">
        <v>621</v>
      </c>
      <c r="F477" s="11" t="b">
        <f t="shared" si="7"/>
        <v>0</v>
      </c>
      <c r="G477" s="11" t="s">
        <v>405</v>
      </c>
      <c r="H477" s="1" t="s">
        <v>283</v>
      </c>
      <c r="J477" s="14" t="s">
        <v>624</v>
      </c>
      <c r="K477" s="2" t="s">
        <v>458</v>
      </c>
      <c r="L477" s="2" t="s">
        <v>623</v>
      </c>
    </row>
    <row r="478" spans="1:17" ht="14.4" hidden="1" x14ac:dyDescent="0.3">
      <c r="A478" s="2">
        <v>33730</v>
      </c>
      <c r="B478" s="8" t="s">
        <v>234</v>
      </c>
      <c r="C478" t="s">
        <v>713</v>
      </c>
      <c r="D478"/>
      <c r="E478" s="3" t="s">
        <v>621</v>
      </c>
      <c r="F478" s="11" t="b">
        <f t="shared" si="7"/>
        <v>0</v>
      </c>
      <c r="G478" s="11" t="s">
        <v>408</v>
      </c>
      <c r="H478" s="1" t="s">
        <v>287</v>
      </c>
      <c r="J478" s="14" t="s">
        <v>624</v>
      </c>
      <c r="K478" s="2" t="s">
        <v>1259</v>
      </c>
      <c r="L478" s="2" t="s">
        <v>686</v>
      </c>
      <c r="Q478"/>
    </row>
    <row r="479" spans="1:17" ht="14.4" hidden="1" x14ac:dyDescent="0.3">
      <c r="A479" s="2">
        <v>52817</v>
      </c>
      <c r="B479" s="8" t="s">
        <v>192</v>
      </c>
      <c r="C479" s="2" t="s">
        <v>865</v>
      </c>
      <c r="E479" s="3" t="s">
        <v>621</v>
      </c>
      <c r="F479" s="11" t="b">
        <f t="shared" si="7"/>
        <v>0</v>
      </c>
      <c r="G479" s="11" t="s">
        <v>405</v>
      </c>
      <c r="H479" s="1" t="s">
        <v>283</v>
      </c>
      <c r="J479" s="14" t="s">
        <v>624</v>
      </c>
      <c r="K479" s="2" t="s">
        <v>458</v>
      </c>
      <c r="L479" s="2" t="s">
        <v>623</v>
      </c>
    </row>
    <row r="480" spans="1:17" ht="14.4" hidden="1" x14ac:dyDescent="0.3">
      <c r="A480" s="2">
        <v>6023</v>
      </c>
      <c r="B480" s="8" t="s">
        <v>22</v>
      </c>
      <c r="C480" s="2" t="s">
        <v>633</v>
      </c>
      <c r="E480" s="3" t="s">
        <v>621</v>
      </c>
      <c r="F480" s="11" t="b">
        <f t="shared" si="7"/>
        <v>0</v>
      </c>
      <c r="G480" s="11" t="s">
        <v>119</v>
      </c>
      <c r="H480" s="1" t="s">
        <v>435</v>
      </c>
      <c r="J480" s="14" t="s">
        <v>624</v>
      </c>
      <c r="K480" s="2" t="s">
        <v>458</v>
      </c>
      <c r="L480" s="2" t="s">
        <v>623</v>
      </c>
    </row>
    <row r="481" spans="1:17" ht="14.4" hidden="1" x14ac:dyDescent="0.3">
      <c r="A481" s="2">
        <v>56658</v>
      </c>
      <c r="B481" s="8" t="s">
        <v>419</v>
      </c>
      <c r="C481" t="s">
        <v>956</v>
      </c>
      <c r="D481"/>
      <c r="E481" s="3" t="s">
        <v>621</v>
      </c>
      <c r="F481" s="11" t="b">
        <f t="shared" si="7"/>
        <v>0</v>
      </c>
      <c r="G481" s="11" t="s">
        <v>401</v>
      </c>
      <c r="H481" s="1" t="s">
        <v>269</v>
      </c>
      <c r="J481" s="14" t="s">
        <v>624</v>
      </c>
      <c r="K481" s="2" t="s">
        <v>1263</v>
      </c>
      <c r="L481" s="2" t="s">
        <v>686</v>
      </c>
      <c r="Q481"/>
    </row>
    <row r="482" spans="1:17" ht="14.4" hidden="1" x14ac:dyDescent="0.3">
      <c r="A482" s="2">
        <v>56539</v>
      </c>
      <c r="B482" s="8" t="s">
        <v>175</v>
      </c>
      <c r="C482" t="s">
        <v>891</v>
      </c>
      <c r="D482"/>
      <c r="E482" s="3" t="s">
        <v>621</v>
      </c>
      <c r="F482" s="11" t="b">
        <f t="shared" si="7"/>
        <v>0</v>
      </c>
      <c r="G482" s="11" t="s">
        <v>400</v>
      </c>
      <c r="H482" s="1" t="s">
        <v>287</v>
      </c>
      <c r="J482" s="14" t="s">
        <v>624</v>
      </c>
      <c r="K482" s="2" t="s">
        <v>1263</v>
      </c>
      <c r="L482" s="2" t="s">
        <v>686</v>
      </c>
      <c r="Q482"/>
    </row>
    <row r="483" spans="1:17" ht="14.4" hidden="1" x14ac:dyDescent="0.3">
      <c r="A483" s="2">
        <v>7512</v>
      </c>
      <c r="B483" s="8" t="s">
        <v>212</v>
      </c>
      <c r="C483" s="2" t="s">
        <v>652</v>
      </c>
      <c r="E483" s="3" t="s">
        <v>621</v>
      </c>
      <c r="F483" s="11" t="b">
        <f t="shared" si="7"/>
        <v>0</v>
      </c>
      <c r="G483" s="11" t="s">
        <v>394</v>
      </c>
      <c r="H483" s="1" t="s">
        <v>294</v>
      </c>
      <c r="J483" s="14" t="s">
        <v>624</v>
      </c>
      <c r="K483" s="2" t="s">
        <v>458</v>
      </c>
      <c r="L483" s="2" t="s">
        <v>623</v>
      </c>
    </row>
    <row r="484" spans="1:17" ht="14.4" hidden="1" x14ac:dyDescent="0.3">
      <c r="A484" s="2">
        <v>56574</v>
      </c>
      <c r="B484" s="8" t="s">
        <v>468</v>
      </c>
      <c r="C484" t="s">
        <v>918</v>
      </c>
      <c r="D484"/>
      <c r="E484" s="3" t="s">
        <v>621</v>
      </c>
      <c r="F484" s="11" t="b">
        <f t="shared" si="7"/>
        <v>0</v>
      </c>
      <c r="G484" s="11" t="s">
        <v>400</v>
      </c>
      <c r="H484" s="1" t="s">
        <v>287</v>
      </c>
      <c r="J484" s="14" t="s">
        <v>624</v>
      </c>
      <c r="K484" s="2" t="s">
        <v>1263</v>
      </c>
      <c r="L484" s="2" t="s">
        <v>686</v>
      </c>
      <c r="Q484"/>
    </row>
    <row r="485" spans="1:17" ht="14.4" hidden="1" x14ac:dyDescent="0.3">
      <c r="A485" s="2">
        <v>34271</v>
      </c>
      <c r="B485" s="8" t="s">
        <v>456</v>
      </c>
      <c r="C485" t="s">
        <v>731</v>
      </c>
      <c r="D485"/>
      <c r="E485" s="3" t="s">
        <v>621</v>
      </c>
      <c r="F485" s="11" t="b">
        <f t="shared" si="7"/>
        <v>0</v>
      </c>
      <c r="G485" s="11" t="s">
        <v>408</v>
      </c>
      <c r="H485" s="1" t="s">
        <v>290</v>
      </c>
      <c r="J485" s="14" t="s">
        <v>624</v>
      </c>
      <c r="K485" s="2" t="s">
        <v>1259</v>
      </c>
      <c r="L485" s="2" t="s">
        <v>686</v>
      </c>
      <c r="Q485"/>
    </row>
    <row r="486" spans="1:17" ht="14.4" hidden="1" x14ac:dyDescent="0.3">
      <c r="A486" s="2">
        <v>7304</v>
      </c>
      <c r="B486" s="8" t="s">
        <v>422</v>
      </c>
      <c r="C486" s="2" t="s">
        <v>664</v>
      </c>
      <c r="E486" s="3" t="s">
        <v>621</v>
      </c>
      <c r="F486" s="11" t="b">
        <f t="shared" si="7"/>
        <v>0</v>
      </c>
      <c r="G486" s="11" t="s">
        <v>394</v>
      </c>
      <c r="H486" s="1" t="s">
        <v>356</v>
      </c>
      <c r="J486" s="14" t="s">
        <v>624</v>
      </c>
      <c r="K486" s="2" t="s">
        <v>458</v>
      </c>
      <c r="L486" s="2" t="s">
        <v>623</v>
      </c>
    </row>
    <row r="487" spans="1:17" ht="14.4" hidden="1" x14ac:dyDescent="0.3">
      <c r="A487" s="2">
        <v>7300</v>
      </c>
      <c r="B487" s="8" t="s">
        <v>421</v>
      </c>
      <c r="C487" s="2" t="s">
        <v>663</v>
      </c>
      <c r="E487" s="3" t="s">
        <v>621</v>
      </c>
      <c r="F487" s="11" t="b">
        <f t="shared" si="7"/>
        <v>0</v>
      </c>
      <c r="G487" s="11" t="s">
        <v>394</v>
      </c>
      <c r="H487" s="1" t="s">
        <v>356</v>
      </c>
      <c r="J487" s="14" t="s">
        <v>624</v>
      </c>
      <c r="K487" s="2" t="s">
        <v>458</v>
      </c>
      <c r="L487" s="2" t="s">
        <v>623</v>
      </c>
    </row>
    <row r="488" spans="1:17" ht="14.4" hidden="1" x14ac:dyDescent="0.3">
      <c r="A488" s="2">
        <v>56890</v>
      </c>
      <c r="B488" s="8" t="s">
        <v>336</v>
      </c>
      <c r="C488" s="2" t="s">
        <v>989</v>
      </c>
      <c r="E488" s="3" t="s">
        <v>621</v>
      </c>
      <c r="F488" s="11" t="b">
        <f t="shared" si="7"/>
        <v>0</v>
      </c>
      <c r="G488" s="11" t="s">
        <v>395</v>
      </c>
      <c r="H488" s="1" t="s">
        <v>353</v>
      </c>
      <c r="J488" s="14" t="s">
        <v>624</v>
      </c>
      <c r="K488" s="2" t="s">
        <v>458</v>
      </c>
      <c r="L488" s="2" t="s">
        <v>623</v>
      </c>
    </row>
    <row r="489" spans="1:17" ht="14.4" hidden="1" x14ac:dyDescent="0.3">
      <c r="A489" s="2">
        <v>39577</v>
      </c>
      <c r="B489" s="8" t="s">
        <v>447</v>
      </c>
      <c r="C489" t="s">
        <v>799</v>
      </c>
      <c r="D489"/>
      <c r="E489" s="3" t="s">
        <v>621</v>
      </c>
      <c r="F489" s="11" t="b">
        <f t="shared" si="7"/>
        <v>0</v>
      </c>
      <c r="G489" s="11" t="s">
        <v>409</v>
      </c>
      <c r="H489" s="1" t="s">
        <v>287</v>
      </c>
      <c r="J489" s="14" t="s">
        <v>624</v>
      </c>
      <c r="K489" s="2" t="s">
        <v>1259</v>
      </c>
      <c r="L489" s="2" t="s">
        <v>686</v>
      </c>
      <c r="Q489"/>
    </row>
    <row r="490" spans="1:17" ht="14.4" hidden="1" x14ac:dyDescent="0.3">
      <c r="A490" s="2">
        <v>52808</v>
      </c>
      <c r="B490" s="8" t="s">
        <v>298</v>
      </c>
      <c r="C490" t="s">
        <v>863</v>
      </c>
      <c r="D490"/>
      <c r="E490" s="3" t="s">
        <v>621</v>
      </c>
      <c r="F490" s="11" t="b">
        <f t="shared" si="7"/>
        <v>0</v>
      </c>
      <c r="G490" s="11" t="s">
        <v>396</v>
      </c>
      <c r="H490" s="1" t="s">
        <v>299</v>
      </c>
      <c r="J490" s="14" t="s">
        <v>624</v>
      </c>
      <c r="K490" s="2" t="s">
        <v>1259</v>
      </c>
      <c r="L490" s="2" t="s">
        <v>686</v>
      </c>
      <c r="Q490"/>
    </row>
    <row r="491" spans="1:17" ht="14.4" hidden="1" x14ac:dyDescent="0.3">
      <c r="A491" s="2">
        <v>39570</v>
      </c>
      <c r="B491" s="8" t="s">
        <v>439</v>
      </c>
      <c r="C491" t="s">
        <v>794</v>
      </c>
      <c r="D491"/>
      <c r="E491" s="3" t="s">
        <v>621</v>
      </c>
      <c r="F491" s="11" t="b">
        <f t="shared" si="7"/>
        <v>0</v>
      </c>
      <c r="G491" s="11" t="s">
        <v>409</v>
      </c>
      <c r="H491" s="1" t="s">
        <v>15</v>
      </c>
      <c r="J491" s="14" t="s">
        <v>624</v>
      </c>
      <c r="K491" s="2" t="s">
        <v>1259</v>
      </c>
      <c r="L491" s="2" t="s">
        <v>686</v>
      </c>
      <c r="Q491"/>
    </row>
    <row r="492" spans="1:17" ht="14.4" hidden="1" x14ac:dyDescent="0.3">
      <c r="A492" s="2">
        <v>56560</v>
      </c>
      <c r="B492" s="8" t="s">
        <v>112</v>
      </c>
      <c r="C492" t="s">
        <v>906</v>
      </c>
      <c r="D492"/>
      <c r="E492" s="3" t="s">
        <v>621</v>
      </c>
      <c r="F492" s="11" t="b">
        <f t="shared" si="7"/>
        <v>0</v>
      </c>
      <c r="G492" s="11" t="s">
        <v>400</v>
      </c>
      <c r="H492" s="1" t="s">
        <v>276</v>
      </c>
      <c r="J492" s="14" t="s">
        <v>624</v>
      </c>
      <c r="K492" s="2" t="s">
        <v>1263</v>
      </c>
      <c r="L492" s="2" t="s">
        <v>686</v>
      </c>
      <c r="Q492"/>
    </row>
    <row r="493" spans="1:17" ht="14.4" hidden="1" x14ac:dyDescent="0.3">
      <c r="A493" s="2">
        <v>6027</v>
      </c>
      <c r="B493" s="8" t="s">
        <v>21</v>
      </c>
      <c r="C493" s="2" t="s">
        <v>635</v>
      </c>
      <c r="E493" s="3" t="s">
        <v>621</v>
      </c>
      <c r="F493" s="11" t="b">
        <f t="shared" si="7"/>
        <v>0</v>
      </c>
      <c r="G493" s="11" t="s">
        <v>119</v>
      </c>
      <c r="H493" s="1" t="s">
        <v>435</v>
      </c>
      <c r="J493" s="14" t="s">
        <v>624</v>
      </c>
      <c r="K493" s="2" t="s">
        <v>458</v>
      </c>
      <c r="L493" s="2" t="s">
        <v>623</v>
      </c>
    </row>
    <row r="494" spans="1:17" ht="14.4" hidden="1" x14ac:dyDescent="0.3">
      <c r="A494" s="2">
        <v>39758</v>
      </c>
      <c r="B494" s="8" t="s">
        <v>259</v>
      </c>
      <c r="C494" s="2" t="s">
        <v>808</v>
      </c>
      <c r="E494" s="3" t="s">
        <v>621</v>
      </c>
      <c r="F494" s="11" t="b">
        <f t="shared" si="7"/>
        <v>0</v>
      </c>
      <c r="G494" s="11" t="s">
        <v>405</v>
      </c>
      <c r="H494" s="1" t="s">
        <v>10</v>
      </c>
      <c r="J494" s="14" t="s">
        <v>624</v>
      </c>
      <c r="K494" s="2" t="s">
        <v>458</v>
      </c>
      <c r="L494" s="2" t="s">
        <v>623</v>
      </c>
    </row>
    <row r="495" spans="1:17" ht="14.4" hidden="1" x14ac:dyDescent="0.3">
      <c r="A495" s="2">
        <v>6214</v>
      </c>
      <c r="B495" s="8" t="s">
        <v>30</v>
      </c>
      <c r="C495" s="2" t="s">
        <v>642</v>
      </c>
      <c r="E495" s="3" t="s">
        <v>621</v>
      </c>
      <c r="F495" s="11" t="b">
        <f t="shared" si="7"/>
        <v>0</v>
      </c>
      <c r="G495" s="11" t="s">
        <v>119</v>
      </c>
      <c r="H495" s="1" t="s">
        <v>435</v>
      </c>
      <c r="J495" s="14" t="s">
        <v>624</v>
      </c>
      <c r="K495" s="2" t="s">
        <v>458</v>
      </c>
      <c r="L495" s="2" t="s">
        <v>623</v>
      </c>
    </row>
    <row r="496" spans="1:17" ht="14.4" hidden="1" x14ac:dyDescent="0.3">
      <c r="A496" s="2">
        <v>33440</v>
      </c>
      <c r="B496" s="8" t="s">
        <v>116</v>
      </c>
      <c r="C496" t="s">
        <v>697</v>
      </c>
      <c r="D496"/>
      <c r="E496" s="3" t="s">
        <v>621</v>
      </c>
      <c r="F496" s="11" t="b">
        <f t="shared" si="7"/>
        <v>0</v>
      </c>
      <c r="G496" s="11" t="s">
        <v>407</v>
      </c>
      <c r="H496" s="1" t="s">
        <v>286</v>
      </c>
      <c r="J496" s="14" t="s">
        <v>624</v>
      </c>
      <c r="K496" s="2" t="s">
        <v>1259</v>
      </c>
      <c r="L496" s="2" t="s">
        <v>686</v>
      </c>
      <c r="Q496"/>
    </row>
    <row r="497" spans="1:17" ht="14.4" hidden="1" x14ac:dyDescent="0.3">
      <c r="A497" s="2">
        <v>5123</v>
      </c>
      <c r="B497" s="8" t="s">
        <v>104</v>
      </c>
      <c r="C497" s="2" t="s">
        <v>631</v>
      </c>
      <c r="E497" s="3" t="s">
        <v>621</v>
      </c>
      <c r="F497" s="11" t="b">
        <f t="shared" si="7"/>
        <v>0</v>
      </c>
      <c r="G497" s="11" t="s">
        <v>119</v>
      </c>
      <c r="H497" s="1" t="s">
        <v>435</v>
      </c>
      <c r="J497" s="14" t="s">
        <v>624</v>
      </c>
      <c r="K497" s="2" t="s">
        <v>458</v>
      </c>
      <c r="L497" s="2" t="s">
        <v>623</v>
      </c>
    </row>
    <row r="498" spans="1:17" ht="14.4" hidden="1" x14ac:dyDescent="0.3">
      <c r="A498" s="2">
        <v>7447</v>
      </c>
      <c r="B498" s="8" t="s">
        <v>215</v>
      </c>
      <c r="C498" s="2" t="s">
        <v>667</v>
      </c>
      <c r="E498" s="3" t="s">
        <v>621</v>
      </c>
      <c r="F498" s="11" t="b">
        <f t="shared" si="7"/>
        <v>0</v>
      </c>
      <c r="G498" s="11" t="s">
        <v>394</v>
      </c>
      <c r="H498" s="1" t="s">
        <v>356</v>
      </c>
      <c r="J498" s="14" t="s">
        <v>624</v>
      </c>
      <c r="K498" s="2" t="s">
        <v>458</v>
      </c>
      <c r="L498" s="2" t="s">
        <v>623</v>
      </c>
    </row>
    <row r="499" spans="1:17" ht="14.4" hidden="1" x14ac:dyDescent="0.3">
      <c r="A499" s="2">
        <v>7446</v>
      </c>
      <c r="B499" s="8" t="s">
        <v>225</v>
      </c>
      <c r="C499" s="2" t="s">
        <v>679</v>
      </c>
      <c r="E499" s="3" t="s">
        <v>621</v>
      </c>
      <c r="F499" s="11" t="b">
        <f t="shared" si="7"/>
        <v>0</v>
      </c>
      <c r="G499" s="11" t="s">
        <v>394</v>
      </c>
      <c r="H499" s="1" t="s">
        <v>295</v>
      </c>
      <c r="J499" s="14" t="s">
        <v>624</v>
      </c>
      <c r="K499" s="2" t="s">
        <v>458</v>
      </c>
      <c r="L499" s="2" t="s">
        <v>623</v>
      </c>
    </row>
    <row r="500" spans="1:17" ht="14.4" hidden="1" x14ac:dyDescent="0.3">
      <c r="A500" s="2">
        <v>7510</v>
      </c>
      <c r="B500" s="8" t="s">
        <v>211</v>
      </c>
      <c r="C500" s="2" t="s">
        <v>650</v>
      </c>
      <c r="E500" s="3" t="s">
        <v>621</v>
      </c>
      <c r="F500" s="11" t="b">
        <f t="shared" si="7"/>
        <v>0</v>
      </c>
      <c r="G500" s="11" t="s">
        <v>394</v>
      </c>
      <c r="H500" s="1" t="s">
        <v>294</v>
      </c>
      <c r="J500" s="14" t="s">
        <v>624</v>
      </c>
      <c r="K500" s="2" t="s">
        <v>458</v>
      </c>
      <c r="L500" s="2" t="s">
        <v>623</v>
      </c>
    </row>
    <row r="501" spans="1:17" ht="14.4" hidden="1" x14ac:dyDescent="0.3">
      <c r="A501" s="2">
        <v>10111</v>
      </c>
      <c r="B501" s="8" t="s">
        <v>106</v>
      </c>
      <c r="C501" s="2" t="s">
        <v>681</v>
      </c>
      <c r="E501" s="3" t="s">
        <v>621</v>
      </c>
      <c r="F501" s="11" t="b">
        <f t="shared" si="7"/>
        <v>0</v>
      </c>
      <c r="G501" s="11" t="s">
        <v>395</v>
      </c>
      <c r="H501" s="1" t="s">
        <v>353</v>
      </c>
      <c r="J501" s="14" t="s">
        <v>624</v>
      </c>
      <c r="K501" s="2" t="s">
        <v>458</v>
      </c>
      <c r="L501" s="2" t="s">
        <v>623</v>
      </c>
    </row>
    <row r="502" spans="1:17" ht="14.4" hidden="1" x14ac:dyDescent="0.3">
      <c r="A502" s="2">
        <v>39593</v>
      </c>
      <c r="B502" s="8" t="s">
        <v>452</v>
      </c>
      <c r="C502" t="s">
        <v>807</v>
      </c>
      <c r="D502"/>
      <c r="E502" s="3" t="s">
        <v>621</v>
      </c>
      <c r="F502" s="11" t="b">
        <f t="shared" si="7"/>
        <v>0</v>
      </c>
      <c r="G502" s="11" t="s">
        <v>409</v>
      </c>
      <c r="H502" s="1" t="s">
        <v>287</v>
      </c>
      <c r="J502" s="14" t="s">
        <v>624</v>
      </c>
      <c r="K502" s="2" t="s">
        <v>1259</v>
      </c>
      <c r="L502" s="2" t="s">
        <v>686</v>
      </c>
      <c r="Q502"/>
    </row>
    <row r="503" spans="1:17" ht="14.4" hidden="1" x14ac:dyDescent="0.3">
      <c r="A503" s="2">
        <v>52807</v>
      </c>
      <c r="B503" s="8" t="s">
        <v>297</v>
      </c>
      <c r="C503" t="s">
        <v>862</v>
      </c>
      <c r="D503"/>
      <c r="E503" s="3" t="s">
        <v>621</v>
      </c>
      <c r="F503" s="11" t="b">
        <f t="shared" si="7"/>
        <v>0</v>
      </c>
      <c r="G503" s="11" t="s">
        <v>397</v>
      </c>
      <c r="H503" s="1" t="s">
        <v>299</v>
      </c>
      <c r="J503" s="14" t="s">
        <v>628</v>
      </c>
      <c r="K503" s="2" t="s">
        <v>1263</v>
      </c>
      <c r="L503" s="2" t="s">
        <v>686</v>
      </c>
      <c r="Q503"/>
    </row>
    <row r="504" spans="1:17" ht="14.4" hidden="1" x14ac:dyDescent="0.3">
      <c r="A504" s="2">
        <v>7088</v>
      </c>
      <c r="B504" s="8" t="s">
        <v>206</v>
      </c>
      <c r="C504" s="2" t="s">
        <v>647</v>
      </c>
      <c r="E504" s="3" t="s">
        <v>621</v>
      </c>
      <c r="F504" s="11" t="b">
        <f t="shared" si="7"/>
        <v>0</v>
      </c>
      <c r="G504" s="11" t="s">
        <v>394</v>
      </c>
      <c r="H504" s="1" t="s">
        <v>292</v>
      </c>
      <c r="J504" s="14" t="s">
        <v>624</v>
      </c>
      <c r="K504" s="2" t="s">
        <v>458</v>
      </c>
      <c r="L504" s="2" t="s">
        <v>623</v>
      </c>
    </row>
    <row r="505" spans="1:17" ht="14.4" hidden="1" x14ac:dyDescent="0.3">
      <c r="A505" s="2">
        <v>56864</v>
      </c>
      <c r="B505" s="8" t="s">
        <v>603</v>
      </c>
      <c r="C505" s="2" t="s">
        <v>982</v>
      </c>
      <c r="E505" s="3" t="s">
        <v>621</v>
      </c>
      <c r="F505" s="11" t="b">
        <f t="shared" si="7"/>
        <v>0</v>
      </c>
      <c r="G505" s="11" t="s">
        <v>405</v>
      </c>
      <c r="H505" s="1" t="s">
        <v>604</v>
      </c>
      <c r="J505" s="14" t="s">
        <v>624</v>
      </c>
      <c r="K505" s="2" t="s">
        <v>458</v>
      </c>
      <c r="L505" s="2" t="s">
        <v>623</v>
      </c>
    </row>
    <row r="506" spans="1:17" ht="14.4" hidden="1" x14ac:dyDescent="0.3">
      <c r="A506" s="2">
        <v>7010</v>
      </c>
      <c r="B506" s="8" t="s">
        <v>219</v>
      </c>
      <c r="C506" s="2" t="s">
        <v>671</v>
      </c>
      <c r="E506" s="3" t="s">
        <v>621</v>
      </c>
      <c r="F506" s="11" t="b">
        <f t="shared" si="7"/>
        <v>0</v>
      </c>
      <c r="G506" s="11" t="s">
        <v>394</v>
      </c>
      <c r="H506" s="1" t="s">
        <v>295</v>
      </c>
      <c r="J506" s="14" t="s">
        <v>624</v>
      </c>
      <c r="K506" s="2" t="s">
        <v>458</v>
      </c>
      <c r="L506" s="2" t="s">
        <v>623</v>
      </c>
    </row>
    <row r="507" spans="1:17" ht="14.4" hidden="1" x14ac:dyDescent="0.3">
      <c r="A507" s="2">
        <v>80416</v>
      </c>
      <c r="B507" s="8" t="s">
        <v>359</v>
      </c>
      <c r="C507" s="2" t="s">
        <v>1156</v>
      </c>
      <c r="E507" s="3" t="s">
        <v>621</v>
      </c>
      <c r="F507" s="11" t="b">
        <f t="shared" si="7"/>
        <v>0</v>
      </c>
      <c r="G507" s="11" t="s">
        <v>405</v>
      </c>
      <c r="H507" s="1" t="s">
        <v>436</v>
      </c>
      <c r="J507" s="14" t="s">
        <v>624</v>
      </c>
      <c r="K507" s="2" t="s">
        <v>458</v>
      </c>
      <c r="L507" s="2" t="s">
        <v>623</v>
      </c>
    </row>
    <row r="508" spans="1:17" ht="14.4" hidden="1" x14ac:dyDescent="0.3">
      <c r="A508" s="2">
        <v>7395</v>
      </c>
      <c r="B508" s="8" t="s">
        <v>224</v>
      </c>
      <c r="C508" s="2" t="s">
        <v>676</v>
      </c>
      <c r="E508" s="3" t="s">
        <v>621</v>
      </c>
      <c r="F508" s="11" t="b">
        <f t="shared" si="7"/>
        <v>0</v>
      </c>
      <c r="G508" s="11" t="s">
        <v>394</v>
      </c>
      <c r="H508" s="1" t="s">
        <v>295</v>
      </c>
      <c r="J508" s="14" t="s">
        <v>624</v>
      </c>
      <c r="K508" s="2" t="s">
        <v>458</v>
      </c>
      <c r="L508" s="2" t="s">
        <v>623</v>
      </c>
    </row>
    <row r="509" spans="1:17" ht="14.4" hidden="1" x14ac:dyDescent="0.3">
      <c r="A509" s="2">
        <v>7514</v>
      </c>
      <c r="B509" s="8" t="s">
        <v>210</v>
      </c>
      <c r="C509" s="2" t="s">
        <v>654</v>
      </c>
      <c r="E509" s="3" t="s">
        <v>621</v>
      </c>
      <c r="F509" s="11" t="b">
        <f t="shared" si="7"/>
        <v>0</v>
      </c>
      <c r="G509" s="11" t="s">
        <v>394</v>
      </c>
      <c r="H509" s="1" t="s">
        <v>294</v>
      </c>
      <c r="J509" s="14" t="s">
        <v>624</v>
      </c>
      <c r="K509" s="2" t="s">
        <v>458</v>
      </c>
      <c r="L509" s="2" t="s">
        <v>623</v>
      </c>
    </row>
    <row r="510" spans="1:17" ht="14.4" hidden="1" x14ac:dyDescent="0.3">
      <c r="A510" s="2">
        <v>52823</v>
      </c>
      <c r="B510" s="8" t="s">
        <v>296</v>
      </c>
      <c r="C510" s="2" t="s">
        <v>871</v>
      </c>
      <c r="E510" s="3" t="s">
        <v>621</v>
      </c>
      <c r="F510" s="11" t="b">
        <f t="shared" si="7"/>
        <v>0</v>
      </c>
      <c r="G510" s="11" t="s">
        <v>405</v>
      </c>
      <c r="H510" s="1" t="s">
        <v>283</v>
      </c>
      <c r="J510" s="14" t="s">
        <v>624</v>
      </c>
      <c r="K510" s="2" t="s">
        <v>458</v>
      </c>
      <c r="L510" s="2" t="s">
        <v>623</v>
      </c>
    </row>
    <row r="511" spans="1:17" ht="14.4" hidden="1" x14ac:dyDescent="0.3">
      <c r="A511" s="2">
        <v>33430</v>
      </c>
      <c r="B511" s="8" t="s">
        <v>9</v>
      </c>
      <c r="C511" t="s">
        <v>696</v>
      </c>
      <c r="D511"/>
      <c r="E511" s="3" t="s">
        <v>621</v>
      </c>
      <c r="F511" s="11" t="b">
        <f t="shared" si="7"/>
        <v>0</v>
      </c>
      <c r="G511" s="11" t="s">
        <v>407</v>
      </c>
      <c r="H511" s="1" t="s">
        <v>276</v>
      </c>
      <c r="J511" s="14" t="s">
        <v>624</v>
      </c>
      <c r="K511" s="2" t="s">
        <v>1259</v>
      </c>
      <c r="L511" s="2" t="s">
        <v>686</v>
      </c>
      <c r="Q511"/>
    </row>
    <row r="512" spans="1:17" ht="14.4" hidden="1" x14ac:dyDescent="0.3">
      <c r="A512" s="2">
        <v>7394</v>
      </c>
      <c r="B512" s="8" t="s">
        <v>220</v>
      </c>
      <c r="C512" s="2" t="s">
        <v>675</v>
      </c>
      <c r="E512" s="3" t="s">
        <v>621</v>
      </c>
      <c r="F512" s="11" t="b">
        <f t="shared" si="7"/>
        <v>0</v>
      </c>
      <c r="G512" s="11" t="s">
        <v>394</v>
      </c>
      <c r="H512" s="1" t="s">
        <v>295</v>
      </c>
      <c r="J512" s="14" t="s">
        <v>624</v>
      </c>
      <c r="K512" s="2" t="s">
        <v>458</v>
      </c>
      <c r="L512" s="2" t="s">
        <v>623</v>
      </c>
    </row>
    <row r="513" spans="1:17" ht="14.4" hidden="1" x14ac:dyDescent="0.3">
      <c r="A513" s="2">
        <v>33402</v>
      </c>
      <c r="B513" s="8" t="s">
        <v>7</v>
      </c>
      <c r="C513" t="s">
        <v>694</v>
      </c>
      <c r="D513"/>
      <c r="E513" s="3" t="s">
        <v>621</v>
      </c>
      <c r="F513" s="11" t="b">
        <f t="shared" si="7"/>
        <v>0</v>
      </c>
      <c r="G513" s="11" t="s">
        <v>407</v>
      </c>
      <c r="H513" s="1" t="s">
        <v>276</v>
      </c>
      <c r="J513" s="14" t="s">
        <v>624</v>
      </c>
      <c r="K513" s="2" t="s">
        <v>1259</v>
      </c>
      <c r="L513" s="2" t="s">
        <v>686</v>
      </c>
      <c r="Q513"/>
    </row>
    <row r="514" spans="1:17" ht="14.4" hidden="1" x14ac:dyDescent="0.3">
      <c r="A514" s="2">
        <v>56889</v>
      </c>
      <c r="B514" s="8" t="s">
        <v>335</v>
      </c>
      <c r="C514" s="2" t="s">
        <v>988</v>
      </c>
      <c r="E514" s="3" t="s">
        <v>621</v>
      </c>
      <c r="F514" s="11" t="b">
        <f t="shared" ref="F514:F577" si="8">ISNUMBER(SEARCH($F$1,B514))</f>
        <v>0</v>
      </c>
      <c r="G514" s="11" t="s">
        <v>395</v>
      </c>
      <c r="H514" s="1" t="s">
        <v>353</v>
      </c>
      <c r="J514" s="14" t="s">
        <v>624</v>
      </c>
      <c r="K514" s="2" t="s">
        <v>458</v>
      </c>
      <c r="L514" s="2" t="s">
        <v>623</v>
      </c>
    </row>
    <row r="515" spans="1:17" ht="14.4" hidden="1" x14ac:dyDescent="0.3">
      <c r="A515" s="2">
        <v>56893</v>
      </c>
      <c r="B515" s="8" t="s">
        <v>339</v>
      </c>
      <c r="C515" s="2" t="s">
        <v>992</v>
      </c>
      <c r="E515" s="3" t="s">
        <v>621</v>
      </c>
      <c r="F515" s="11" t="b">
        <f t="shared" si="8"/>
        <v>0</v>
      </c>
      <c r="G515" s="11" t="s">
        <v>395</v>
      </c>
      <c r="H515" s="1" t="s">
        <v>353</v>
      </c>
      <c r="J515" s="14" t="s">
        <v>624</v>
      </c>
      <c r="K515" s="2" t="s">
        <v>458</v>
      </c>
      <c r="L515" s="2" t="s">
        <v>623</v>
      </c>
    </row>
    <row r="516" spans="1:17" ht="14.4" hidden="1" x14ac:dyDescent="0.3">
      <c r="A516" s="2">
        <v>56880</v>
      </c>
      <c r="B516" s="8" t="s">
        <v>329</v>
      </c>
      <c r="C516" s="2" t="s">
        <v>987</v>
      </c>
      <c r="E516" s="3" t="s">
        <v>621</v>
      </c>
      <c r="F516" s="11" t="b">
        <f t="shared" si="8"/>
        <v>0</v>
      </c>
      <c r="G516" s="11" t="s">
        <v>405</v>
      </c>
      <c r="H516" s="1" t="s">
        <v>265</v>
      </c>
      <c r="J516" s="14" t="s">
        <v>624</v>
      </c>
      <c r="K516" s="2" t="s">
        <v>458</v>
      </c>
      <c r="L516" s="2" t="s">
        <v>623</v>
      </c>
    </row>
    <row r="517" spans="1:17" ht="14.4" hidden="1" x14ac:dyDescent="0.3">
      <c r="A517" s="2">
        <v>7427</v>
      </c>
      <c r="B517" s="8" t="s">
        <v>222</v>
      </c>
      <c r="C517" s="2" t="s">
        <v>678</v>
      </c>
      <c r="E517" s="3" t="s">
        <v>621</v>
      </c>
      <c r="F517" s="11" t="b">
        <f t="shared" si="8"/>
        <v>0</v>
      </c>
      <c r="G517" s="11" t="s">
        <v>394</v>
      </c>
      <c r="H517" s="1" t="s">
        <v>295</v>
      </c>
      <c r="J517" s="14" t="s">
        <v>624</v>
      </c>
      <c r="K517" s="2" t="s">
        <v>458</v>
      </c>
      <c r="L517" s="2" t="s">
        <v>623</v>
      </c>
    </row>
    <row r="518" spans="1:17" ht="14.4" hidden="1" x14ac:dyDescent="0.3">
      <c r="A518" s="2">
        <v>7457</v>
      </c>
      <c r="B518" s="8" t="s">
        <v>426</v>
      </c>
      <c r="C518" s="2" t="s">
        <v>659</v>
      </c>
      <c r="E518" s="3" t="s">
        <v>621</v>
      </c>
      <c r="F518" s="11" t="b">
        <f t="shared" si="8"/>
        <v>0</v>
      </c>
      <c r="G518" s="11" t="s">
        <v>394</v>
      </c>
      <c r="H518" s="1" t="s">
        <v>293</v>
      </c>
      <c r="J518" s="14" t="s">
        <v>624</v>
      </c>
      <c r="K518" s="2" t="s">
        <v>458</v>
      </c>
      <c r="L518" s="2" t="s">
        <v>623</v>
      </c>
    </row>
    <row r="519" spans="1:17" ht="14.4" hidden="1" x14ac:dyDescent="0.3">
      <c r="A519" s="2">
        <v>7511</v>
      </c>
      <c r="B519" s="8" t="s">
        <v>213</v>
      </c>
      <c r="C519" s="2" t="s">
        <v>651</v>
      </c>
      <c r="E519" s="3" t="s">
        <v>621</v>
      </c>
      <c r="F519" s="11" t="b">
        <f t="shared" si="8"/>
        <v>0</v>
      </c>
      <c r="G519" s="11" t="s">
        <v>394</v>
      </c>
      <c r="H519" s="1" t="s">
        <v>294</v>
      </c>
      <c r="J519" s="14" t="s">
        <v>624</v>
      </c>
      <c r="K519" s="2" t="s">
        <v>458</v>
      </c>
      <c r="L519" s="2" t="s">
        <v>623</v>
      </c>
    </row>
    <row r="520" spans="1:17" ht="14.4" hidden="1" x14ac:dyDescent="0.3">
      <c r="A520" s="2">
        <v>7450</v>
      </c>
      <c r="B520" s="8" t="s">
        <v>423</v>
      </c>
      <c r="C520" s="2" t="s">
        <v>655</v>
      </c>
      <c r="E520" s="3" t="s">
        <v>621</v>
      </c>
      <c r="F520" s="11" t="b">
        <f t="shared" si="8"/>
        <v>0</v>
      </c>
      <c r="G520" s="11" t="s">
        <v>394</v>
      </c>
      <c r="H520" s="1" t="s">
        <v>293</v>
      </c>
      <c r="J520" s="14" t="s">
        <v>624</v>
      </c>
      <c r="K520" s="2" t="s">
        <v>458</v>
      </c>
      <c r="L520" s="2" t="s">
        <v>623</v>
      </c>
    </row>
    <row r="521" spans="1:17" ht="14.4" hidden="1" x14ac:dyDescent="0.3">
      <c r="A521" s="2">
        <v>7242</v>
      </c>
      <c r="B521" s="8" t="s">
        <v>223</v>
      </c>
      <c r="C521" s="2" t="s">
        <v>674</v>
      </c>
      <c r="E521" s="3" t="s">
        <v>621</v>
      </c>
      <c r="F521" s="11" t="b">
        <f t="shared" si="8"/>
        <v>0</v>
      </c>
      <c r="G521" s="11" t="s">
        <v>394</v>
      </c>
      <c r="H521" s="1" t="s">
        <v>295</v>
      </c>
      <c r="J521" s="14" t="s">
        <v>624</v>
      </c>
      <c r="K521" s="2" t="s">
        <v>458</v>
      </c>
      <c r="L521" s="2" t="s">
        <v>623</v>
      </c>
    </row>
    <row r="522" spans="1:17" ht="14.4" hidden="1" x14ac:dyDescent="0.3">
      <c r="A522" s="2">
        <v>56892</v>
      </c>
      <c r="B522" s="8" t="s">
        <v>338</v>
      </c>
      <c r="C522" s="2" t="s">
        <v>991</v>
      </c>
      <c r="E522" s="3" t="s">
        <v>621</v>
      </c>
      <c r="F522" s="11" t="b">
        <f t="shared" si="8"/>
        <v>0</v>
      </c>
      <c r="G522" s="11" t="s">
        <v>395</v>
      </c>
      <c r="H522" s="1" t="s">
        <v>353</v>
      </c>
      <c r="J522" s="14" t="s">
        <v>624</v>
      </c>
      <c r="K522" s="2" t="s">
        <v>458</v>
      </c>
      <c r="L522" s="2" t="s">
        <v>623</v>
      </c>
    </row>
    <row r="523" spans="1:17" ht="14.4" hidden="1" x14ac:dyDescent="0.3">
      <c r="A523" s="2">
        <v>56894</v>
      </c>
      <c r="B523" s="8" t="s">
        <v>340</v>
      </c>
      <c r="C523" s="2" t="s">
        <v>993</v>
      </c>
      <c r="E523" s="3" t="s">
        <v>621</v>
      </c>
      <c r="F523" s="11" t="b">
        <f t="shared" si="8"/>
        <v>0</v>
      </c>
      <c r="G523" s="11" t="s">
        <v>395</v>
      </c>
      <c r="H523" s="1" t="s">
        <v>353</v>
      </c>
      <c r="J523" s="14" t="s">
        <v>624</v>
      </c>
      <c r="K523" s="2" t="s">
        <v>458</v>
      </c>
      <c r="L523" s="2" t="s">
        <v>623</v>
      </c>
    </row>
    <row r="524" spans="1:17" ht="14.4" hidden="1" x14ac:dyDescent="0.3">
      <c r="A524" s="2">
        <v>7426</v>
      </c>
      <c r="B524" s="8" t="s">
        <v>218</v>
      </c>
      <c r="C524" s="2" t="s">
        <v>677</v>
      </c>
      <c r="E524" s="3" t="s">
        <v>621</v>
      </c>
      <c r="F524" s="11" t="b">
        <f t="shared" si="8"/>
        <v>0</v>
      </c>
      <c r="G524" s="11" t="s">
        <v>394</v>
      </c>
      <c r="H524" s="1" t="s">
        <v>295</v>
      </c>
      <c r="J524" s="14" t="s">
        <v>624</v>
      </c>
      <c r="K524" s="2" t="s">
        <v>458</v>
      </c>
      <c r="L524" s="2" t="s">
        <v>623</v>
      </c>
    </row>
    <row r="525" spans="1:17" ht="14.4" hidden="1" x14ac:dyDescent="0.3">
      <c r="A525" s="2">
        <v>7012</v>
      </c>
      <c r="B525" s="8" t="s">
        <v>406</v>
      </c>
      <c r="C525" s="2" t="s">
        <v>672</v>
      </c>
      <c r="E525" s="3" t="s">
        <v>621</v>
      </c>
      <c r="F525" s="11" t="b">
        <f t="shared" si="8"/>
        <v>0</v>
      </c>
      <c r="G525" s="11" t="s">
        <v>394</v>
      </c>
      <c r="H525" s="1" t="s">
        <v>295</v>
      </c>
      <c r="J525" s="14" t="s">
        <v>624</v>
      </c>
      <c r="K525" s="2" t="s">
        <v>458</v>
      </c>
      <c r="L525" s="2" t="s">
        <v>623</v>
      </c>
    </row>
    <row r="526" spans="1:17" ht="14.4" hidden="1" x14ac:dyDescent="0.3">
      <c r="A526" s="2">
        <v>56891</v>
      </c>
      <c r="B526" s="8" t="s">
        <v>337</v>
      </c>
      <c r="C526" s="2" t="s">
        <v>990</v>
      </c>
      <c r="E526" s="3" t="s">
        <v>621</v>
      </c>
      <c r="F526" s="11" t="b">
        <f t="shared" si="8"/>
        <v>0</v>
      </c>
      <c r="G526" s="11" t="s">
        <v>395</v>
      </c>
      <c r="H526" s="1" t="s">
        <v>353</v>
      </c>
      <c r="J526" s="14" t="s">
        <v>624</v>
      </c>
      <c r="K526" s="2" t="s">
        <v>458</v>
      </c>
      <c r="L526" s="2" t="s">
        <v>623</v>
      </c>
    </row>
    <row r="527" spans="1:17" ht="14.4" hidden="1" x14ac:dyDescent="0.3">
      <c r="A527" s="2">
        <v>7004</v>
      </c>
      <c r="B527" s="8" t="s">
        <v>221</v>
      </c>
      <c r="C527" s="2" t="s">
        <v>668</v>
      </c>
      <c r="E527" s="3" t="s">
        <v>621</v>
      </c>
      <c r="F527" s="11" t="b">
        <f t="shared" si="8"/>
        <v>0</v>
      </c>
      <c r="G527" s="11" t="s">
        <v>394</v>
      </c>
      <c r="H527" s="1" t="s">
        <v>295</v>
      </c>
      <c r="J527" s="14" t="s">
        <v>624</v>
      </c>
      <c r="K527" s="2" t="s">
        <v>458</v>
      </c>
      <c r="L527" s="2" t="s">
        <v>623</v>
      </c>
    </row>
    <row r="528" spans="1:17" ht="14.4" hidden="1" x14ac:dyDescent="0.3">
      <c r="A528" s="2">
        <v>7456</v>
      </c>
      <c r="B528" s="8" t="s">
        <v>430</v>
      </c>
      <c r="C528" s="2" t="s">
        <v>658</v>
      </c>
      <c r="E528" s="3" t="s">
        <v>621</v>
      </c>
      <c r="F528" s="11" t="b">
        <f t="shared" si="8"/>
        <v>0</v>
      </c>
      <c r="G528" s="11" t="s">
        <v>394</v>
      </c>
      <c r="H528" s="1" t="s">
        <v>293</v>
      </c>
      <c r="J528" s="14" t="s">
        <v>624</v>
      </c>
      <c r="K528" s="2" t="s">
        <v>458</v>
      </c>
      <c r="L528" s="2" t="s">
        <v>623</v>
      </c>
    </row>
    <row r="529" spans="1:17" ht="14.4" hidden="1" x14ac:dyDescent="0.3">
      <c r="A529" s="2">
        <v>7513</v>
      </c>
      <c r="B529" s="8" t="s">
        <v>209</v>
      </c>
      <c r="C529" s="2" t="s">
        <v>653</v>
      </c>
      <c r="E529" s="3" t="s">
        <v>621</v>
      </c>
      <c r="F529" s="11" t="b">
        <f t="shared" si="8"/>
        <v>0</v>
      </c>
      <c r="G529" s="11" t="s">
        <v>394</v>
      </c>
      <c r="H529" s="1" t="s">
        <v>294</v>
      </c>
      <c r="J529" s="14" t="s">
        <v>624</v>
      </c>
      <c r="K529" s="2" t="s">
        <v>458</v>
      </c>
      <c r="L529" s="2" t="s">
        <v>623</v>
      </c>
    </row>
    <row r="530" spans="1:17" ht="14.4" hidden="1" x14ac:dyDescent="0.3">
      <c r="A530" s="2">
        <v>7086</v>
      </c>
      <c r="B530" s="8" t="s">
        <v>205</v>
      </c>
      <c r="C530" s="2" t="s">
        <v>646</v>
      </c>
      <c r="E530" s="3" t="s">
        <v>621</v>
      </c>
      <c r="F530" s="11" t="b">
        <f t="shared" si="8"/>
        <v>0</v>
      </c>
      <c r="G530" s="11" t="s">
        <v>394</v>
      </c>
      <c r="H530" s="1" t="s">
        <v>292</v>
      </c>
      <c r="J530" s="14" t="s">
        <v>624</v>
      </c>
      <c r="K530" s="2" t="s">
        <v>458</v>
      </c>
      <c r="L530" s="2" t="s">
        <v>623</v>
      </c>
    </row>
    <row r="531" spans="1:17" ht="14.4" hidden="1" x14ac:dyDescent="0.3">
      <c r="A531" s="2">
        <v>56895</v>
      </c>
      <c r="B531" s="8" t="s">
        <v>341</v>
      </c>
      <c r="C531" s="2" t="s">
        <v>994</v>
      </c>
      <c r="E531" s="3" t="s">
        <v>621</v>
      </c>
      <c r="F531" s="11" t="b">
        <f t="shared" si="8"/>
        <v>0</v>
      </c>
      <c r="G531" s="11" t="s">
        <v>395</v>
      </c>
      <c r="H531" s="1" t="s">
        <v>353</v>
      </c>
      <c r="J531" s="14" t="s">
        <v>624</v>
      </c>
      <c r="K531" s="2" t="s">
        <v>458</v>
      </c>
      <c r="L531" s="2" t="s">
        <v>623</v>
      </c>
    </row>
    <row r="532" spans="1:17" ht="14.4" hidden="1" x14ac:dyDescent="0.3">
      <c r="A532" s="2">
        <v>7091</v>
      </c>
      <c r="B532" s="8" t="s">
        <v>207</v>
      </c>
      <c r="C532" s="2" t="s">
        <v>649</v>
      </c>
      <c r="E532" s="3" t="s">
        <v>621</v>
      </c>
      <c r="F532" s="11" t="b">
        <f t="shared" si="8"/>
        <v>0</v>
      </c>
      <c r="G532" s="11" t="s">
        <v>394</v>
      </c>
      <c r="H532" s="1" t="s">
        <v>292</v>
      </c>
      <c r="J532" s="14" t="s">
        <v>624</v>
      </c>
      <c r="K532" s="2" t="s">
        <v>458</v>
      </c>
      <c r="L532" s="2" t="s">
        <v>623</v>
      </c>
    </row>
    <row r="533" spans="1:17" ht="14.4" hidden="1" x14ac:dyDescent="0.3">
      <c r="A533" s="2">
        <v>10110</v>
      </c>
      <c r="B533" s="8" t="s">
        <v>108</v>
      </c>
      <c r="C533" s="2" t="s">
        <v>680</v>
      </c>
      <c r="E533" s="3" t="s">
        <v>621</v>
      </c>
      <c r="F533" s="11" t="b">
        <f t="shared" si="8"/>
        <v>0</v>
      </c>
      <c r="G533" s="11" t="s">
        <v>395</v>
      </c>
      <c r="H533" s="1" t="s">
        <v>353</v>
      </c>
      <c r="J533" s="14" t="s">
        <v>624</v>
      </c>
      <c r="K533" s="2" t="s">
        <v>458</v>
      </c>
      <c r="L533" s="2" t="s">
        <v>623</v>
      </c>
    </row>
    <row r="534" spans="1:17" ht="14.4" hidden="1" x14ac:dyDescent="0.3">
      <c r="A534" s="2">
        <v>7008</v>
      </c>
      <c r="B534" s="8" t="s">
        <v>217</v>
      </c>
      <c r="C534" s="2" t="s">
        <v>670</v>
      </c>
      <c r="E534" s="3" t="s">
        <v>621</v>
      </c>
      <c r="F534" s="11" t="b">
        <f t="shared" si="8"/>
        <v>0</v>
      </c>
      <c r="G534" s="11" t="s">
        <v>394</v>
      </c>
      <c r="H534" s="1" t="s">
        <v>295</v>
      </c>
      <c r="J534" s="14" t="s">
        <v>624</v>
      </c>
      <c r="K534" s="2" t="s">
        <v>458</v>
      </c>
      <c r="L534" s="2" t="s">
        <v>623</v>
      </c>
    </row>
    <row r="535" spans="1:17" ht="15.6" hidden="1" customHeight="1" x14ac:dyDescent="0.3">
      <c r="A535" s="2">
        <v>7308</v>
      </c>
      <c r="B535" s="8" t="s">
        <v>216</v>
      </c>
      <c r="C535" s="2" t="s">
        <v>665</v>
      </c>
      <c r="E535" s="3" t="s">
        <v>621</v>
      </c>
      <c r="F535" s="11" t="b">
        <f t="shared" si="8"/>
        <v>0</v>
      </c>
      <c r="G535" s="11" t="s">
        <v>394</v>
      </c>
      <c r="H535" s="1" t="s">
        <v>356</v>
      </c>
      <c r="J535" s="14" t="s">
        <v>624</v>
      </c>
      <c r="K535" s="2" t="s">
        <v>458</v>
      </c>
      <c r="L535" s="2" t="s">
        <v>623</v>
      </c>
    </row>
    <row r="536" spans="1:17" ht="15.6" hidden="1" customHeight="1" x14ac:dyDescent="0.3">
      <c r="A536" s="2">
        <v>7309</v>
      </c>
      <c r="B536" s="8" t="s">
        <v>214</v>
      </c>
      <c r="C536" s="2" t="s">
        <v>666</v>
      </c>
      <c r="E536" s="3" t="s">
        <v>621</v>
      </c>
      <c r="F536" s="11" t="b">
        <f t="shared" si="8"/>
        <v>0</v>
      </c>
      <c r="G536" s="11" t="s">
        <v>394</v>
      </c>
      <c r="H536" s="1" t="s">
        <v>356</v>
      </c>
      <c r="J536" s="14" t="s">
        <v>624</v>
      </c>
      <c r="K536" s="2" t="s">
        <v>458</v>
      </c>
      <c r="L536" s="2" t="s">
        <v>623</v>
      </c>
    </row>
    <row r="537" spans="1:17" ht="15.6" hidden="1" customHeight="1" x14ac:dyDescent="0.3">
      <c r="A537" s="2">
        <v>7090</v>
      </c>
      <c r="B537" s="8" t="s">
        <v>208</v>
      </c>
      <c r="C537" s="2" t="s">
        <v>648</v>
      </c>
      <c r="E537" s="3" t="s">
        <v>621</v>
      </c>
      <c r="F537" s="11" t="b">
        <f t="shared" si="8"/>
        <v>0</v>
      </c>
      <c r="G537" s="11" t="s">
        <v>394</v>
      </c>
      <c r="H537" s="1" t="s">
        <v>292</v>
      </c>
      <c r="J537" s="14" t="s">
        <v>624</v>
      </c>
      <c r="K537" s="2" t="s">
        <v>458</v>
      </c>
      <c r="L537" s="2" t="s">
        <v>623</v>
      </c>
    </row>
    <row r="538" spans="1:17" ht="15.6" hidden="1" customHeight="1" x14ac:dyDescent="0.3">
      <c r="A538" s="2">
        <v>7006</v>
      </c>
      <c r="B538" s="8" t="s">
        <v>355</v>
      </c>
      <c r="C538" s="2" t="s">
        <v>669</v>
      </c>
      <c r="E538" s="3" t="s">
        <v>621</v>
      </c>
      <c r="F538" s="11" t="b">
        <f t="shared" si="8"/>
        <v>0</v>
      </c>
      <c r="G538" s="11" t="s">
        <v>394</v>
      </c>
      <c r="H538" s="1" t="s">
        <v>295</v>
      </c>
      <c r="J538" s="14" t="s">
        <v>624</v>
      </c>
      <c r="K538" s="2" t="s">
        <v>458</v>
      </c>
      <c r="L538" s="2" t="s">
        <v>623</v>
      </c>
    </row>
    <row r="539" spans="1:17" ht="15.6" hidden="1" customHeight="1" x14ac:dyDescent="0.3">
      <c r="A539" s="2">
        <v>7455</v>
      </c>
      <c r="B539" s="8" t="s">
        <v>425</v>
      </c>
      <c r="C539" s="2" t="s">
        <v>657</v>
      </c>
      <c r="E539" s="3" t="s">
        <v>621</v>
      </c>
      <c r="F539" s="11" t="b">
        <f t="shared" si="8"/>
        <v>0</v>
      </c>
      <c r="G539" s="11" t="s">
        <v>394</v>
      </c>
      <c r="H539" s="1" t="s">
        <v>293</v>
      </c>
      <c r="J539" s="14" t="s">
        <v>624</v>
      </c>
      <c r="K539" s="2" t="s">
        <v>458</v>
      </c>
      <c r="L539" s="2" t="s">
        <v>623</v>
      </c>
    </row>
    <row r="540" spans="1:17" ht="15.6" hidden="1" customHeight="1" x14ac:dyDescent="0.3">
      <c r="A540" s="2">
        <v>7074</v>
      </c>
      <c r="B540" s="8" t="s">
        <v>226</v>
      </c>
      <c r="C540" s="2" t="s">
        <v>673</v>
      </c>
      <c r="E540" s="3" t="s">
        <v>621</v>
      </c>
      <c r="F540" s="11" t="b">
        <f t="shared" si="8"/>
        <v>0</v>
      </c>
      <c r="G540" s="11" t="s">
        <v>394</v>
      </c>
      <c r="H540" s="1" t="s">
        <v>295</v>
      </c>
      <c r="J540" s="14" t="s">
        <v>624</v>
      </c>
      <c r="K540" s="2" t="s">
        <v>458</v>
      </c>
      <c r="L540" s="2" t="s">
        <v>623</v>
      </c>
    </row>
    <row r="541" spans="1:17" ht="15.6" hidden="1" customHeight="1" x14ac:dyDescent="0.3">
      <c r="A541" s="2">
        <v>7469</v>
      </c>
      <c r="B541" s="8" t="s">
        <v>429</v>
      </c>
      <c r="C541" s="2" t="s">
        <v>662</v>
      </c>
      <c r="E541" s="3" t="s">
        <v>621</v>
      </c>
      <c r="F541" s="11" t="b">
        <f t="shared" si="8"/>
        <v>0</v>
      </c>
      <c r="G541" s="11" t="s">
        <v>394</v>
      </c>
      <c r="H541" s="1" t="s">
        <v>293</v>
      </c>
      <c r="J541" s="14" t="s">
        <v>624</v>
      </c>
      <c r="K541" s="2" t="s">
        <v>458</v>
      </c>
      <c r="L541" s="2" t="s">
        <v>623</v>
      </c>
    </row>
    <row r="542" spans="1:17" ht="15.6" hidden="1" customHeight="1" x14ac:dyDescent="0.3">
      <c r="A542" s="2">
        <v>10112</v>
      </c>
      <c r="B542" s="8" t="s">
        <v>105</v>
      </c>
      <c r="C542" s="2" t="s">
        <v>682</v>
      </c>
      <c r="E542" s="3" t="s">
        <v>621</v>
      </c>
      <c r="F542" s="11" t="b">
        <f t="shared" si="8"/>
        <v>0</v>
      </c>
      <c r="G542" s="11" t="s">
        <v>395</v>
      </c>
      <c r="H542" s="1" t="s">
        <v>353</v>
      </c>
      <c r="J542" s="14" t="s">
        <v>624</v>
      </c>
      <c r="K542" s="2" t="s">
        <v>458</v>
      </c>
      <c r="L542" s="2" t="s">
        <v>623</v>
      </c>
    </row>
    <row r="543" spans="1:17" ht="15.6" hidden="1" customHeight="1" x14ac:dyDescent="0.3">
      <c r="A543" s="2">
        <v>10113</v>
      </c>
      <c r="B543" s="8" t="s">
        <v>107</v>
      </c>
      <c r="C543" s="2" t="s">
        <v>683</v>
      </c>
      <c r="E543" s="3" t="s">
        <v>621</v>
      </c>
      <c r="F543" s="11" t="b">
        <f t="shared" si="8"/>
        <v>0</v>
      </c>
      <c r="G543" s="11" t="s">
        <v>395</v>
      </c>
      <c r="H543" s="1" t="s">
        <v>353</v>
      </c>
      <c r="J543" s="14" t="s">
        <v>624</v>
      </c>
      <c r="K543" s="2" t="s">
        <v>458</v>
      </c>
      <c r="L543" s="2" t="s">
        <v>623</v>
      </c>
    </row>
    <row r="544" spans="1:17" ht="15.6" hidden="1" customHeight="1" x14ac:dyDescent="0.3">
      <c r="A544" s="2">
        <v>39203</v>
      </c>
      <c r="B544" s="8" t="s">
        <v>527</v>
      </c>
      <c r="C544" t="s">
        <v>738</v>
      </c>
      <c r="D544"/>
      <c r="E544" s="3" t="s">
        <v>621</v>
      </c>
      <c r="F544" s="11" t="b">
        <f t="shared" si="8"/>
        <v>0</v>
      </c>
      <c r="G544" s="11" t="s">
        <v>398</v>
      </c>
      <c r="H544" s="1" t="s">
        <v>280</v>
      </c>
      <c r="J544" s="14" t="s">
        <v>628</v>
      </c>
      <c r="K544" s="2" t="s">
        <v>1262</v>
      </c>
      <c r="L544" s="2" t="s">
        <v>686</v>
      </c>
      <c r="Q544"/>
    </row>
    <row r="545" spans="1:17" ht="15.6" hidden="1" customHeight="1" x14ac:dyDescent="0.3">
      <c r="A545" s="2">
        <v>39204</v>
      </c>
      <c r="B545" s="8" t="s">
        <v>528</v>
      </c>
      <c r="C545" t="s">
        <v>739</v>
      </c>
      <c r="D545"/>
      <c r="E545" s="3" t="s">
        <v>621</v>
      </c>
      <c r="F545" s="11" t="b">
        <f t="shared" si="8"/>
        <v>0</v>
      </c>
      <c r="G545" s="11" t="s">
        <v>398</v>
      </c>
      <c r="H545" s="1" t="s">
        <v>280</v>
      </c>
      <c r="J545" s="14" t="s">
        <v>628</v>
      </c>
      <c r="K545" s="2" t="s">
        <v>1262</v>
      </c>
      <c r="L545" s="2" t="s">
        <v>686</v>
      </c>
      <c r="Q545"/>
    </row>
    <row r="546" spans="1:17" ht="15.6" hidden="1" customHeight="1" x14ac:dyDescent="0.3">
      <c r="A546" s="2">
        <v>39205</v>
      </c>
      <c r="B546" s="8" t="s">
        <v>529</v>
      </c>
      <c r="C546" t="s">
        <v>740</v>
      </c>
      <c r="D546"/>
      <c r="E546" s="3" t="s">
        <v>621</v>
      </c>
      <c r="F546" s="11" t="b">
        <f t="shared" si="8"/>
        <v>0</v>
      </c>
      <c r="G546" s="11" t="s">
        <v>398</v>
      </c>
      <c r="H546" s="1" t="s">
        <v>280</v>
      </c>
      <c r="J546" s="14" t="s">
        <v>628</v>
      </c>
      <c r="K546" s="2" t="s">
        <v>1262</v>
      </c>
      <c r="L546" s="2" t="s">
        <v>686</v>
      </c>
      <c r="Q546"/>
    </row>
    <row r="547" spans="1:17" ht="15.6" hidden="1" customHeight="1" x14ac:dyDescent="0.3">
      <c r="A547" s="2">
        <v>39206</v>
      </c>
      <c r="B547" s="8" t="s">
        <v>530</v>
      </c>
      <c r="C547" t="s">
        <v>741</v>
      </c>
      <c r="D547"/>
      <c r="E547" s="3" t="s">
        <v>621</v>
      </c>
      <c r="F547" s="11" t="b">
        <f t="shared" si="8"/>
        <v>0</v>
      </c>
      <c r="G547" s="11" t="s">
        <v>398</v>
      </c>
      <c r="H547" s="1" t="s">
        <v>280</v>
      </c>
      <c r="J547" s="14" t="s">
        <v>628</v>
      </c>
      <c r="K547" s="2" t="s">
        <v>1262</v>
      </c>
      <c r="L547" s="2" t="s">
        <v>686</v>
      </c>
      <c r="Q547"/>
    </row>
    <row r="548" spans="1:17" ht="15.6" hidden="1" customHeight="1" x14ac:dyDescent="0.3">
      <c r="A548" s="2">
        <v>39226</v>
      </c>
      <c r="B548" s="8" t="s">
        <v>376</v>
      </c>
      <c r="C548" t="s">
        <v>750</v>
      </c>
      <c r="D548"/>
      <c r="E548" s="3" t="s">
        <v>621</v>
      </c>
      <c r="F548" s="11" t="b">
        <f t="shared" si="8"/>
        <v>0</v>
      </c>
      <c r="G548" s="11" t="s">
        <v>398</v>
      </c>
      <c r="H548" s="1" t="s">
        <v>280</v>
      </c>
      <c r="J548" s="14" t="s">
        <v>628</v>
      </c>
      <c r="K548" s="2" t="s">
        <v>1262</v>
      </c>
      <c r="L548" s="2" t="s">
        <v>686</v>
      </c>
      <c r="Q548"/>
    </row>
    <row r="549" spans="1:17" ht="15.6" hidden="1" customHeight="1" x14ac:dyDescent="0.3">
      <c r="A549" s="2">
        <v>39227</v>
      </c>
      <c r="B549" s="8" t="s">
        <v>377</v>
      </c>
      <c r="C549" t="s">
        <v>751</v>
      </c>
      <c r="D549"/>
      <c r="E549" s="3" t="s">
        <v>621</v>
      </c>
      <c r="F549" s="11" t="b">
        <f t="shared" si="8"/>
        <v>0</v>
      </c>
      <c r="G549" s="11" t="s">
        <v>398</v>
      </c>
      <c r="H549" s="1" t="s">
        <v>280</v>
      </c>
      <c r="J549" s="14" t="s">
        <v>628</v>
      </c>
      <c r="K549" s="2" t="s">
        <v>1262</v>
      </c>
      <c r="L549" s="2" t="s">
        <v>686</v>
      </c>
      <c r="Q549"/>
    </row>
    <row r="550" spans="1:17" ht="15.6" hidden="1" customHeight="1" x14ac:dyDescent="0.3">
      <c r="A550" s="2">
        <v>39228</v>
      </c>
      <c r="B550" s="8" t="s">
        <v>378</v>
      </c>
      <c r="C550" t="s">
        <v>752</v>
      </c>
      <c r="D550"/>
      <c r="E550" s="3" t="s">
        <v>621</v>
      </c>
      <c r="F550" s="11" t="b">
        <f t="shared" si="8"/>
        <v>0</v>
      </c>
      <c r="G550" s="11" t="s">
        <v>398</v>
      </c>
      <c r="H550" s="1" t="s">
        <v>280</v>
      </c>
      <c r="J550" s="14" t="s">
        <v>628</v>
      </c>
      <c r="K550" s="2" t="s">
        <v>1262</v>
      </c>
      <c r="L550" s="2" t="s">
        <v>686</v>
      </c>
      <c r="Q550"/>
    </row>
    <row r="551" spans="1:17" ht="15.6" hidden="1" customHeight="1" x14ac:dyDescent="0.3">
      <c r="A551" s="2">
        <v>39229</v>
      </c>
      <c r="B551" s="8" t="s">
        <v>379</v>
      </c>
      <c r="C551" t="s">
        <v>753</v>
      </c>
      <c r="D551"/>
      <c r="E551" s="3" t="s">
        <v>621</v>
      </c>
      <c r="F551" s="11" t="b">
        <f t="shared" si="8"/>
        <v>0</v>
      </c>
      <c r="G551" s="11" t="s">
        <v>398</v>
      </c>
      <c r="H551" s="1" t="s">
        <v>280</v>
      </c>
      <c r="J551" s="14" t="s">
        <v>628</v>
      </c>
      <c r="K551" s="2" t="s">
        <v>1262</v>
      </c>
      <c r="L551" s="2" t="s">
        <v>686</v>
      </c>
      <c r="Q551"/>
    </row>
    <row r="552" spans="1:17" ht="15.6" hidden="1" customHeight="1" x14ac:dyDescent="0.3">
      <c r="A552" s="2">
        <v>56671</v>
      </c>
      <c r="B552" s="8" t="s">
        <v>420</v>
      </c>
      <c r="C552" t="s">
        <v>966</v>
      </c>
      <c r="D552"/>
      <c r="E552" s="3" t="s">
        <v>621</v>
      </c>
      <c r="F552" s="11" t="b">
        <f t="shared" si="8"/>
        <v>0</v>
      </c>
      <c r="G552" s="11" t="s">
        <v>401</v>
      </c>
      <c r="H552" s="1" t="s">
        <v>278</v>
      </c>
      <c r="J552" s="14" t="s">
        <v>628</v>
      </c>
      <c r="K552" s="2" t="s">
        <v>1263</v>
      </c>
      <c r="L552" s="2" t="s">
        <v>686</v>
      </c>
      <c r="Q552"/>
    </row>
    <row r="553" spans="1:17" ht="15.6" hidden="1" customHeight="1" x14ac:dyDescent="0.3">
      <c r="A553" s="2">
        <v>56535</v>
      </c>
      <c r="B553" s="8" t="s">
        <v>1189</v>
      </c>
      <c r="C553" t="s">
        <v>1188</v>
      </c>
      <c r="D553"/>
      <c r="E553" s="3" t="s">
        <v>620</v>
      </c>
      <c r="F553" s="11" t="b">
        <f t="shared" si="8"/>
        <v>0</v>
      </c>
      <c r="G553" s="11" t="s">
        <v>401</v>
      </c>
      <c r="J553" s="14" t="s">
        <v>624</v>
      </c>
      <c r="K553" s="2" t="s">
        <v>1263</v>
      </c>
      <c r="L553" s="2" t="s">
        <v>686</v>
      </c>
      <c r="Q553"/>
    </row>
    <row r="554" spans="1:17" ht="15.6" hidden="1" customHeight="1" x14ac:dyDescent="0.3">
      <c r="A554" s="2">
        <v>20360</v>
      </c>
      <c r="B554" s="8" t="s">
        <v>17</v>
      </c>
      <c r="C554" t="s">
        <v>685</v>
      </c>
      <c r="D554"/>
      <c r="E554" s="3" t="s">
        <v>621</v>
      </c>
      <c r="F554" s="11" t="b">
        <f t="shared" si="8"/>
        <v>0</v>
      </c>
      <c r="G554" s="11" t="s">
        <v>408</v>
      </c>
      <c r="H554" s="1" t="s">
        <v>15</v>
      </c>
      <c r="J554" s="14" t="s">
        <v>624</v>
      </c>
      <c r="K554" s="2" t="s">
        <v>1263</v>
      </c>
      <c r="L554" s="2" t="s">
        <v>686</v>
      </c>
      <c r="Q554"/>
    </row>
    <row r="555" spans="1:17" ht="15.6" hidden="1" customHeight="1" x14ac:dyDescent="0.3">
      <c r="A555" s="2">
        <v>39585</v>
      </c>
      <c r="B555" s="8" t="s">
        <v>333</v>
      </c>
      <c r="C555" t="s">
        <v>804</v>
      </c>
      <c r="D555"/>
      <c r="E555" s="3" t="s">
        <v>621</v>
      </c>
      <c r="F555" s="11" t="b">
        <f t="shared" si="8"/>
        <v>0</v>
      </c>
      <c r="G555" s="11" t="s">
        <v>401</v>
      </c>
      <c r="H555" s="1" t="s">
        <v>287</v>
      </c>
      <c r="J555" s="14" t="s">
        <v>624</v>
      </c>
      <c r="K555" s="2" t="s">
        <v>1263</v>
      </c>
      <c r="L555" s="2" t="s">
        <v>686</v>
      </c>
      <c r="Q555"/>
    </row>
    <row r="556" spans="1:17" ht="15.6" hidden="1" customHeight="1" x14ac:dyDescent="0.3">
      <c r="A556" s="2">
        <v>39586</v>
      </c>
      <c r="B556" s="8" t="s">
        <v>334</v>
      </c>
      <c r="C556" t="s">
        <v>805</v>
      </c>
      <c r="D556"/>
      <c r="E556" s="3" t="s">
        <v>621</v>
      </c>
      <c r="F556" s="11" t="b">
        <f t="shared" si="8"/>
        <v>0</v>
      </c>
      <c r="G556" s="11" t="s">
        <v>401</v>
      </c>
      <c r="H556" s="1" t="s">
        <v>287</v>
      </c>
      <c r="J556" s="14" t="s">
        <v>624</v>
      </c>
      <c r="K556" s="2" t="s">
        <v>1263</v>
      </c>
      <c r="L556" s="2" t="s">
        <v>686</v>
      </c>
      <c r="Q556"/>
    </row>
    <row r="557" spans="1:17" ht="15.6" customHeight="1" x14ac:dyDescent="0.3">
      <c r="A557" s="2">
        <v>56623</v>
      </c>
      <c r="B557" s="8" t="s">
        <v>478</v>
      </c>
      <c r="C557" t="s">
        <v>935</v>
      </c>
      <c r="D557"/>
      <c r="E557" s="3" t="s">
        <v>621</v>
      </c>
      <c r="F557" s="11" t="b">
        <f t="shared" si="8"/>
        <v>0</v>
      </c>
      <c r="G557" s="11" t="s">
        <v>1265</v>
      </c>
      <c r="H557" s="1" t="s">
        <v>269</v>
      </c>
      <c r="J557" s="14" t="s">
        <v>624</v>
      </c>
      <c r="K557" s="2" t="s">
        <v>1289</v>
      </c>
      <c r="L557" s="2" t="s">
        <v>686</v>
      </c>
      <c r="Q557"/>
    </row>
    <row r="558" spans="1:17" ht="15.6" customHeight="1" x14ac:dyDescent="0.3">
      <c r="A558" s="2">
        <v>56656</v>
      </c>
      <c r="B558" s="8" t="s">
        <v>491</v>
      </c>
      <c r="C558" t="s">
        <v>954</v>
      </c>
      <c r="D558"/>
      <c r="E558" s="3" t="s">
        <v>621</v>
      </c>
      <c r="F558" s="11" t="b">
        <f t="shared" si="8"/>
        <v>0</v>
      </c>
      <c r="G558" s="11" t="s">
        <v>1265</v>
      </c>
      <c r="H558" s="1" t="s">
        <v>284</v>
      </c>
      <c r="J558" s="14" t="s">
        <v>624</v>
      </c>
      <c r="K558" s="2" t="s">
        <v>1289</v>
      </c>
      <c r="L558" s="2" t="s">
        <v>686</v>
      </c>
      <c r="Q558"/>
    </row>
    <row r="559" spans="1:17" ht="15.6" hidden="1" customHeight="1" x14ac:dyDescent="0.3">
      <c r="A559" s="2">
        <v>69927</v>
      </c>
      <c r="B559" s="8" t="s">
        <v>373</v>
      </c>
      <c r="C559" t="s">
        <v>1064</v>
      </c>
      <c r="D559"/>
      <c r="E559" s="3" t="s">
        <v>621</v>
      </c>
      <c r="F559" s="11" t="b">
        <f t="shared" si="8"/>
        <v>0</v>
      </c>
      <c r="G559" s="11" t="s">
        <v>403</v>
      </c>
      <c r="H559" s="1" t="s">
        <v>280</v>
      </c>
      <c r="J559" s="14" t="s">
        <v>624</v>
      </c>
      <c r="K559" s="2" t="s">
        <v>1260</v>
      </c>
      <c r="L559" s="2" t="s">
        <v>686</v>
      </c>
      <c r="Q559"/>
    </row>
    <row r="560" spans="1:17" ht="15.6" hidden="1" customHeight="1" x14ac:dyDescent="0.3">
      <c r="A560" s="2">
        <v>2020</v>
      </c>
      <c r="B560" s="8" t="s">
        <v>203</v>
      </c>
      <c r="C560" s="2" t="s">
        <v>622</v>
      </c>
      <c r="E560" s="3" t="s">
        <v>621</v>
      </c>
      <c r="F560" s="11" t="b">
        <f t="shared" si="8"/>
        <v>0</v>
      </c>
      <c r="G560" s="11" t="s">
        <v>119</v>
      </c>
      <c r="H560" s="1" t="s">
        <v>434</v>
      </c>
      <c r="J560" s="14" t="s">
        <v>624</v>
      </c>
      <c r="K560" s="2" t="s">
        <v>458</v>
      </c>
      <c r="L560" s="2" t="s">
        <v>623</v>
      </c>
    </row>
    <row r="561" spans="1:17" ht="15.6" hidden="1" customHeight="1" x14ac:dyDescent="0.3">
      <c r="A561" s="2">
        <v>39803</v>
      </c>
      <c r="B561" s="8" t="s">
        <v>533</v>
      </c>
      <c r="C561" t="s">
        <v>812</v>
      </c>
      <c r="D561"/>
      <c r="E561" s="3" t="s">
        <v>621</v>
      </c>
      <c r="F561" s="11" t="b">
        <f t="shared" si="8"/>
        <v>0</v>
      </c>
      <c r="G561" s="11" t="s">
        <v>399</v>
      </c>
      <c r="H561" s="1" t="s">
        <v>280</v>
      </c>
      <c r="J561" s="14" t="s">
        <v>628</v>
      </c>
      <c r="K561" s="2" t="s">
        <v>1260</v>
      </c>
      <c r="L561" s="2" t="s">
        <v>686</v>
      </c>
      <c r="Q561"/>
    </row>
    <row r="562" spans="1:17" ht="15.6" hidden="1" customHeight="1" x14ac:dyDescent="0.3">
      <c r="A562" s="2">
        <v>39804</v>
      </c>
      <c r="B562" s="8" t="s">
        <v>534</v>
      </c>
      <c r="C562" t="s">
        <v>813</v>
      </c>
      <c r="D562"/>
      <c r="E562" s="3" t="s">
        <v>621</v>
      </c>
      <c r="F562" s="11" t="b">
        <f t="shared" si="8"/>
        <v>0</v>
      </c>
      <c r="G562" s="11" t="s">
        <v>399</v>
      </c>
      <c r="H562" s="1" t="s">
        <v>280</v>
      </c>
      <c r="J562" s="14" t="s">
        <v>628</v>
      </c>
      <c r="K562" s="2" t="s">
        <v>1260</v>
      </c>
      <c r="L562" s="2" t="s">
        <v>686</v>
      </c>
      <c r="Q562"/>
    </row>
    <row r="563" spans="1:17" ht="15.6" hidden="1" customHeight="1" x14ac:dyDescent="0.3">
      <c r="A563" s="2">
        <v>39805</v>
      </c>
      <c r="B563" s="8" t="s">
        <v>535</v>
      </c>
      <c r="C563" t="s">
        <v>814</v>
      </c>
      <c r="D563"/>
      <c r="E563" s="3" t="s">
        <v>621</v>
      </c>
      <c r="F563" s="11" t="b">
        <f t="shared" si="8"/>
        <v>0</v>
      </c>
      <c r="G563" s="11" t="s">
        <v>399</v>
      </c>
      <c r="H563" s="1" t="s">
        <v>280</v>
      </c>
      <c r="J563" s="14" t="s">
        <v>628</v>
      </c>
      <c r="K563" s="2" t="s">
        <v>1260</v>
      </c>
      <c r="L563" s="2" t="s">
        <v>686</v>
      </c>
      <c r="Q563"/>
    </row>
    <row r="564" spans="1:17" ht="15.6" hidden="1" customHeight="1" x14ac:dyDescent="0.3">
      <c r="A564" s="2">
        <v>39806</v>
      </c>
      <c r="B564" s="8" t="s">
        <v>536</v>
      </c>
      <c r="C564" t="s">
        <v>815</v>
      </c>
      <c r="D564"/>
      <c r="E564" s="3" t="s">
        <v>621</v>
      </c>
      <c r="F564" s="11" t="b">
        <f t="shared" si="8"/>
        <v>0</v>
      </c>
      <c r="G564" s="11" t="s">
        <v>399</v>
      </c>
      <c r="H564" s="1" t="s">
        <v>280</v>
      </c>
      <c r="J564" s="14" t="s">
        <v>628</v>
      </c>
      <c r="K564" s="2" t="s">
        <v>1260</v>
      </c>
      <c r="L564" s="2" t="s">
        <v>686</v>
      </c>
      <c r="Q564"/>
    </row>
    <row r="565" spans="1:17" ht="15.6" hidden="1" customHeight="1" x14ac:dyDescent="0.3">
      <c r="A565" s="2">
        <v>39826</v>
      </c>
      <c r="B565" s="8" t="s">
        <v>384</v>
      </c>
      <c r="C565" t="s">
        <v>824</v>
      </c>
      <c r="D565"/>
      <c r="E565" s="3" t="s">
        <v>621</v>
      </c>
      <c r="F565" s="11" t="b">
        <f t="shared" si="8"/>
        <v>0</v>
      </c>
      <c r="G565" s="11" t="s">
        <v>399</v>
      </c>
      <c r="H565" s="1" t="s">
        <v>280</v>
      </c>
      <c r="J565" s="14" t="s">
        <v>628</v>
      </c>
      <c r="K565" s="2" t="s">
        <v>1260</v>
      </c>
      <c r="L565" s="2" t="s">
        <v>686</v>
      </c>
      <c r="Q565"/>
    </row>
    <row r="566" spans="1:17" ht="15.6" hidden="1" customHeight="1" x14ac:dyDescent="0.3">
      <c r="A566" s="2">
        <v>39827</v>
      </c>
      <c r="B566" s="8" t="s">
        <v>385</v>
      </c>
      <c r="C566" t="s">
        <v>825</v>
      </c>
      <c r="D566"/>
      <c r="E566" s="3" t="s">
        <v>621</v>
      </c>
      <c r="F566" s="11" t="b">
        <f t="shared" si="8"/>
        <v>0</v>
      </c>
      <c r="G566" s="11" t="s">
        <v>399</v>
      </c>
      <c r="H566" s="1" t="s">
        <v>280</v>
      </c>
      <c r="J566" s="14" t="s">
        <v>628</v>
      </c>
      <c r="K566" s="2" t="s">
        <v>1260</v>
      </c>
      <c r="L566" s="2" t="s">
        <v>686</v>
      </c>
      <c r="Q566"/>
    </row>
    <row r="567" spans="1:17" ht="15.6" hidden="1" customHeight="1" x14ac:dyDescent="0.3">
      <c r="A567" s="2">
        <v>39828</v>
      </c>
      <c r="B567" s="8" t="s">
        <v>386</v>
      </c>
      <c r="C567" t="s">
        <v>826</v>
      </c>
      <c r="D567"/>
      <c r="E567" s="3" t="s">
        <v>621</v>
      </c>
      <c r="F567" s="11" t="b">
        <f t="shared" si="8"/>
        <v>0</v>
      </c>
      <c r="G567" s="11" t="s">
        <v>399</v>
      </c>
      <c r="H567" s="1" t="s">
        <v>280</v>
      </c>
      <c r="J567" s="14" t="s">
        <v>628</v>
      </c>
      <c r="K567" s="2" t="s">
        <v>1260</v>
      </c>
      <c r="L567" s="2" t="s">
        <v>686</v>
      </c>
      <c r="Q567"/>
    </row>
    <row r="568" spans="1:17" ht="15.6" hidden="1" customHeight="1" x14ac:dyDescent="0.3">
      <c r="A568" s="2">
        <v>39829</v>
      </c>
      <c r="B568" s="8" t="s">
        <v>387</v>
      </c>
      <c r="C568" t="s">
        <v>827</v>
      </c>
      <c r="D568"/>
      <c r="E568" s="3" t="s">
        <v>621</v>
      </c>
      <c r="F568" s="11" t="b">
        <f t="shared" si="8"/>
        <v>0</v>
      </c>
      <c r="G568" s="11" t="s">
        <v>399</v>
      </c>
      <c r="H568" s="1" t="s">
        <v>280</v>
      </c>
      <c r="J568" s="14" t="s">
        <v>628</v>
      </c>
      <c r="K568" s="2" t="s">
        <v>1260</v>
      </c>
      <c r="L568" s="2" t="s">
        <v>686</v>
      </c>
      <c r="Q568"/>
    </row>
    <row r="569" spans="1:17" ht="15.6" hidden="1" customHeight="1" x14ac:dyDescent="0.3">
      <c r="A569" s="2">
        <v>56548</v>
      </c>
      <c r="B569" s="8" t="s">
        <v>389</v>
      </c>
      <c r="C569" t="s">
        <v>898</v>
      </c>
      <c r="D569"/>
      <c r="E569" s="3" t="s">
        <v>621</v>
      </c>
      <c r="F569" s="11" t="b">
        <f t="shared" si="8"/>
        <v>0</v>
      </c>
      <c r="G569" s="11" t="s">
        <v>400</v>
      </c>
      <c r="H569" s="1" t="s">
        <v>280</v>
      </c>
      <c r="J569" s="14" t="s">
        <v>628</v>
      </c>
      <c r="K569" s="2" t="s">
        <v>1263</v>
      </c>
      <c r="L569" s="2" t="s">
        <v>686</v>
      </c>
      <c r="Q569"/>
    </row>
    <row r="570" spans="1:17" ht="15.6" hidden="1" customHeight="1" x14ac:dyDescent="0.3">
      <c r="A570" s="2">
        <v>56549</v>
      </c>
      <c r="B570" s="8" t="s">
        <v>390</v>
      </c>
      <c r="C570" t="s">
        <v>899</v>
      </c>
      <c r="D570"/>
      <c r="E570" s="3" t="s">
        <v>621</v>
      </c>
      <c r="F570" s="11" t="b">
        <f t="shared" si="8"/>
        <v>0</v>
      </c>
      <c r="G570" s="11" t="s">
        <v>400</v>
      </c>
      <c r="H570" s="1" t="s">
        <v>280</v>
      </c>
      <c r="J570" s="14" t="s">
        <v>628</v>
      </c>
      <c r="K570" s="2" t="s">
        <v>1263</v>
      </c>
      <c r="L570" s="2" t="s">
        <v>686</v>
      </c>
      <c r="Q570"/>
    </row>
    <row r="571" spans="1:17" ht="15.6" hidden="1" customHeight="1" x14ac:dyDescent="0.3">
      <c r="A571" s="2">
        <v>56550</v>
      </c>
      <c r="B571" s="8" t="s">
        <v>391</v>
      </c>
      <c r="C571" t="s">
        <v>900</v>
      </c>
      <c r="D571"/>
      <c r="E571" s="3" t="s">
        <v>621</v>
      </c>
      <c r="F571" s="11" t="b">
        <f t="shared" si="8"/>
        <v>0</v>
      </c>
      <c r="G571" s="11" t="s">
        <v>400</v>
      </c>
      <c r="H571" s="1" t="s">
        <v>280</v>
      </c>
      <c r="J571" s="14" t="s">
        <v>628</v>
      </c>
      <c r="K571" s="2" t="s">
        <v>1263</v>
      </c>
      <c r="L571" s="2" t="s">
        <v>686</v>
      </c>
      <c r="Q571"/>
    </row>
    <row r="572" spans="1:17" ht="15.6" hidden="1" customHeight="1" x14ac:dyDescent="0.3">
      <c r="A572" s="2">
        <v>56551</v>
      </c>
      <c r="B572" s="8" t="s">
        <v>392</v>
      </c>
      <c r="C572" t="s">
        <v>901</v>
      </c>
      <c r="D572"/>
      <c r="E572" s="3" t="s">
        <v>621</v>
      </c>
      <c r="F572" s="11" t="b">
        <f t="shared" si="8"/>
        <v>0</v>
      </c>
      <c r="G572" s="11" t="s">
        <v>400</v>
      </c>
      <c r="H572" s="1" t="s">
        <v>280</v>
      </c>
      <c r="J572" s="14" t="s">
        <v>628</v>
      </c>
      <c r="K572" s="2" t="s">
        <v>1263</v>
      </c>
      <c r="L572" s="2" t="s">
        <v>686</v>
      </c>
      <c r="Q572"/>
    </row>
    <row r="573" spans="1:17" ht="15.6" customHeight="1" x14ac:dyDescent="0.3">
      <c r="A573" s="2">
        <v>56624</v>
      </c>
      <c r="B573" s="8" t="s">
        <v>479</v>
      </c>
      <c r="C573" t="s">
        <v>936</v>
      </c>
      <c r="D573"/>
      <c r="E573" s="3" t="s">
        <v>621</v>
      </c>
      <c r="F573" s="11" t="b">
        <f t="shared" si="8"/>
        <v>0</v>
      </c>
      <c r="G573" s="11" t="s">
        <v>1265</v>
      </c>
      <c r="H573" s="1" t="s">
        <v>280</v>
      </c>
      <c r="J573" s="14" t="s">
        <v>628</v>
      </c>
      <c r="K573" s="2" t="s">
        <v>1289</v>
      </c>
      <c r="L573" s="2" t="s">
        <v>686</v>
      </c>
      <c r="Q573"/>
    </row>
    <row r="574" spans="1:17" ht="15.6" customHeight="1" x14ac:dyDescent="0.3">
      <c r="A574" s="2">
        <v>56648</v>
      </c>
      <c r="B574" s="8" t="s">
        <v>487</v>
      </c>
      <c r="C574" t="s">
        <v>949</v>
      </c>
      <c r="D574"/>
      <c r="E574" s="3" t="s">
        <v>621</v>
      </c>
      <c r="F574" s="11" t="b">
        <f t="shared" si="8"/>
        <v>0</v>
      </c>
      <c r="G574" s="11" t="s">
        <v>1265</v>
      </c>
      <c r="H574" s="1" t="s">
        <v>280</v>
      </c>
      <c r="J574" s="14" t="s">
        <v>628</v>
      </c>
      <c r="K574" s="2" t="s">
        <v>1289</v>
      </c>
      <c r="L574" s="2" t="s">
        <v>686</v>
      </c>
      <c r="Q574"/>
    </row>
    <row r="575" spans="1:17" ht="15.6" customHeight="1" x14ac:dyDescent="0.3">
      <c r="A575" s="2">
        <v>56649</v>
      </c>
      <c r="B575" s="8" t="s">
        <v>488</v>
      </c>
      <c r="C575" t="s">
        <v>950</v>
      </c>
      <c r="D575"/>
      <c r="E575" s="3" t="s">
        <v>621</v>
      </c>
      <c r="F575" s="11" t="b">
        <f t="shared" si="8"/>
        <v>0</v>
      </c>
      <c r="G575" s="11" t="s">
        <v>1265</v>
      </c>
      <c r="H575" s="1" t="s">
        <v>280</v>
      </c>
      <c r="J575" s="14" t="s">
        <v>628</v>
      </c>
      <c r="K575" s="2" t="s">
        <v>1289</v>
      </c>
      <c r="L575" s="2" t="s">
        <v>686</v>
      </c>
      <c r="Q575"/>
    </row>
    <row r="576" spans="1:17" ht="15.6" customHeight="1" x14ac:dyDescent="0.3">
      <c r="A576" s="2">
        <v>56650</v>
      </c>
      <c r="B576" s="8" t="s">
        <v>489</v>
      </c>
      <c r="C576" t="s">
        <v>951</v>
      </c>
      <c r="D576"/>
      <c r="E576" s="3" t="s">
        <v>621</v>
      </c>
      <c r="F576" s="11" t="b">
        <f t="shared" si="8"/>
        <v>0</v>
      </c>
      <c r="G576" s="11" t="s">
        <v>1265</v>
      </c>
      <c r="H576" s="1" t="s">
        <v>280</v>
      </c>
      <c r="J576" s="14" t="s">
        <v>628</v>
      </c>
      <c r="K576" s="2" t="s">
        <v>1289</v>
      </c>
      <c r="L576" s="2" t="s">
        <v>686</v>
      </c>
      <c r="Q576"/>
    </row>
    <row r="577" spans="1:17" ht="15.6" customHeight="1" x14ac:dyDescent="0.3">
      <c r="A577" s="2">
        <v>56651</v>
      </c>
      <c r="B577" s="8" t="s">
        <v>490</v>
      </c>
      <c r="C577" t="s">
        <v>952</v>
      </c>
      <c r="D577"/>
      <c r="E577" s="3" t="s">
        <v>621</v>
      </c>
      <c r="F577" s="11" t="b">
        <f t="shared" si="8"/>
        <v>0</v>
      </c>
      <c r="G577" s="11" t="s">
        <v>1265</v>
      </c>
      <c r="H577" s="1" t="s">
        <v>280</v>
      </c>
      <c r="J577" s="14" t="s">
        <v>628</v>
      </c>
      <c r="K577" s="2" t="s">
        <v>1289</v>
      </c>
      <c r="L577" s="2" t="s">
        <v>686</v>
      </c>
      <c r="Q577"/>
    </row>
    <row r="578" spans="1:17" ht="15.6" customHeight="1" x14ac:dyDescent="0.3">
      <c r="A578" s="2">
        <v>56662</v>
      </c>
      <c r="B578" s="8" t="s">
        <v>495</v>
      </c>
      <c r="C578" t="s">
        <v>959</v>
      </c>
      <c r="D578"/>
      <c r="E578" s="3" t="s">
        <v>621</v>
      </c>
      <c r="F578" s="11" t="b">
        <f t="shared" ref="F578:F624" si="9">ISNUMBER(SEARCH($F$1,B578))</f>
        <v>0</v>
      </c>
      <c r="G578" s="11" t="s">
        <v>1265</v>
      </c>
      <c r="H578" s="1" t="s">
        <v>281</v>
      </c>
      <c r="J578" s="14" t="s">
        <v>628</v>
      </c>
      <c r="K578" s="2" t="s">
        <v>1289</v>
      </c>
      <c r="L578" s="2" t="s">
        <v>686</v>
      </c>
      <c r="Q578"/>
    </row>
    <row r="579" spans="1:17" ht="15.6" customHeight="1" x14ac:dyDescent="0.3">
      <c r="A579" s="2">
        <v>56670</v>
      </c>
      <c r="B579" s="8" t="s">
        <v>501</v>
      </c>
      <c r="C579" t="s">
        <v>965</v>
      </c>
      <c r="D579"/>
      <c r="E579" s="3" t="s">
        <v>621</v>
      </c>
      <c r="F579" s="11" t="b">
        <f t="shared" si="9"/>
        <v>0</v>
      </c>
      <c r="G579" s="11" t="s">
        <v>1265</v>
      </c>
      <c r="H579" s="1" t="s">
        <v>278</v>
      </c>
      <c r="J579" s="14" t="s">
        <v>628</v>
      </c>
      <c r="K579" s="2" t="s">
        <v>1289</v>
      </c>
      <c r="L579" s="2" t="s">
        <v>686</v>
      </c>
      <c r="Q579"/>
    </row>
    <row r="580" spans="1:17" ht="15.6" customHeight="1" x14ac:dyDescent="0.3">
      <c r="A580" s="2">
        <v>56672</v>
      </c>
      <c r="B580" s="8" t="s">
        <v>502</v>
      </c>
      <c r="C580" t="s">
        <v>967</v>
      </c>
      <c r="D580"/>
      <c r="E580" s="3" t="s">
        <v>621</v>
      </c>
      <c r="F580" s="11" t="b">
        <f t="shared" si="9"/>
        <v>0</v>
      </c>
      <c r="G580" s="11" t="s">
        <v>1265</v>
      </c>
      <c r="H580" s="1" t="s">
        <v>278</v>
      </c>
      <c r="J580" s="14" t="s">
        <v>628</v>
      </c>
      <c r="K580" s="2" t="s">
        <v>1289</v>
      </c>
      <c r="L580" s="2" t="s">
        <v>686</v>
      </c>
      <c r="Q580"/>
    </row>
    <row r="581" spans="1:17" ht="15.6" customHeight="1" x14ac:dyDescent="0.3">
      <c r="A581" s="2">
        <v>56686</v>
      </c>
      <c r="B581" s="8" t="s">
        <v>509</v>
      </c>
      <c r="C581" t="s">
        <v>974</v>
      </c>
      <c r="D581"/>
      <c r="E581" s="3" t="s">
        <v>621</v>
      </c>
      <c r="F581" s="11" t="b">
        <f t="shared" si="9"/>
        <v>0</v>
      </c>
      <c r="G581" s="11" t="s">
        <v>1265</v>
      </c>
      <c r="H581" s="1" t="s">
        <v>280</v>
      </c>
      <c r="J581" s="14" t="s">
        <v>628</v>
      </c>
      <c r="K581" s="2" t="s">
        <v>1289</v>
      </c>
      <c r="L581" s="2" t="s">
        <v>686</v>
      </c>
      <c r="Q581"/>
    </row>
    <row r="582" spans="1:17" ht="15.6" hidden="1" customHeight="1" x14ac:dyDescent="0.3">
      <c r="A582" s="2">
        <v>59903</v>
      </c>
      <c r="B582" s="8" t="s">
        <v>519</v>
      </c>
      <c r="C582" t="s">
        <v>998</v>
      </c>
      <c r="D582"/>
      <c r="E582" s="3" t="s">
        <v>621</v>
      </c>
      <c r="F582" s="11" t="b">
        <f t="shared" si="9"/>
        <v>0</v>
      </c>
      <c r="G582" s="11" t="s">
        <v>402</v>
      </c>
      <c r="H582" s="1" t="s">
        <v>280</v>
      </c>
      <c r="J582" s="14" t="s">
        <v>628</v>
      </c>
      <c r="K582" s="2" t="s">
        <v>1261</v>
      </c>
      <c r="L582" s="2" t="s">
        <v>686</v>
      </c>
      <c r="Q582"/>
    </row>
    <row r="583" spans="1:17" ht="15.6" hidden="1" customHeight="1" x14ac:dyDescent="0.3">
      <c r="A583" s="2">
        <v>59904</v>
      </c>
      <c r="B583" s="8" t="s">
        <v>520</v>
      </c>
      <c r="C583" t="s">
        <v>999</v>
      </c>
      <c r="D583"/>
      <c r="E583" s="3" t="s">
        <v>621</v>
      </c>
      <c r="F583" s="11" t="b">
        <f t="shared" si="9"/>
        <v>0</v>
      </c>
      <c r="G583" s="11" t="s">
        <v>402</v>
      </c>
      <c r="H583" s="1" t="s">
        <v>280</v>
      </c>
      <c r="J583" s="14" t="s">
        <v>628</v>
      </c>
      <c r="K583" s="2" t="s">
        <v>1261</v>
      </c>
      <c r="L583" s="2" t="s">
        <v>686</v>
      </c>
      <c r="Q583"/>
    </row>
    <row r="584" spans="1:17" ht="15.6" hidden="1" customHeight="1" x14ac:dyDescent="0.3">
      <c r="A584" s="2">
        <v>59905</v>
      </c>
      <c r="B584" s="8" t="s">
        <v>521</v>
      </c>
      <c r="C584" t="s">
        <v>1000</v>
      </c>
      <c r="D584"/>
      <c r="E584" s="3" t="s">
        <v>621</v>
      </c>
      <c r="F584" s="11" t="b">
        <f t="shared" si="9"/>
        <v>0</v>
      </c>
      <c r="G584" s="11" t="s">
        <v>402</v>
      </c>
      <c r="H584" s="1" t="s">
        <v>280</v>
      </c>
      <c r="J584" s="14" t="s">
        <v>628</v>
      </c>
      <c r="K584" s="2" t="s">
        <v>1261</v>
      </c>
      <c r="L584" s="2" t="s">
        <v>686</v>
      </c>
      <c r="Q584"/>
    </row>
    <row r="585" spans="1:17" ht="15.6" hidden="1" customHeight="1" x14ac:dyDescent="0.3">
      <c r="A585" s="2">
        <v>59906</v>
      </c>
      <c r="B585" s="8" t="s">
        <v>522</v>
      </c>
      <c r="C585" t="s">
        <v>1001</v>
      </c>
      <c r="D585"/>
      <c r="E585" s="3" t="s">
        <v>621</v>
      </c>
      <c r="F585" s="11" t="b">
        <f t="shared" si="9"/>
        <v>0</v>
      </c>
      <c r="G585" s="11" t="s">
        <v>402</v>
      </c>
      <c r="H585" s="1" t="s">
        <v>280</v>
      </c>
      <c r="J585" s="14" t="s">
        <v>628</v>
      </c>
      <c r="K585" s="2" t="s">
        <v>1261</v>
      </c>
      <c r="L585" s="2" t="s">
        <v>686</v>
      </c>
      <c r="Q585"/>
    </row>
    <row r="586" spans="1:17" ht="15.6" hidden="1" customHeight="1" x14ac:dyDescent="0.3">
      <c r="A586" s="2">
        <v>59926</v>
      </c>
      <c r="B586" s="8" t="s">
        <v>368</v>
      </c>
      <c r="C586" t="s">
        <v>1010</v>
      </c>
      <c r="D586"/>
      <c r="E586" s="3" t="s">
        <v>621</v>
      </c>
      <c r="F586" s="11" t="b">
        <f t="shared" si="9"/>
        <v>0</v>
      </c>
      <c r="G586" s="11" t="s">
        <v>402</v>
      </c>
      <c r="H586" s="1" t="s">
        <v>280</v>
      </c>
      <c r="J586" s="14" t="s">
        <v>628</v>
      </c>
      <c r="K586" s="2" t="s">
        <v>1261</v>
      </c>
      <c r="L586" s="2" t="s">
        <v>686</v>
      </c>
      <c r="Q586"/>
    </row>
    <row r="587" spans="1:17" ht="15.6" hidden="1" customHeight="1" x14ac:dyDescent="0.3">
      <c r="A587" s="2">
        <v>59927</v>
      </c>
      <c r="B587" s="8" t="s">
        <v>369</v>
      </c>
      <c r="C587" t="s">
        <v>1011</v>
      </c>
      <c r="D587"/>
      <c r="E587" s="3" t="s">
        <v>621</v>
      </c>
      <c r="F587" s="11" t="b">
        <f t="shared" si="9"/>
        <v>0</v>
      </c>
      <c r="G587" s="11" t="s">
        <v>402</v>
      </c>
      <c r="H587" s="1" t="s">
        <v>280</v>
      </c>
      <c r="J587" s="14" t="s">
        <v>628</v>
      </c>
      <c r="K587" s="2" t="s">
        <v>1261</v>
      </c>
      <c r="L587" s="2" t="s">
        <v>686</v>
      </c>
      <c r="Q587"/>
    </row>
    <row r="588" spans="1:17" ht="15.6" hidden="1" customHeight="1" x14ac:dyDescent="0.3">
      <c r="A588" s="2">
        <v>59928</v>
      </c>
      <c r="B588" s="8" t="s">
        <v>370</v>
      </c>
      <c r="C588" t="s">
        <v>1012</v>
      </c>
      <c r="D588"/>
      <c r="E588" s="3" t="s">
        <v>621</v>
      </c>
      <c r="F588" s="11" t="b">
        <f t="shared" si="9"/>
        <v>0</v>
      </c>
      <c r="G588" s="11" t="s">
        <v>402</v>
      </c>
      <c r="H588" s="1" t="s">
        <v>280</v>
      </c>
      <c r="J588" s="14" t="s">
        <v>628</v>
      </c>
      <c r="K588" s="2" t="s">
        <v>1261</v>
      </c>
      <c r="L588" s="2" t="s">
        <v>686</v>
      </c>
      <c r="Q588"/>
    </row>
    <row r="589" spans="1:17" ht="15.6" hidden="1" customHeight="1" x14ac:dyDescent="0.3">
      <c r="A589" s="2">
        <v>59929</v>
      </c>
      <c r="B589" s="8" t="s">
        <v>371</v>
      </c>
      <c r="C589" t="s">
        <v>1013</v>
      </c>
      <c r="D589"/>
      <c r="E589" s="3" t="s">
        <v>621</v>
      </c>
      <c r="F589" s="11" t="b">
        <f t="shared" si="9"/>
        <v>0</v>
      </c>
      <c r="G589" s="11" t="s">
        <v>402</v>
      </c>
      <c r="H589" s="1" t="s">
        <v>280</v>
      </c>
      <c r="J589" s="14" t="s">
        <v>628</v>
      </c>
      <c r="K589" s="2" t="s">
        <v>1261</v>
      </c>
      <c r="L589" s="2" t="s">
        <v>686</v>
      </c>
      <c r="Q589"/>
    </row>
    <row r="590" spans="1:17" ht="15.6" hidden="1" customHeight="1" x14ac:dyDescent="0.3">
      <c r="A590" s="2">
        <v>69903</v>
      </c>
      <c r="B590" s="8" t="s">
        <v>540</v>
      </c>
      <c r="C590" t="s">
        <v>1051</v>
      </c>
      <c r="D590"/>
      <c r="E590" s="3" t="s">
        <v>621</v>
      </c>
      <c r="F590" s="11" t="b">
        <f t="shared" si="9"/>
        <v>0</v>
      </c>
      <c r="G590" s="11" t="s">
        <v>403</v>
      </c>
      <c r="H590" s="1" t="s">
        <v>280</v>
      </c>
      <c r="J590" s="14" t="s">
        <v>628</v>
      </c>
      <c r="K590" s="2" t="s">
        <v>1260</v>
      </c>
      <c r="L590" s="2" t="s">
        <v>686</v>
      </c>
      <c r="Q590"/>
    </row>
    <row r="591" spans="1:17" ht="15.6" hidden="1" customHeight="1" x14ac:dyDescent="0.3">
      <c r="A591" s="2">
        <v>69904</v>
      </c>
      <c r="B591" s="8" t="s">
        <v>541</v>
      </c>
      <c r="C591" t="s">
        <v>1052</v>
      </c>
      <c r="D591"/>
      <c r="E591" s="3" t="s">
        <v>621</v>
      </c>
      <c r="F591" s="11" t="b">
        <f t="shared" si="9"/>
        <v>0</v>
      </c>
      <c r="G591" s="11" t="s">
        <v>403</v>
      </c>
      <c r="H591" s="1" t="s">
        <v>280</v>
      </c>
      <c r="J591" s="14" t="s">
        <v>628</v>
      </c>
      <c r="K591" s="2" t="s">
        <v>1260</v>
      </c>
      <c r="L591" s="2" t="s">
        <v>686</v>
      </c>
      <c r="Q591"/>
    </row>
    <row r="592" spans="1:17" ht="15.6" hidden="1" customHeight="1" x14ac:dyDescent="0.3">
      <c r="A592" s="2">
        <v>69905</v>
      </c>
      <c r="B592" s="8" t="s">
        <v>542</v>
      </c>
      <c r="C592" t="s">
        <v>1053</v>
      </c>
      <c r="D592"/>
      <c r="E592" s="3" t="s">
        <v>621</v>
      </c>
      <c r="F592" s="11" t="b">
        <f t="shared" si="9"/>
        <v>0</v>
      </c>
      <c r="G592" s="11" t="s">
        <v>403</v>
      </c>
      <c r="H592" s="1" t="s">
        <v>280</v>
      </c>
      <c r="J592" s="14" t="s">
        <v>628</v>
      </c>
      <c r="K592" s="2" t="s">
        <v>1260</v>
      </c>
      <c r="L592" s="2" t="s">
        <v>686</v>
      </c>
      <c r="Q592"/>
    </row>
    <row r="593" spans="1:17" ht="15.6" hidden="1" customHeight="1" x14ac:dyDescent="0.3">
      <c r="A593" s="2">
        <v>69906</v>
      </c>
      <c r="B593" s="8" t="s">
        <v>543</v>
      </c>
      <c r="C593" t="s">
        <v>1054</v>
      </c>
      <c r="D593"/>
      <c r="E593" s="3" t="s">
        <v>621</v>
      </c>
      <c r="F593" s="11" t="b">
        <f t="shared" si="9"/>
        <v>0</v>
      </c>
      <c r="G593" s="11" t="s">
        <v>403</v>
      </c>
      <c r="H593" s="1" t="s">
        <v>280</v>
      </c>
      <c r="J593" s="14" t="s">
        <v>628</v>
      </c>
      <c r="K593" s="2" t="s">
        <v>1260</v>
      </c>
      <c r="L593" s="2" t="s">
        <v>686</v>
      </c>
      <c r="Q593"/>
    </row>
    <row r="594" spans="1:17" ht="15.6" hidden="1" customHeight="1" x14ac:dyDescent="0.3">
      <c r="A594" s="2">
        <v>69926</v>
      </c>
      <c r="B594" s="8" t="s">
        <v>372</v>
      </c>
      <c r="C594" t="s">
        <v>1063</v>
      </c>
      <c r="D594"/>
      <c r="E594" s="3" t="s">
        <v>621</v>
      </c>
      <c r="F594" s="11" t="b">
        <f t="shared" si="9"/>
        <v>0</v>
      </c>
      <c r="G594" s="11" t="s">
        <v>403</v>
      </c>
      <c r="H594" s="1" t="s">
        <v>280</v>
      </c>
      <c r="J594" s="14" t="s">
        <v>628</v>
      </c>
      <c r="K594" s="2" t="s">
        <v>1260</v>
      </c>
      <c r="L594" s="2" t="s">
        <v>686</v>
      </c>
      <c r="Q594"/>
    </row>
    <row r="595" spans="1:17" ht="15.6" hidden="1" customHeight="1" x14ac:dyDescent="0.3">
      <c r="A595" s="2">
        <v>69928</v>
      </c>
      <c r="B595" s="8" t="s">
        <v>374</v>
      </c>
      <c r="C595" t="s">
        <v>1065</v>
      </c>
      <c r="D595"/>
      <c r="E595" s="3" t="s">
        <v>621</v>
      </c>
      <c r="F595" s="11" t="b">
        <f t="shared" si="9"/>
        <v>0</v>
      </c>
      <c r="G595" s="11" t="s">
        <v>403</v>
      </c>
      <c r="H595" s="1" t="s">
        <v>280</v>
      </c>
      <c r="J595" s="14" t="s">
        <v>628</v>
      </c>
      <c r="K595" s="2" t="s">
        <v>1260</v>
      </c>
      <c r="L595" s="2" t="s">
        <v>686</v>
      </c>
      <c r="Q595"/>
    </row>
    <row r="596" spans="1:17" ht="15.6" hidden="1" customHeight="1" x14ac:dyDescent="0.3">
      <c r="A596" s="2">
        <v>69929</v>
      </c>
      <c r="B596" s="8" t="s">
        <v>375</v>
      </c>
      <c r="C596" t="s">
        <v>1066</v>
      </c>
      <c r="D596"/>
      <c r="E596" s="3" t="s">
        <v>621</v>
      </c>
      <c r="F596" s="11" t="b">
        <f t="shared" si="9"/>
        <v>0</v>
      </c>
      <c r="G596" s="11" t="s">
        <v>403</v>
      </c>
      <c r="H596" s="1" t="s">
        <v>280</v>
      </c>
      <c r="J596" s="14" t="s">
        <v>628</v>
      </c>
      <c r="K596" s="2" t="s">
        <v>1260</v>
      </c>
      <c r="L596" s="2" t="s">
        <v>686</v>
      </c>
      <c r="Q596"/>
    </row>
    <row r="597" spans="1:17" ht="15.6" hidden="1" customHeight="1" x14ac:dyDescent="0.3">
      <c r="A597" s="2">
        <v>79903</v>
      </c>
      <c r="B597" s="8" t="s">
        <v>546</v>
      </c>
      <c r="C597" t="s">
        <v>1104</v>
      </c>
      <c r="D597"/>
      <c r="E597" s="3" t="s">
        <v>621</v>
      </c>
      <c r="F597" s="11" t="b">
        <f t="shared" si="9"/>
        <v>0</v>
      </c>
      <c r="G597" s="11" t="s">
        <v>404</v>
      </c>
      <c r="H597" s="1" t="s">
        <v>280</v>
      </c>
      <c r="J597" s="14" t="s">
        <v>628</v>
      </c>
      <c r="K597" s="2" t="s">
        <v>1263</v>
      </c>
      <c r="L597" s="2" t="s">
        <v>686</v>
      </c>
      <c r="Q597"/>
    </row>
    <row r="598" spans="1:17" ht="15.6" hidden="1" customHeight="1" x14ac:dyDescent="0.3">
      <c r="A598" s="2">
        <v>79904</v>
      </c>
      <c r="B598" s="8" t="s">
        <v>547</v>
      </c>
      <c r="C598" t="s">
        <v>1105</v>
      </c>
      <c r="D598"/>
      <c r="E598" s="3" t="s">
        <v>621</v>
      </c>
      <c r="F598" s="11" t="b">
        <f t="shared" si="9"/>
        <v>0</v>
      </c>
      <c r="G598" s="11" t="s">
        <v>404</v>
      </c>
      <c r="H598" s="1" t="s">
        <v>280</v>
      </c>
      <c r="J598" s="14" t="s">
        <v>628</v>
      </c>
      <c r="K598" s="2" t="s">
        <v>1263</v>
      </c>
      <c r="L598" s="2" t="s">
        <v>686</v>
      </c>
      <c r="Q598"/>
    </row>
    <row r="599" spans="1:17" ht="15.6" hidden="1" customHeight="1" x14ac:dyDescent="0.3">
      <c r="A599" s="2">
        <v>79905</v>
      </c>
      <c r="B599" s="8" t="s">
        <v>548</v>
      </c>
      <c r="C599" t="s">
        <v>1106</v>
      </c>
      <c r="D599"/>
      <c r="E599" s="3" t="s">
        <v>621</v>
      </c>
      <c r="F599" s="11" t="b">
        <f t="shared" si="9"/>
        <v>0</v>
      </c>
      <c r="G599" s="11" t="s">
        <v>404</v>
      </c>
      <c r="H599" s="1" t="s">
        <v>280</v>
      </c>
      <c r="J599" s="14" t="s">
        <v>628</v>
      </c>
      <c r="K599" s="2" t="s">
        <v>1263</v>
      </c>
      <c r="L599" s="2" t="s">
        <v>686</v>
      </c>
      <c r="Q599"/>
    </row>
    <row r="600" spans="1:17" ht="15.6" hidden="1" customHeight="1" x14ac:dyDescent="0.3">
      <c r="A600" s="2">
        <v>79906</v>
      </c>
      <c r="B600" s="8" t="s">
        <v>549</v>
      </c>
      <c r="C600" t="s">
        <v>1107</v>
      </c>
      <c r="D600"/>
      <c r="E600" s="3" t="s">
        <v>621</v>
      </c>
      <c r="F600" s="11" t="b">
        <f t="shared" si="9"/>
        <v>0</v>
      </c>
      <c r="G600" s="11" t="s">
        <v>404</v>
      </c>
      <c r="H600" s="1" t="s">
        <v>280</v>
      </c>
      <c r="J600" s="14" t="s">
        <v>628</v>
      </c>
      <c r="K600" s="2" t="s">
        <v>1263</v>
      </c>
      <c r="L600" s="2" t="s">
        <v>686</v>
      </c>
      <c r="Q600"/>
    </row>
    <row r="601" spans="1:17" ht="15.6" hidden="1" customHeight="1" x14ac:dyDescent="0.3">
      <c r="A601" s="2">
        <v>79926</v>
      </c>
      <c r="B601" s="8" t="s">
        <v>380</v>
      </c>
      <c r="C601" t="s">
        <v>1116</v>
      </c>
      <c r="D601"/>
      <c r="E601" s="3" t="s">
        <v>621</v>
      </c>
      <c r="F601" s="11" t="b">
        <f t="shared" si="9"/>
        <v>0</v>
      </c>
      <c r="G601" s="11" t="s">
        <v>404</v>
      </c>
      <c r="H601" s="1" t="s">
        <v>280</v>
      </c>
      <c r="J601" s="14" t="s">
        <v>628</v>
      </c>
      <c r="K601" s="2" t="s">
        <v>1263</v>
      </c>
      <c r="L601" s="2" t="s">
        <v>686</v>
      </c>
      <c r="Q601"/>
    </row>
    <row r="602" spans="1:17" ht="15.6" hidden="1" customHeight="1" x14ac:dyDescent="0.3">
      <c r="A602" s="2">
        <v>79927</v>
      </c>
      <c r="B602" s="8" t="s">
        <v>381</v>
      </c>
      <c r="C602" t="s">
        <v>1117</v>
      </c>
      <c r="D602"/>
      <c r="E602" s="3" t="s">
        <v>621</v>
      </c>
      <c r="F602" s="11" t="b">
        <f t="shared" si="9"/>
        <v>0</v>
      </c>
      <c r="G602" s="11" t="s">
        <v>404</v>
      </c>
      <c r="H602" s="1" t="s">
        <v>280</v>
      </c>
      <c r="J602" s="14" t="s">
        <v>628</v>
      </c>
      <c r="K602" s="2" t="s">
        <v>1263</v>
      </c>
      <c r="L602" s="2" t="s">
        <v>686</v>
      </c>
      <c r="Q602"/>
    </row>
    <row r="603" spans="1:17" ht="15.6" hidden="1" customHeight="1" x14ac:dyDescent="0.3">
      <c r="A603" s="2">
        <v>79928</v>
      </c>
      <c r="B603" s="8" t="s">
        <v>382</v>
      </c>
      <c r="C603" t="s">
        <v>1118</v>
      </c>
      <c r="D603"/>
      <c r="E603" s="3" t="s">
        <v>621</v>
      </c>
      <c r="F603" s="11" t="b">
        <f t="shared" si="9"/>
        <v>0</v>
      </c>
      <c r="G603" s="11" t="s">
        <v>404</v>
      </c>
      <c r="H603" s="1" t="s">
        <v>280</v>
      </c>
      <c r="J603" s="14" t="s">
        <v>628</v>
      </c>
      <c r="K603" s="2" t="s">
        <v>1263</v>
      </c>
      <c r="L603" s="2" t="s">
        <v>686</v>
      </c>
      <c r="Q603"/>
    </row>
    <row r="604" spans="1:17" ht="15.6" hidden="1" customHeight="1" x14ac:dyDescent="0.3">
      <c r="A604" s="2">
        <v>79929</v>
      </c>
      <c r="B604" s="8" t="s">
        <v>383</v>
      </c>
      <c r="C604" t="s">
        <v>1119</v>
      </c>
      <c r="D604"/>
      <c r="E604" s="3" t="s">
        <v>621</v>
      </c>
      <c r="F604" s="11" t="b">
        <f t="shared" si="9"/>
        <v>0</v>
      </c>
      <c r="G604" s="11" t="s">
        <v>404</v>
      </c>
      <c r="H604" s="1" t="s">
        <v>280</v>
      </c>
      <c r="J604" s="14" t="s">
        <v>628</v>
      </c>
      <c r="K604" s="2" t="s">
        <v>1263</v>
      </c>
      <c r="L604" s="2" t="s">
        <v>686</v>
      </c>
      <c r="Q604"/>
    </row>
    <row r="605" spans="1:17" ht="15.6" hidden="1" customHeight="1" x14ac:dyDescent="0.3">
      <c r="A605" s="2">
        <v>56201</v>
      </c>
      <c r="B605" s="8" t="s">
        <v>1266</v>
      </c>
      <c r="C605"/>
      <c r="E605" s="3" t="s">
        <v>620</v>
      </c>
      <c r="F605" s="11" t="b">
        <f t="shared" si="9"/>
        <v>0</v>
      </c>
      <c r="G605" s="11" t="s">
        <v>1264</v>
      </c>
      <c r="J605" s="14" t="s">
        <v>624</v>
      </c>
      <c r="K605" s="2" t="s">
        <v>1259</v>
      </c>
      <c r="L605" s="2" t="s">
        <v>686</v>
      </c>
    </row>
    <row r="606" spans="1:17" ht="15.6" hidden="1" customHeight="1" x14ac:dyDescent="0.3">
      <c r="A606" s="2">
        <v>56210</v>
      </c>
      <c r="B606" s="8" t="s">
        <v>1267</v>
      </c>
      <c r="C606"/>
      <c r="E606" s="3" t="s">
        <v>620</v>
      </c>
      <c r="F606" s="11" t="b">
        <f t="shared" si="9"/>
        <v>0</v>
      </c>
      <c r="G606" s="11" t="s">
        <v>1264</v>
      </c>
      <c r="J606" s="14" t="s">
        <v>624</v>
      </c>
      <c r="K606" s="2" t="s">
        <v>1259</v>
      </c>
      <c r="L606" s="2" t="s">
        <v>686</v>
      </c>
    </row>
    <row r="607" spans="1:17" ht="15.6" hidden="1" customHeight="1" x14ac:dyDescent="0.3">
      <c r="A607" s="2">
        <v>56203</v>
      </c>
      <c r="B607" s="8" t="s">
        <v>1268</v>
      </c>
      <c r="C607"/>
      <c r="E607" s="3" t="s">
        <v>620</v>
      </c>
      <c r="F607" s="11" t="b">
        <f t="shared" si="9"/>
        <v>0</v>
      </c>
      <c r="G607" s="11" t="s">
        <v>1264</v>
      </c>
      <c r="J607" s="14" t="s">
        <v>624</v>
      </c>
      <c r="K607" s="2" t="s">
        <v>1259</v>
      </c>
      <c r="L607" s="2" t="s">
        <v>686</v>
      </c>
    </row>
    <row r="608" spans="1:17" ht="15.6" hidden="1" customHeight="1" x14ac:dyDescent="0.3">
      <c r="A608" s="2">
        <v>56213</v>
      </c>
      <c r="B608" s="8" t="s">
        <v>1269</v>
      </c>
      <c r="C608"/>
      <c r="E608" s="3" t="s">
        <v>620</v>
      </c>
      <c r="F608" s="11" t="b">
        <f t="shared" si="9"/>
        <v>0</v>
      </c>
      <c r="G608" s="11" t="s">
        <v>1264</v>
      </c>
      <c r="J608" s="14" t="s">
        <v>624</v>
      </c>
      <c r="K608" s="2" t="s">
        <v>1259</v>
      </c>
      <c r="L608" s="2" t="s">
        <v>686</v>
      </c>
    </row>
    <row r="609" spans="1:12" ht="15.6" hidden="1" customHeight="1" x14ac:dyDescent="0.3">
      <c r="A609" s="2">
        <v>56202</v>
      </c>
      <c r="B609" s="8" t="s">
        <v>1270</v>
      </c>
      <c r="C609"/>
      <c r="E609" s="3" t="s">
        <v>620</v>
      </c>
      <c r="F609" s="11" t="b">
        <f t="shared" si="9"/>
        <v>0</v>
      </c>
      <c r="G609" s="11" t="s">
        <v>1264</v>
      </c>
      <c r="J609" s="14" t="s">
        <v>624</v>
      </c>
      <c r="K609" s="2" t="s">
        <v>1259</v>
      </c>
      <c r="L609" s="2" t="s">
        <v>686</v>
      </c>
    </row>
    <row r="610" spans="1:12" ht="15.6" hidden="1" customHeight="1" x14ac:dyDescent="0.3">
      <c r="A610" s="2">
        <v>56243</v>
      </c>
      <c r="B610" s="8" t="s">
        <v>1271</v>
      </c>
      <c r="C610"/>
      <c r="E610" s="3" t="s">
        <v>620</v>
      </c>
      <c r="F610" s="11" t="b">
        <f t="shared" si="9"/>
        <v>0</v>
      </c>
      <c r="G610" s="11" t="s">
        <v>1264</v>
      </c>
      <c r="J610" s="14" t="s">
        <v>624</v>
      </c>
      <c r="K610" s="2" t="s">
        <v>1259</v>
      </c>
      <c r="L610" s="2" t="s">
        <v>686</v>
      </c>
    </row>
    <row r="611" spans="1:12" ht="15.6" hidden="1" customHeight="1" x14ac:dyDescent="0.3">
      <c r="A611" s="2">
        <v>56212</v>
      </c>
      <c r="B611" s="8" t="s">
        <v>1272</v>
      </c>
      <c r="C611"/>
      <c r="E611" s="3" t="s">
        <v>620</v>
      </c>
      <c r="F611" s="11" t="b">
        <f t="shared" si="9"/>
        <v>0</v>
      </c>
      <c r="G611" s="11" t="s">
        <v>1264</v>
      </c>
      <c r="J611" s="14" t="s">
        <v>624</v>
      </c>
      <c r="K611" s="2" t="s">
        <v>1259</v>
      </c>
      <c r="L611" s="2" t="s">
        <v>686</v>
      </c>
    </row>
    <row r="612" spans="1:12" ht="15.6" hidden="1" customHeight="1" x14ac:dyDescent="0.3">
      <c r="A612" s="2">
        <v>56240</v>
      </c>
      <c r="B612" s="8" t="s">
        <v>1273</v>
      </c>
      <c r="C612"/>
      <c r="E612" s="3" t="s">
        <v>620</v>
      </c>
      <c r="F612" s="11" t="b">
        <f t="shared" si="9"/>
        <v>0</v>
      </c>
      <c r="G612" s="11" t="s">
        <v>1264</v>
      </c>
      <c r="J612" s="14" t="s">
        <v>624</v>
      </c>
      <c r="K612" s="2" t="s">
        <v>1259</v>
      </c>
      <c r="L612" s="2" t="s">
        <v>686</v>
      </c>
    </row>
    <row r="613" spans="1:12" ht="15.6" hidden="1" customHeight="1" x14ac:dyDescent="0.3">
      <c r="A613" s="2">
        <v>56209</v>
      </c>
      <c r="B613" s="8" t="s">
        <v>1274</v>
      </c>
      <c r="C613"/>
      <c r="E613" s="3" t="s">
        <v>620</v>
      </c>
      <c r="F613" s="11" t="b">
        <f t="shared" si="9"/>
        <v>0</v>
      </c>
      <c r="G613" s="11" t="s">
        <v>1264</v>
      </c>
      <c r="J613" s="14" t="s">
        <v>624</v>
      </c>
      <c r="K613" s="2" t="s">
        <v>1259</v>
      </c>
      <c r="L613" s="2" t="s">
        <v>686</v>
      </c>
    </row>
    <row r="614" spans="1:12" ht="15.6" hidden="1" customHeight="1" x14ac:dyDescent="0.3">
      <c r="A614" s="2">
        <v>56274</v>
      </c>
      <c r="B614" s="8" t="s">
        <v>1275</v>
      </c>
      <c r="C614"/>
      <c r="E614" s="3" t="s">
        <v>620</v>
      </c>
      <c r="F614" s="11" t="b">
        <f t="shared" si="9"/>
        <v>0</v>
      </c>
      <c r="G614" s="11" t="s">
        <v>1264</v>
      </c>
      <c r="J614" s="14" t="s">
        <v>624</v>
      </c>
      <c r="K614" s="2" t="s">
        <v>1259</v>
      </c>
      <c r="L614" s="2" t="s">
        <v>686</v>
      </c>
    </row>
    <row r="615" spans="1:12" ht="15.6" hidden="1" customHeight="1" x14ac:dyDescent="0.3">
      <c r="A615" s="2">
        <v>56204</v>
      </c>
      <c r="B615" s="8" t="s">
        <v>1276</v>
      </c>
      <c r="C615"/>
      <c r="E615" s="3" t="s">
        <v>620</v>
      </c>
      <c r="F615" s="11" t="b">
        <f t="shared" si="9"/>
        <v>0</v>
      </c>
      <c r="G615" s="11" t="s">
        <v>1264</v>
      </c>
      <c r="J615" s="14" t="s">
        <v>624</v>
      </c>
      <c r="K615" s="2" t="s">
        <v>1259</v>
      </c>
      <c r="L615" s="2" t="s">
        <v>686</v>
      </c>
    </row>
    <row r="616" spans="1:12" ht="15.6" hidden="1" customHeight="1" x14ac:dyDescent="0.3">
      <c r="A616" s="2">
        <v>56207</v>
      </c>
      <c r="B616" s="8" t="s">
        <v>1277</v>
      </c>
      <c r="C616"/>
      <c r="E616" s="3" t="s">
        <v>620</v>
      </c>
      <c r="F616" s="11" t="b">
        <f t="shared" si="9"/>
        <v>0</v>
      </c>
      <c r="G616" s="11" t="s">
        <v>1264</v>
      </c>
      <c r="J616" s="14" t="s">
        <v>624</v>
      </c>
      <c r="K616" s="2" t="s">
        <v>1259</v>
      </c>
      <c r="L616" s="2" t="s">
        <v>686</v>
      </c>
    </row>
    <row r="617" spans="1:12" ht="15.6" hidden="1" customHeight="1" x14ac:dyDescent="0.3">
      <c r="A617" s="2">
        <v>56238</v>
      </c>
      <c r="B617" s="8" t="s">
        <v>1278</v>
      </c>
      <c r="C617"/>
      <c r="E617" s="3" t="s">
        <v>620</v>
      </c>
      <c r="F617" s="11" t="b">
        <f t="shared" si="9"/>
        <v>0</v>
      </c>
      <c r="G617" s="11" t="s">
        <v>1264</v>
      </c>
      <c r="J617" s="14" t="s">
        <v>624</v>
      </c>
      <c r="K617" s="2" t="s">
        <v>1259</v>
      </c>
      <c r="L617" s="2" t="s">
        <v>686</v>
      </c>
    </row>
    <row r="618" spans="1:12" ht="15.6" hidden="1" customHeight="1" x14ac:dyDescent="0.3">
      <c r="A618" s="2">
        <v>56257</v>
      </c>
      <c r="B618" s="8" t="s">
        <v>1279</v>
      </c>
      <c r="C618"/>
      <c r="E618" s="3" t="s">
        <v>620</v>
      </c>
      <c r="F618" s="11" t="b">
        <f t="shared" si="9"/>
        <v>0</v>
      </c>
      <c r="G618" s="11" t="s">
        <v>1264</v>
      </c>
      <c r="J618" s="14" t="s">
        <v>624</v>
      </c>
      <c r="K618" s="2" t="s">
        <v>1259</v>
      </c>
      <c r="L618" s="2" t="s">
        <v>686</v>
      </c>
    </row>
    <row r="619" spans="1:12" ht="15.6" hidden="1" customHeight="1" x14ac:dyDescent="0.3">
      <c r="A619" s="2">
        <v>56239</v>
      </c>
      <c r="B619" s="8" t="s">
        <v>1280</v>
      </c>
      <c r="C619"/>
      <c r="E619" s="3" t="s">
        <v>620</v>
      </c>
      <c r="F619" s="11" t="b">
        <f t="shared" si="9"/>
        <v>0</v>
      </c>
      <c r="G619" s="11" t="s">
        <v>1264</v>
      </c>
      <c r="J619" s="14" t="s">
        <v>624</v>
      </c>
      <c r="K619" s="2" t="s">
        <v>1259</v>
      </c>
      <c r="L619" s="2" t="s">
        <v>686</v>
      </c>
    </row>
    <row r="620" spans="1:12" ht="15.6" hidden="1" customHeight="1" x14ac:dyDescent="0.3">
      <c r="A620" s="2">
        <v>56260</v>
      </c>
      <c r="B620" s="8" t="s">
        <v>1281</v>
      </c>
      <c r="C620"/>
      <c r="E620" s="3" t="s">
        <v>620</v>
      </c>
      <c r="F620" s="11" t="b">
        <f t="shared" si="9"/>
        <v>0</v>
      </c>
      <c r="G620" s="11" t="s">
        <v>1264</v>
      </c>
      <c r="J620" s="14" t="s">
        <v>624</v>
      </c>
      <c r="K620" s="2" t="s">
        <v>1259</v>
      </c>
      <c r="L620" s="2" t="s">
        <v>686</v>
      </c>
    </row>
    <row r="621" spans="1:12" ht="15.6" hidden="1" customHeight="1" x14ac:dyDescent="0.3">
      <c r="A621" s="2">
        <v>56278</v>
      </c>
      <c r="B621" s="8" t="s">
        <v>1282</v>
      </c>
      <c r="C621"/>
      <c r="E621" s="3" t="s">
        <v>620</v>
      </c>
      <c r="F621" s="11" t="b">
        <f t="shared" si="9"/>
        <v>0</v>
      </c>
      <c r="G621" s="11" t="s">
        <v>1264</v>
      </c>
      <c r="J621" s="14" t="s">
        <v>624</v>
      </c>
      <c r="K621" s="2" t="s">
        <v>1259</v>
      </c>
      <c r="L621" s="2" t="s">
        <v>686</v>
      </c>
    </row>
    <row r="622" spans="1:12" ht="15.6" hidden="1" customHeight="1" x14ac:dyDescent="0.3">
      <c r="A622" s="2">
        <v>56277</v>
      </c>
      <c r="B622" s="8" t="s">
        <v>1283</v>
      </c>
      <c r="C622"/>
      <c r="E622" s="3" t="s">
        <v>620</v>
      </c>
      <c r="F622" s="11" t="b">
        <f t="shared" si="9"/>
        <v>0</v>
      </c>
      <c r="G622" s="11" t="s">
        <v>1264</v>
      </c>
      <c r="J622" s="14" t="s">
        <v>624</v>
      </c>
      <c r="K622" s="2" t="s">
        <v>1259</v>
      </c>
      <c r="L622" s="2" t="s">
        <v>686</v>
      </c>
    </row>
    <row r="623" spans="1:12" ht="15.6" hidden="1" customHeight="1" x14ac:dyDescent="0.3">
      <c r="A623" s="2">
        <v>56223</v>
      </c>
      <c r="B623" s="8" t="s">
        <v>1284</v>
      </c>
      <c r="C623"/>
      <c r="E623" s="3" t="s">
        <v>620</v>
      </c>
      <c r="F623" s="11" t="b">
        <f t="shared" si="9"/>
        <v>0</v>
      </c>
      <c r="G623" s="11" t="s">
        <v>1264</v>
      </c>
      <c r="J623" s="14" t="s">
        <v>624</v>
      </c>
      <c r="K623" s="2" t="s">
        <v>1259</v>
      </c>
      <c r="L623" s="2" t="s">
        <v>686</v>
      </c>
    </row>
    <row r="624" spans="1:12" ht="15.6" hidden="1" customHeight="1" x14ac:dyDescent="0.3">
      <c r="A624" s="2">
        <v>56256</v>
      </c>
      <c r="B624" s="8" t="s">
        <v>1285</v>
      </c>
      <c r="C624"/>
      <c r="E624" s="3" t="s">
        <v>620</v>
      </c>
      <c r="F624" s="11" t="b">
        <f t="shared" si="9"/>
        <v>0</v>
      </c>
      <c r="G624" s="11" t="s">
        <v>1264</v>
      </c>
      <c r="J624" s="14" t="s">
        <v>624</v>
      </c>
      <c r="K624" s="2" t="s">
        <v>1259</v>
      </c>
      <c r="L624" s="2" t="s">
        <v>686</v>
      </c>
    </row>
    <row r="625" spans="7:7" ht="15.6" customHeight="1" x14ac:dyDescent="0.3">
      <c r="G625" s="8"/>
    </row>
    <row r="626" spans="7:7" ht="15.6" customHeight="1" x14ac:dyDescent="0.3">
      <c r="G626" s="8"/>
    </row>
    <row r="627" spans="7:7" ht="15.6" customHeight="1" x14ac:dyDescent="0.3">
      <c r="G627" s="8"/>
    </row>
    <row r="628" spans="7:7" ht="15.6" customHeight="1" x14ac:dyDescent="0.3">
      <c r="G628" s="8"/>
    </row>
    <row r="629" spans="7:7" ht="15.6" customHeight="1" x14ac:dyDescent="0.3">
      <c r="G629" s="8"/>
    </row>
    <row r="630" spans="7:7" ht="15.6" customHeight="1" x14ac:dyDescent="0.3">
      <c r="G630" s="8"/>
    </row>
    <row r="631" spans="7:7" ht="15.6" customHeight="1" x14ac:dyDescent="0.3">
      <c r="G631" s="8"/>
    </row>
    <row r="632" spans="7:7" ht="15.6" customHeight="1" x14ac:dyDescent="0.3">
      <c r="G632" s="8"/>
    </row>
    <row r="633" spans="7:7" ht="15.6" customHeight="1" x14ac:dyDescent="0.3">
      <c r="G633" s="8"/>
    </row>
    <row r="634" spans="7:7" ht="15.6" customHeight="1" x14ac:dyDescent="0.3">
      <c r="G634" s="8"/>
    </row>
    <row r="635" spans="7:7" ht="15.6" customHeight="1" x14ac:dyDescent="0.3">
      <c r="G635" s="8"/>
    </row>
    <row r="636" spans="7:7" ht="15.6" customHeight="1" x14ac:dyDescent="0.3">
      <c r="G636" s="8"/>
    </row>
    <row r="637" spans="7:7" ht="15.6" customHeight="1" x14ac:dyDescent="0.3">
      <c r="G637" s="8"/>
    </row>
    <row r="638" spans="7:7" ht="15.6" customHeight="1" x14ac:dyDescent="0.3">
      <c r="G638" s="8"/>
    </row>
    <row r="639" spans="7:7" ht="15.6" customHeight="1" x14ac:dyDescent="0.3">
      <c r="G639" s="8"/>
    </row>
    <row r="640" spans="7:7" ht="15.6" customHeight="1" x14ac:dyDescent="0.3">
      <c r="G640" s="8"/>
    </row>
    <row r="641" spans="7:7" ht="15.6" customHeight="1" x14ac:dyDescent="0.3">
      <c r="G641" s="8"/>
    </row>
    <row r="642" spans="7:7" ht="15.6" customHeight="1" x14ac:dyDescent="0.3">
      <c r="G642" s="8"/>
    </row>
    <row r="643" spans="7:7" ht="15.6" customHeight="1" x14ac:dyDescent="0.3">
      <c r="G643" s="8"/>
    </row>
    <row r="644" spans="7:7" ht="15.6" customHeight="1" x14ac:dyDescent="0.3">
      <c r="G644" s="8"/>
    </row>
    <row r="645" spans="7:7" ht="15.6" customHeight="1" x14ac:dyDescent="0.3">
      <c r="G645" s="8"/>
    </row>
    <row r="646" spans="7:7" ht="15.6" customHeight="1" x14ac:dyDescent="0.3">
      <c r="G646" s="8"/>
    </row>
    <row r="647" spans="7:7" ht="15.6" customHeight="1" x14ac:dyDescent="0.3">
      <c r="G647" s="8"/>
    </row>
    <row r="648" spans="7:7" ht="15.6" customHeight="1" x14ac:dyDescent="0.3">
      <c r="G648" s="8"/>
    </row>
    <row r="649" spans="7:7" ht="15.6" customHeight="1" x14ac:dyDescent="0.3">
      <c r="G649" s="8"/>
    </row>
    <row r="650" spans="7:7" ht="15.6" customHeight="1" x14ac:dyDescent="0.3">
      <c r="G650" s="8"/>
    </row>
    <row r="651" spans="7:7" ht="15.6" customHeight="1" x14ac:dyDescent="0.3">
      <c r="G651" s="8"/>
    </row>
    <row r="652" spans="7:7" ht="15.6" customHeight="1" x14ac:dyDescent="0.3">
      <c r="G652" s="8"/>
    </row>
    <row r="653" spans="7:7" ht="15.6" customHeight="1" x14ac:dyDescent="0.3">
      <c r="G653" s="8"/>
    </row>
    <row r="654" spans="7:7" ht="15.6" customHeight="1" x14ac:dyDescent="0.3">
      <c r="G654" s="8"/>
    </row>
    <row r="655" spans="7:7" ht="15.6" customHeight="1" x14ac:dyDescent="0.3">
      <c r="G655" s="8"/>
    </row>
    <row r="656" spans="7:7" ht="15.6" customHeight="1" x14ac:dyDescent="0.3">
      <c r="G656" s="8"/>
    </row>
    <row r="657" spans="7:7" ht="15.6" customHeight="1" x14ac:dyDescent="0.3">
      <c r="G657" s="8"/>
    </row>
    <row r="658" spans="7:7" ht="15.6" customHeight="1" x14ac:dyDescent="0.3">
      <c r="G658" s="8"/>
    </row>
    <row r="659" spans="7:7" ht="15.6" customHeight="1" x14ac:dyDescent="0.3">
      <c r="G659" s="8"/>
    </row>
    <row r="660" spans="7:7" ht="15.6" customHeight="1" x14ac:dyDescent="0.3">
      <c r="G660" s="8"/>
    </row>
    <row r="661" spans="7:7" ht="15.6" customHeight="1" x14ac:dyDescent="0.3">
      <c r="G661" s="8"/>
    </row>
    <row r="662" spans="7:7" ht="15.6" customHeight="1" x14ac:dyDescent="0.3">
      <c r="G662" s="8"/>
    </row>
    <row r="663" spans="7:7" ht="15.6" customHeight="1" x14ac:dyDescent="0.3">
      <c r="G663" s="8"/>
    </row>
  </sheetData>
  <autoFilter ref="A1:L624" xr:uid="{24D3D844-E9E2-441D-B9F0-4FA61947BE83}">
    <filterColumn colId="10">
      <filters>
        <filter val="N/A - D"/>
      </filters>
    </filterColumn>
    <filterColumn colId="11">
      <filters>
        <filter val="M"/>
      </filters>
    </filterColumn>
  </autoFilter>
  <printOptions horizontalCentered="1"/>
  <pageMargins left="0.25" right="0.25" top="0.5" bottom="0.5" header="0.05" footer="0.1"/>
  <pageSetup scale="77" fitToHeight="0" orientation="landscape" r:id="rId1"/>
  <headerFooter>
    <oddHeader>&amp;C&amp;"-,Bold"DAILY INVENTORY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8B8C355C98E049B21A89D4B1CE90A7" ma:contentTypeVersion="13" ma:contentTypeDescription="Create a new document." ma:contentTypeScope="" ma:versionID="7f546757c68443a0348139fc66f1e1f9">
  <xsd:schema xmlns:xsd="http://www.w3.org/2001/XMLSchema" xmlns:xs="http://www.w3.org/2001/XMLSchema" xmlns:p="http://schemas.microsoft.com/office/2006/metadata/properties" xmlns:ns3="391655d5-4d36-4040-b5b6-522e16f41453" xmlns:ns4="5a55e88e-22b2-41b5-a813-1146f6920271" targetNamespace="http://schemas.microsoft.com/office/2006/metadata/properties" ma:root="true" ma:fieldsID="59b23d6d7571971f7eccc2572c9a3c62" ns3:_="" ns4:_="">
    <xsd:import namespace="391655d5-4d36-4040-b5b6-522e16f41453"/>
    <xsd:import namespace="5a55e88e-22b2-41b5-a813-1146f692027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1655d5-4d36-4040-b5b6-522e16f4145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6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5e88e-22b2-41b5-a813-1146f692027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91655d5-4d36-4040-b5b6-522e16f41453" xsi:nil="true"/>
  </documentManagement>
</p:properties>
</file>

<file path=customXml/itemProps1.xml><?xml version="1.0" encoding="utf-8"?>
<ds:datastoreItem xmlns:ds="http://schemas.openxmlformats.org/officeDocument/2006/customXml" ds:itemID="{2981CB13-E113-4628-A508-74061A4340F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91655d5-4d36-4040-b5b6-522e16f41453"/>
    <ds:schemaRef ds:uri="5a55e88e-22b2-41b5-a813-1146f692027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731365B-9AE0-41DC-8665-F727E729E9A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7E7FB88-9BD8-4066-ABCA-D071EBF6EF55}">
  <ds:schemaRefs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5a55e88e-22b2-41b5-a813-1146f6920271"/>
    <ds:schemaRef ds:uri="http://purl.org/dc/terms/"/>
    <ds:schemaRef ds:uri="http://schemas.microsoft.com/office/2006/metadata/properties"/>
    <ds:schemaRef ds:uri="http://schemas.microsoft.com/office/infopath/2007/PartnerControls"/>
    <ds:schemaRef ds:uri="391655d5-4d36-4040-b5b6-522e16f41453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4</vt:i4>
      </vt:variant>
    </vt:vector>
  </HeadingPairs>
  <TitlesOfParts>
    <vt:vector size="14" baseType="lpstr">
      <vt:lpstr>FORMULAS</vt:lpstr>
      <vt:lpstr>INSTRUCTIONS </vt:lpstr>
      <vt:lpstr>INVENTORY</vt:lpstr>
      <vt:lpstr>SILICONES</vt:lpstr>
      <vt:lpstr>IN STOCK%</vt:lpstr>
      <vt:lpstr>OOS STOCK% </vt:lpstr>
      <vt:lpstr>WAITING 4'S</vt:lpstr>
      <vt:lpstr>FORMULA</vt:lpstr>
      <vt:lpstr>NOW (NOT ON WEB BUT AVAILABLE)</vt:lpstr>
      <vt:lpstr>DISCO</vt:lpstr>
      <vt:lpstr>DISCO!Print_Area</vt:lpstr>
      <vt:lpstr>INVENTORY!Print_Area</vt:lpstr>
      <vt:lpstr>DISCO!Print_Titles</vt:lpstr>
      <vt:lpstr>INVENTORY!Print_Titles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LongCap Lamson Products, LLC</dc:creator>
  <cp:lastModifiedBy>V.Ram Prakash</cp:lastModifiedBy>
  <cp:lastPrinted>2026-03-02T19:54:24Z</cp:lastPrinted>
  <dcterms:created xsi:type="dcterms:W3CDTF">2019-01-02T13:44:21Z</dcterms:created>
  <dcterms:modified xsi:type="dcterms:W3CDTF">2026-06-29T21:10:46Z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0x010100208B8C355C98E049B21A89D4B1CE90A7</vt:lpwstr>
  </property>
</Properties>
</file>